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/>
  <mc:AlternateContent xmlns:mc="http://schemas.openxmlformats.org/markup-compatibility/2006">
    <mc:Choice Requires="x15">
      <x15ac:absPath xmlns:x15ac="http://schemas.microsoft.com/office/spreadsheetml/2010/11/ac" url="C:\Users\11374\Desktop\2026.9\"/>
    </mc:Choice>
  </mc:AlternateContent>
  <xr:revisionPtr revIDLastSave="0" documentId="8_{5B35691E-F124-4064-BE1C-2F3E06180509}" xr6:coauthVersionLast="47" xr6:coauthVersionMax="47" xr10:uidLastSave="{00000000-0000-0000-0000-000000000000}"/>
  <bookViews>
    <workbookView xWindow="-108" yWindow="-108" windowWidth="23256" windowHeight="12576" activeTab="1" xr2:uid="{00000000-000D-0000-FFFF-FFFF00000000}"/>
  </bookViews>
  <sheets>
    <sheet name="设计流程" sheetId="1" r:id="rId1"/>
    <sheet name="集料筛分及密度" sheetId="2" r:id="rId2"/>
    <sheet name="级配" sheetId="3" r:id="rId3"/>
    <sheet name="体积指标" sheetId="4" r:id="rId4"/>
    <sheet name="浸水马歇尔" sheetId="8" r:id="rId5"/>
    <sheet name="冻融劈裂" sheetId="10" r:id="rId6"/>
    <sheet name="高温车辙" sheetId="11" r:id="rId7"/>
    <sheet name="低温弯曲" sheetId="12" r:id="rId8"/>
    <sheet name="沥青指标（70，90，110，130）" sheetId="9" r:id="rId9"/>
  </sheets>
  <externalReferences>
    <externalReference r:id="rId10"/>
    <externalReference r:id="rId11"/>
    <externalReference r:id="rId12"/>
  </externalReferences>
  <definedNames>
    <definedName name="_xlnm._FilterDatabase" localSheetId="7" hidden="1">低温弯曲!$C$1:$C$315</definedName>
    <definedName name="_xlnm._FilterDatabase" localSheetId="5" hidden="1">冻融劈裂!#REF!</definedName>
    <definedName name="_xlnm._FilterDatabase" localSheetId="6" hidden="1">高温车辙!#REF!</definedName>
    <definedName name="_xlnm._FilterDatabase" localSheetId="2" hidden="1">级配!$A$1:$B$886</definedName>
    <definedName name="_xlnm._FilterDatabase" localSheetId="1" hidden="1">集料筛分及密度!$A$1:$C$246</definedName>
    <definedName name="_xlnm._FilterDatabase" localSheetId="4" hidden="1">浸水马歇尔!#REF!</definedName>
    <definedName name="_xlnm._FilterDatabase" localSheetId="3" hidden="1">体积指标!$A$1:$AF$644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48" i="12" l="1"/>
  <c r="E147" i="12"/>
  <c r="E146" i="12"/>
  <c r="E145" i="12"/>
  <c r="E144" i="12"/>
  <c r="E143" i="12"/>
  <c r="E63" i="12"/>
  <c r="E62" i="12"/>
  <c r="E61" i="12"/>
  <c r="E60" i="12"/>
  <c r="E59" i="12"/>
  <c r="E58" i="12"/>
  <c r="E57" i="12"/>
  <c r="E56" i="12"/>
  <c r="E55" i="12"/>
  <c r="E54" i="12"/>
  <c r="E53" i="12"/>
  <c r="E52" i="12"/>
  <c r="E51" i="12"/>
  <c r="E50" i="12"/>
  <c r="E49" i="12"/>
  <c r="E48" i="12"/>
  <c r="E47" i="12"/>
  <c r="E46" i="12"/>
  <c r="E45" i="12"/>
  <c r="E44" i="12"/>
  <c r="E43" i="12"/>
  <c r="E42" i="12"/>
  <c r="E41" i="12"/>
  <c r="E40" i="12"/>
  <c r="E39" i="12"/>
  <c r="E38" i="12"/>
  <c r="E37" i="12"/>
  <c r="E36" i="12"/>
  <c r="E35" i="12"/>
  <c r="E34" i="12"/>
  <c r="E33" i="12"/>
  <c r="E32" i="12"/>
  <c r="E31" i="12"/>
  <c r="E30" i="12"/>
  <c r="E29" i="12"/>
  <c r="E28" i="12"/>
  <c r="E27" i="12"/>
  <c r="E26" i="12"/>
  <c r="E25" i="12"/>
  <c r="E24" i="12"/>
  <c r="E23" i="12"/>
  <c r="E22" i="12"/>
  <c r="E21" i="12"/>
  <c r="E20" i="12"/>
  <c r="E19" i="12"/>
  <c r="E18" i="12"/>
  <c r="E17" i="12"/>
  <c r="E16" i="12"/>
  <c r="E15" i="12"/>
  <c r="E14" i="12"/>
  <c r="E13" i="12"/>
  <c r="E12" i="12"/>
  <c r="E11" i="12"/>
  <c r="E10" i="12"/>
  <c r="E9" i="12"/>
  <c r="E8" i="12"/>
  <c r="E7" i="12"/>
  <c r="E6" i="12"/>
  <c r="E5" i="12"/>
  <c r="E4" i="12"/>
  <c r="E3" i="12"/>
  <c r="I30" i="11"/>
  <c r="I29" i="11"/>
  <c r="I28" i="11"/>
  <c r="I27" i="11"/>
  <c r="I26" i="11"/>
  <c r="I25" i="11"/>
  <c r="I24" i="11"/>
  <c r="I23" i="11"/>
  <c r="I22" i="11"/>
  <c r="I21" i="11"/>
  <c r="I20" i="11"/>
  <c r="I19" i="11"/>
  <c r="I18" i="11"/>
  <c r="I17" i="11"/>
  <c r="I16" i="11"/>
  <c r="I15" i="11"/>
  <c r="I14" i="11"/>
  <c r="I13" i="11"/>
  <c r="I12" i="11"/>
  <c r="I11" i="11"/>
  <c r="I10" i="11"/>
  <c r="I9" i="11"/>
  <c r="I8" i="11"/>
  <c r="I7" i="11"/>
  <c r="I6" i="11"/>
  <c r="I5" i="11"/>
  <c r="I4" i="11"/>
  <c r="I3" i="11"/>
  <c r="V526" i="10"/>
  <c r="V525" i="10"/>
  <c r="U525" i="10" s="1"/>
  <c r="V520" i="10"/>
  <c r="V519" i="10"/>
  <c r="U519" i="10"/>
  <c r="V514" i="10"/>
  <c r="V513" i="10"/>
  <c r="V508" i="10"/>
  <c r="V507" i="10"/>
  <c r="U507" i="10" s="1"/>
  <c r="V502" i="10"/>
  <c r="V501" i="10"/>
  <c r="U501" i="10" s="1"/>
  <c r="V496" i="10"/>
  <c r="V495" i="10"/>
  <c r="V489" i="10"/>
  <c r="V488" i="10"/>
  <c r="U488" i="10" s="1"/>
  <c r="V483" i="10"/>
  <c r="V482" i="10"/>
  <c r="U482" i="10" s="1"/>
  <c r="V476" i="10"/>
  <c r="V475" i="10"/>
  <c r="U475" i="10" s="1"/>
  <c r="V470" i="10"/>
  <c r="V469" i="10"/>
  <c r="U469" i="10" s="1"/>
  <c r="V464" i="10"/>
  <c r="V463" i="10"/>
  <c r="V458" i="10"/>
  <c r="V457" i="10"/>
  <c r="U457" i="10" s="1"/>
  <c r="R456" i="10"/>
  <c r="T456" i="10" s="1"/>
  <c r="R455" i="10"/>
  <c r="T455" i="10" s="1"/>
  <c r="R454" i="10"/>
  <c r="T454" i="10" s="1"/>
  <c r="R453" i="10"/>
  <c r="T453" i="10" s="1"/>
  <c r="R452" i="10"/>
  <c r="T452" i="10" s="1"/>
  <c r="V452" i="10" s="1"/>
  <c r="R451" i="10"/>
  <c r="T451" i="10" s="1"/>
  <c r="V451" i="10" s="1"/>
  <c r="T450" i="10"/>
  <c r="T449" i="10"/>
  <c r="T448" i="10"/>
  <c r="T447" i="10"/>
  <c r="T446" i="10"/>
  <c r="V446" i="10" s="1"/>
  <c r="T445" i="10"/>
  <c r="V445" i="10" s="1"/>
  <c r="R444" i="10"/>
  <c r="T444" i="10" s="1"/>
  <c r="R443" i="10"/>
  <c r="T443" i="10" s="1"/>
  <c r="R442" i="10"/>
  <c r="T442" i="10" s="1"/>
  <c r="R441" i="10"/>
  <c r="T441" i="10" s="1"/>
  <c r="R440" i="10"/>
  <c r="T440" i="10" s="1"/>
  <c r="V440" i="10" s="1"/>
  <c r="R439" i="10"/>
  <c r="T439" i="10" s="1"/>
  <c r="V439" i="10" s="1"/>
  <c r="R438" i="10"/>
  <c r="T438" i="10" s="1"/>
  <c r="R437" i="10"/>
  <c r="T437" i="10" s="1"/>
  <c r="R436" i="10"/>
  <c r="T436" i="10" s="1"/>
  <c r="R435" i="10"/>
  <c r="T435" i="10" s="1"/>
  <c r="R434" i="10"/>
  <c r="T434" i="10" s="1"/>
  <c r="V434" i="10" s="1"/>
  <c r="R433" i="10"/>
  <c r="T433" i="10" s="1"/>
  <c r="V433" i="10" s="1"/>
  <c r="R432" i="10"/>
  <c r="T432" i="10" s="1"/>
  <c r="R431" i="10"/>
  <c r="T431" i="10" s="1"/>
  <c r="R430" i="10"/>
  <c r="T430" i="10" s="1"/>
  <c r="R429" i="10"/>
  <c r="T429" i="10" s="1"/>
  <c r="R428" i="10"/>
  <c r="T428" i="10" s="1"/>
  <c r="V428" i="10" s="1"/>
  <c r="R427" i="10"/>
  <c r="T427" i="10" s="1"/>
  <c r="V427" i="10" s="1"/>
  <c r="R426" i="10"/>
  <c r="T426" i="10" s="1"/>
  <c r="R425" i="10"/>
  <c r="T425" i="10" s="1"/>
  <c r="R424" i="10"/>
  <c r="T424" i="10" s="1"/>
  <c r="R423" i="10"/>
  <c r="T423" i="10" s="1"/>
  <c r="R422" i="10"/>
  <c r="T422" i="10" s="1"/>
  <c r="V422" i="10" s="1"/>
  <c r="R421" i="10"/>
  <c r="T421" i="10" s="1"/>
  <c r="V421" i="10" s="1"/>
  <c r="R420" i="10"/>
  <c r="T420" i="10" s="1"/>
  <c r="R419" i="10"/>
  <c r="T419" i="10" s="1"/>
  <c r="R418" i="10"/>
  <c r="T418" i="10" s="1"/>
  <c r="R417" i="10"/>
  <c r="T417" i="10" s="1"/>
  <c r="R416" i="10"/>
  <c r="T416" i="10" s="1"/>
  <c r="V416" i="10" s="1"/>
  <c r="R415" i="10"/>
  <c r="T415" i="10" s="1"/>
  <c r="V415" i="10" s="1"/>
  <c r="R414" i="10"/>
  <c r="T414" i="10" s="1"/>
  <c r="R413" i="10"/>
  <c r="T413" i="10" s="1"/>
  <c r="R412" i="10"/>
  <c r="T412" i="10" s="1"/>
  <c r="R411" i="10"/>
  <c r="T411" i="10" s="1"/>
  <c r="R410" i="10"/>
  <c r="T410" i="10" s="1"/>
  <c r="V410" i="10" s="1"/>
  <c r="R409" i="10"/>
  <c r="T409" i="10" s="1"/>
  <c r="V409" i="10" s="1"/>
  <c r="R408" i="10"/>
  <c r="T408" i="10" s="1"/>
  <c r="R407" i="10"/>
  <c r="T407" i="10" s="1"/>
  <c r="R406" i="10"/>
  <c r="T406" i="10" s="1"/>
  <c r="R405" i="10"/>
  <c r="T405" i="10" s="1"/>
  <c r="R404" i="10"/>
  <c r="T404" i="10" s="1"/>
  <c r="V404" i="10" s="1"/>
  <c r="R403" i="10"/>
  <c r="T403" i="10" s="1"/>
  <c r="V403" i="10" s="1"/>
  <c r="T402" i="10"/>
  <c r="T401" i="10"/>
  <c r="T400" i="10"/>
  <c r="T399" i="10"/>
  <c r="T398" i="10"/>
  <c r="V398" i="10" s="1"/>
  <c r="T397" i="10"/>
  <c r="V397" i="10" s="1"/>
  <c r="T396" i="10"/>
  <c r="T395" i="10"/>
  <c r="T394" i="10"/>
  <c r="T393" i="10"/>
  <c r="T392" i="10"/>
  <c r="V392" i="10" s="1"/>
  <c r="T391" i="10"/>
  <c r="V391" i="10" s="1"/>
  <c r="U391" i="10" s="1"/>
  <c r="T390" i="10"/>
  <c r="T389" i="10"/>
  <c r="T388" i="10"/>
  <c r="T387" i="10"/>
  <c r="T386" i="10"/>
  <c r="V386" i="10" s="1"/>
  <c r="T385" i="10"/>
  <c r="V385" i="10" s="1"/>
  <c r="U385" i="10" s="1"/>
  <c r="T384" i="10"/>
  <c r="T383" i="10"/>
  <c r="T382" i="10"/>
  <c r="T381" i="10"/>
  <c r="T380" i="10"/>
  <c r="V380" i="10" s="1"/>
  <c r="T379" i="10"/>
  <c r="V379" i="10" s="1"/>
  <c r="U379" i="10" s="1"/>
  <c r="T348" i="10"/>
  <c r="T347" i="10"/>
  <c r="T346" i="10"/>
  <c r="T345" i="10"/>
  <c r="T344" i="10"/>
  <c r="V344" i="10" s="1"/>
  <c r="T343" i="10"/>
  <c r="V343" i="10" s="1"/>
  <c r="U343" i="10" s="1"/>
  <c r="T342" i="10"/>
  <c r="T341" i="10"/>
  <c r="V340" i="10"/>
  <c r="T340" i="10"/>
  <c r="T339" i="10"/>
  <c r="V339" i="10" s="1"/>
  <c r="U339" i="10" s="1"/>
  <c r="T338" i="10"/>
  <c r="T337" i="10"/>
  <c r="V336" i="10" s="1"/>
  <c r="T336" i="10"/>
  <c r="T335" i="10"/>
  <c r="V335" i="10" s="1"/>
  <c r="T334" i="10"/>
  <c r="T333" i="10"/>
  <c r="V332" i="10"/>
  <c r="T332" i="10"/>
  <c r="T331" i="10"/>
  <c r="V331" i="10" s="1"/>
  <c r="U331" i="10" s="1"/>
  <c r="T330" i="10"/>
  <c r="T329" i="10"/>
  <c r="T328" i="10"/>
  <c r="T327" i="10"/>
  <c r="T326" i="10"/>
  <c r="V326" i="10" s="1"/>
  <c r="T325" i="10"/>
  <c r="V325" i="10" s="1"/>
  <c r="T324" i="10"/>
  <c r="T323" i="10"/>
  <c r="T322" i="10"/>
  <c r="T321" i="10"/>
  <c r="T320" i="10"/>
  <c r="V320" i="10" s="1"/>
  <c r="T319" i="10"/>
  <c r="V319" i="10" s="1"/>
  <c r="U319" i="10" s="1"/>
  <c r="T318" i="10"/>
  <c r="T317" i="10"/>
  <c r="T316" i="10"/>
  <c r="T315" i="10"/>
  <c r="T314" i="10"/>
  <c r="V314" i="10" s="1"/>
  <c r="T313" i="10"/>
  <c r="V313" i="10" s="1"/>
  <c r="U313" i="10" s="1"/>
  <c r="T312" i="10"/>
  <c r="T311" i="10"/>
  <c r="T310" i="10"/>
  <c r="T309" i="10"/>
  <c r="T308" i="10"/>
  <c r="V308" i="10" s="1"/>
  <c r="T307" i="10"/>
  <c r="V307" i="10" s="1"/>
  <c r="T306" i="10"/>
  <c r="T305" i="10"/>
  <c r="T304" i="10"/>
  <c r="T303" i="10"/>
  <c r="T302" i="10"/>
  <c r="T301" i="10"/>
  <c r="V301" i="10" s="1"/>
  <c r="T300" i="10"/>
  <c r="V300" i="10" s="1"/>
  <c r="T299" i="10"/>
  <c r="T298" i="10"/>
  <c r="T297" i="10"/>
  <c r="T296" i="10"/>
  <c r="T295" i="10"/>
  <c r="V295" i="10" s="1"/>
  <c r="T294" i="10"/>
  <c r="V294" i="10" s="1"/>
  <c r="U294" i="10" s="1"/>
  <c r="T293" i="10"/>
  <c r="T292" i="10"/>
  <c r="T291" i="10"/>
  <c r="T290" i="10"/>
  <c r="T289" i="10"/>
  <c r="V289" i="10" s="1"/>
  <c r="T288" i="10"/>
  <c r="V288" i="10" s="1"/>
  <c r="T287" i="10"/>
  <c r="T286" i="10"/>
  <c r="T285" i="10"/>
  <c r="T284" i="10"/>
  <c r="T283" i="10"/>
  <c r="V283" i="10" s="1"/>
  <c r="T282" i="10"/>
  <c r="V282" i="10" s="1"/>
  <c r="U282" i="10" s="1"/>
  <c r="T281" i="10"/>
  <c r="T280" i="10"/>
  <c r="T279" i="10"/>
  <c r="T278" i="10"/>
  <c r="T277" i="10"/>
  <c r="V277" i="10" s="1"/>
  <c r="T276" i="10"/>
  <c r="V276" i="10" s="1"/>
  <c r="V272" i="10"/>
  <c r="V271" i="10"/>
  <c r="U271" i="10" s="1"/>
  <c r="T270" i="10"/>
  <c r="T269" i="10"/>
  <c r="T268" i="10"/>
  <c r="T267" i="10"/>
  <c r="T266" i="10"/>
  <c r="T265" i="10"/>
  <c r="V265" i="10" s="1"/>
  <c r="T264" i="10"/>
  <c r="V264" i="10" s="1"/>
  <c r="U264" i="10" s="1"/>
  <c r="T263" i="10"/>
  <c r="T262" i="10"/>
  <c r="T261" i="10"/>
  <c r="T260" i="10"/>
  <c r="T259" i="10"/>
  <c r="T258" i="10"/>
  <c r="T257" i="10"/>
  <c r="T256" i="10"/>
  <c r="T255" i="10"/>
  <c r="T254" i="10"/>
  <c r="T253" i="10"/>
  <c r="T252" i="10"/>
  <c r="T251" i="10"/>
  <c r="T250" i="10"/>
  <c r="T249" i="10"/>
  <c r="T248" i="10"/>
  <c r="T247" i="10"/>
  <c r="T246" i="10"/>
  <c r="T245" i="10"/>
  <c r="V245" i="10" s="1"/>
  <c r="T244" i="10"/>
  <c r="V244" i="10" s="1"/>
  <c r="T243" i="10"/>
  <c r="T242" i="10"/>
  <c r="T241" i="10"/>
  <c r="T240" i="10"/>
  <c r="T239" i="10"/>
  <c r="V239" i="10" s="1"/>
  <c r="T238" i="10"/>
  <c r="V238" i="10" s="1"/>
  <c r="T237" i="10"/>
  <c r="T236" i="10"/>
  <c r="T235" i="10"/>
  <c r="T234" i="10"/>
  <c r="T233" i="10"/>
  <c r="V233" i="10" s="1"/>
  <c r="T232" i="10"/>
  <c r="V232" i="10" s="1"/>
  <c r="T231" i="10"/>
  <c r="T230" i="10"/>
  <c r="T229" i="10"/>
  <c r="T228" i="10"/>
  <c r="T227" i="10"/>
  <c r="T226" i="10"/>
  <c r="V226" i="10" s="1"/>
  <c r="T225" i="10"/>
  <c r="V225" i="10" s="1"/>
  <c r="T224" i="10"/>
  <c r="T223" i="10"/>
  <c r="T222" i="10"/>
  <c r="T221" i="10"/>
  <c r="T220" i="10"/>
  <c r="V219" i="10"/>
  <c r="T219" i="10"/>
  <c r="T218" i="10"/>
  <c r="V218" i="10" s="1"/>
  <c r="U218" i="10" s="1"/>
  <c r="T217" i="10"/>
  <c r="I217" i="10"/>
  <c r="T216" i="10"/>
  <c r="I216" i="10"/>
  <c r="T215" i="10"/>
  <c r="I215" i="10"/>
  <c r="T214" i="10"/>
  <c r="I214" i="10"/>
  <c r="T213" i="10"/>
  <c r="V213" i="10" s="1"/>
  <c r="I213" i="10"/>
  <c r="T212" i="10"/>
  <c r="V212" i="10" s="1"/>
  <c r="I212" i="10"/>
  <c r="T211" i="10"/>
  <c r="I211" i="10"/>
  <c r="T210" i="10"/>
  <c r="I210" i="10"/>
  <c r="T209" i="10"/>
  <c r="I209" i="10"/>
  <c r="T208" i="10"/>
  <c r="I208" i="10"/>
  <c r="T207" i="10"/>
  <c r="I207" i="10"/>
  <c r="T206" i="10"/>
  <c r="V206" i="10" s="1"/>
  <c r="I206" i="10"/>
  <c r="T205" i="10"/>
  <c r="V205" i="10" s="1"/>
  <c r="I205" i="10"/>
  <c r="T204" i="10"/>
  <c r="I204" i="10"/>
  <c r="T203" i="10"/>
  <c r="I203" i="10"/>
  <c r="T202" i="10"/>
  <c r="I202" i="10"/>
  <c r="T201" i="10"/>
  <c r="I201" i="10"/>
  <c r="T200" i="10"/>
  <c r="I200" i="10"/>
  <c r="T199" i="10"/>
  <c r="V199" i="10" s="1"/>
  <c r="I199" i="10"/>
  <c r="T198" i="10"/>
  <c r="V198" i="10" s="1"/>
  <c r="U198" i="10" s="1"/>
  <c r="I198" i="10"/>
  <c r="T197" i="10"/>
  <c r="I197" i="10"/>
  <c r="T196" i="10"/>
  <c r="I196" i="10"/>
  <c r="T195" i="10"/>
  <c r="I195" i="10"/>
  <c r="T194" i="10"/>
  <c r="I194" i="10"/>
  <c r="T193" i="10"/>
  <c r="I193" i="10"/>
  <c r="T192" i="10"/>
  <c r="V192" i="10" s="1"/>
  <c r="I192" i="10"/>
  <c r="T191" i="10"/>
  <c r="V191" i="10" s="1"/>
  <c r="U191" i="10" s="1"/>
  <c r="I191" i="10"/>
  <c r="T190" i="10"/>
  <c r="I190" i="10"/>
  <c r="T189" i="10"/>
  <c r="I189" i="10"/>
  <c r="T188" i="10"/>
  <c r="I188" i="10"/>
  <c r="T187" i="10"/>
  <c r="I187" i="10"/>
  <c r="T186" i="10"/>
  <c r="I186" i="10"/>
  <c r="T185" i="10"/>
  <c r="V185" i="10" s="1"/>
  <c r="I185" i="10"/>
  <c r="T184" i="10"/>
  <c r="V184" i="10" s="1"/>
  <c r="U184" i="10" s="1"/>
  <c r="I184" i="10"/>
  <c r="T183" i="10"/>
  <c r="I183" i="10"/>
  <c r="T182" i="10"/>
  <c r="I182" i="10"/>
  <c r="T181" i="10"/>
  <c r="I181" i="10"/>
  <c r="T180" i="10"/>
  <c r="I180" i="10"/>
  <c r="T179" i="10"/>
  <c r="I179" i="10"/>
  <c r="T178" i="10"/>
  <c r="V178" i="10" s="1"/>
  <c r="I178" i="10"/>
  <c r="T177" i="10"/>
  <c r="V177" i="10" s="1"/>
  <c r="I177" i="10"/>
  <c r="T176" i="10"/>
  <c r="I176" i="10"/>
  <c r="T175" i="10"/>
  <c r="I175" i="10"/>
  <c r="T174" i="10"/>
  <c r="I174" i="10"/>
  <c r="T173" i="10"/>
  <c r="I173" i="10"/>
  <c r="T172" i="10"/>
  <c r="V172" i="10" s="1"/>
  <c r="I172" i="10"/>
  <c r="T171" i="10"/>
  <c r="V171" i="10" s="1"/>
  <c r="I171" i="10"/>
  <c r="T170" i="10"/>
  <c r="I170" i="10"/>
  <c r="T169" i="10"/>
  <c r="I169" i="10"/>
  <c r="T168" i="10"/>
  <c r="I168" i="10"/>
  <c r="T167" i="10"/>
  <c r="I167" i="10"/>
  <c r="T166" i="10"/>
  <c r="V166" i="10" s="1"/>
  <c r="I166" i="10"/>
  <c r="T165" i="10"/>
  <c r="V165" i="10" s="1"/>
  <c r="U165" i="10" s="1"/>
  <c r="I165" i="10"/>
  <c r="T164" i="10"/>
  <c r="I164" i="10"/>
  <c r="T163" i="10"/>
  <c r="I163" i="10"/>
  <c r="T162" i="10"/>
  <c r="I162" i="10"/>
  <c r="T161" i="10"/>
  <c r="I161" i="10"/>
  <c r="T160" i="10"/>
  <c r="V160" i="10" s="1"/>
  <c r="I160" i="10"/>
  <c r="T159" i="10"/>
  <c r="V159" i="10" s="1"/>
  <c r="U159" i="10" s="1"/>
  <c r="I159" i="10"/>
  <c r="T158" i="10"/>
  <c r="I158" i="10"/>
  <c r="T157" i="10"/>
  <c r="I157" i="10"/>
  <c r="T156" i="10"/>
  <c r="I156" i="10"/>
  <c r="T155" i="10"/>
  <c r="I155" i="10"/>
  <c r="T154" i="10"/>
  <c r="V154" i="10" s="1"/>
  <c r="I154" i="10"/>
  <c r="T153" i="10"/>
  <c r="V153" i="10" s="1"/>
  <c r="I153" i="10"/>
  <c r="T152" i="10"/>
  <c r="I152" i="10"/>
  <c r="T151" i="10"/>
  <c r="I151" i="10"/>
  <c r="T150" i="10"/>
  <c r="I150" i="10"/>
  <c r="T149" i="10"/>
  <c r="I149" i="10"/>
  <c r="T148" i="10"/>
  <c r="V148" i="10" s="1"/>
  <c r="I148" i="10"/>
  <c r="T147" i="10"/>
  <c r="V147" i="10" s="1"/>
  <c r="U147" i="10" s="1"/>
  <c r="I147" i="10"/>
  <c r="T146" i="10"/>
  <c r="I146" i="10"/>
  <c r="T145" i="10"/>
  <c r="I145" i="10"/>
  <c r="T144" i="10"/>
  <c r="I144" i="10"/>
  <c r="T143" i="10"/>
  <c r="I143" i="10"/>
  <c r="T142" i="10"/>
  <c r="V142" i="10" s="1"/>
  <c r="I142" i="10"/>
  <c r="T141" i="10"/>
  <c r="V141" i="10" s="1"/>
  <c r="U141" i="10" s="1"/>
  <c r="I141" i="10"/>
  <c r="T140" i="10"/>
  <c r="I140" i="10"/>
  <c r="T139" i="10"/>
  <c r="I139" i="10"/>
  <c r="T138" i="10"/>
  <c r="I138" i="10"/>
  <c r="T137" i="10"/>
  <c r="I137" i="10"/>
  <c r="T136" i="10"/>
  <c r="V136" i="10" s="1"/>
  <c r="I136" i="10"/>
  <c r="T135" i="10"/>
  <c r="V135" i="10" s="1"/>
  <c r="I135" i="10"/>
  <c r="T134" i="10"/>
  <c r="I134" i="10"/>
  <c r="T133" i="10"/>
  <c r="I133" i="10"/>
  <c r="T132" i="10"/>
  <c r="I132" i="10"/>
  <c r="T131" i="10"/>
  <c r="I131" i="10"/>
  <c r="T130" i="10"/>
  <c r="V130" i="10" s="1"/>
  <c r="I130" i="10"/>
  <c r="T129" i="10"/>
  <c r="V129" i="10" s="1"/>
  <c r="I129" i="10"/>
  <c r="T128" i="10"/>
  <c r="I128" i="10"/>
  <c r="T127" i="10"/>
  <c r="I127" i="10"/>
  <c r="T126" i="10"/>
  <c r="I126" i="10"/>
  <c r="T125" i="10"/>
  <c r="I125" i="10"/>
  <c r="T124" i="10"/>
  <c r="V124" i="10" s="1"/>
  <c r="I124" i="10"/>
  <c r="T123" i="10"/>
  <c r="V123" i="10" s="1"/>
  <c r="U123" i="10" s="1"/>
  <c r="I123" i="10"/>
  <c r="T122" i="10"/>
  <c r="I122" i="10"/>
  <c r="T121" i="10"/>
  <c r="I121" i="10"/>
  <c r="T120" i="10"/>
  <c r="I120" i="10"/>
  <c r="T119" i="10"/>
  <c r="I119" i="10"/>
  <c r="T118" i="10"/>
  <c r="V118" i="10" s="1"/>
  <c r="I118" i="10"/>
  <c r="T117" i="10"/>
  <c r="V117" i="10" s="1"/>
  <c r="U117" i="10" s="1"/>
  <c r="I117" i="10"/>
  <c r="T116" i="10"/>
  <c r="I116" i="10"/>
  <c r="T115" i="10"/>
  <c r="I115" i="10"/>
  <c r="T114" i="10"/>
  <c r="I114" i="10"/>
  <c r="T113" i="10"/>
  <c r="I113" i="10"/>
  <c r="T112" i="10"/>
  <c r="V112" i="10" s="1"/>
  <c r="I112" i="10"/>
  <c r="T111" i="10"/>
  <c r="V111" i="10" s="1"/>
  <c r="U111" i="10" s="1"/>
  <c r="I111" i="10"/>
  <c r="T110" i="10"/>
  <c r="I110" i="10"/>
  <c r="T109" i="10"/>
  <c r="I109" i="10"/>
  <c r="T108" i="10"/>
  <c r="I108" i="10"/>
  <c r="T107" i="10"/>
  <c r="I107" i="10"/>
  <c r="T106" i="10"/>
  <c r="V106" i="10" s="1"/>
  <c r="I106" i="10"/>
  <c r="T105" i="10"/>
  <c r="V105" i="10" s="1"/>
  <c r="U105" i="10" s="1"/>
  <c r="I105" i="10"/>
  <c r="T104" i="10"/>
  <c r="I104" i="10"/>
  <c r="T103" i="10"/>
  <c r="I103" i="10"/>
  <c r="T102" i="10"/>
  <c r="I102" i="10"/>
  <c r="T101" i="10"/>
  <c r="I101" i="10"/>
  <c r="T100" i="10"/>
  <c r="I100" i="10"/>
  <c r="V99" i="10"/>
  <c r="T99" i="10"/>
  <c r="I99" i="10"/>
  <c r="T98" i="10"/>
  <c r="V98" i="10" s="1"/>
  <c r="U98" i="10" s="1"/>
  <c r="I98" i="10"/>
  <c r="R97" i="10"/>
  <c r="T97" i="10" s="1"/>
  <c r="I97" i="10"/>
  <c r="R96" i="10"/>
  <c r="T96" i="10" s="1"/>
  <c r="I96" i="10"/>
  <c r="R95" i="10"/>
  <c r="T95" i="10" s="1"/>
  <c r="I95" i="10"/>
  <c r="R94" i="10"/>
  <c r="T94" i="10" s="1"/>
  <c r="I94" i="10"/>
  <c r="R93" i="10"/>
  <c r="T93" i="10" s="1"/>
  <c r="I93" i="10"/>
  <c r="R92" i="10"/>
  <c r="T92" i="10" s="1"/>
  <c r="V92" i="10" s="1"/>
  <c r="I92" i="10"/>
  <c r="R91" i="10"/>
  <c r="T91" i="10" s="1"/>
  <c r="V91" i="10" s="1"/>
  <c r="U91" i="10" s="1"/>
  <c r="I91" i="10"/>
  <c r="T90" i="10"/>
  <c r="R90" i="10"/>
  <c r="I90" i="10"/>
  <c r="T89" i="10"/>
  <c r="R89" i="10"/>
  <c r="I89" i="10"/>
  <c r="T88" i="10"/>
  <c r="R88" i="10"/>
  <c r="I88" i="10"/>
  <c r="T87" i="10"/>
  <c r="R87" i="10"/>
  <c r="I87" i="10"/>
  <c r="T86" i="10"/>
  <c r="R86" i="10"/>
  <c r="I86" i="10"/>
  <c r="T85" i="10"/>
  <c r="R85" i="10"/>
  <c r="I85" i="10"/>
  <c r="V84" i="10"/>
  <c r="T84" i="10"/>
  <c r="V85" i="10" s="1"/>
  <c r="R84" i="10"/>
  <c r="I84" i="10"/>
  <c r="I83" i="10"/>
  <c r="I82" i="10"/>
  <c r="I81" i="10"/>
  <c r="I80" i="10"/>
  <c r="I79" i="10"/>
  <c r="V78" i="10"/>
  <c r="I78" i="10"/>
  <c r="V77" i="10"/>
  <c r="U77" i="10" s="1"/>
  <c r="I77" i="10"/>
  <c r="T76" i="10"/>
  <c r="I76" i="10"/>
  <c r="T75" i="10"/>
  <c r="I75" i="10"/>
  <c r="T74" i="10"/>
  <c r="I74" i="10"/>
  <c r="T73" i="10"/>
  <c r="I73" i="10"/>
  <c r="T72" i="10"/>
  <c r="V72" i="10" s="1"/>
  <c r="I72" i="10"/>
  <c r="T71" i="10"/>
  <c r="V71" i="10" s="1"/>
  <c r="I71" i="10"/>
  <c r="R70" i="10"/>
  <c r="T70" i="10" s="1"/>
  <c r="I70" i="10"/>
  <c r="R69" i="10"/>
  <c r="T69" i="10" s="1"/>
  <c r="I69" i="10"/>
  <c r="R68" i="10"/>
  <c r="T68" i="10" s="1"/>
  <c r="I68" i="10"/>
  <c r="R67" i="10"/>
  <c r="T67" i="10" s="1"/>
  <c r="I67" i="10"/>
  <c r="R66" i="10"/>
  <c r="T66" i="10" s="1"/>
  <c r="V66" i="10" s="1"/>
  <c r="I66" i="10"/>
  <c r="R65" i="10"/>
  <c r="T65" i="10" s="1"/>
  <c r="V65" i="10" s="1"/>
  <c r="U65" i="10" s="1"/>
  <c r="I65" i="10"/>
  <c r="R64" i="10"/>
  <c r="T64" i="10" s="1"/>
  <c r="I64" i="10"/>
  <c r="R63" i="10"/>
  <c r="T63" i="10" s="1"/>
  <c r="I63" i="10"/>
  <c r="R62" i="10"/>
  <c r="T62" i="10" s="1"/>
  <c r="I62" i="10"/>
  <c r="R61" i="10"/>
  <c r="T61" i="10" s="1"/>
  <c r="I61" i="10"/>
  <c r="R60" i="10"/>
  <c r="T60" i="10" s="1"/>
  <c r="V60" i="10" s="1"/>
  <c r="I60" i="10"/>
  <c r="R59" i="10"/>
  <c r="T59" i="10" s="1"/>
  <c r="V59" i="10" s="1"/>
  <c r="U59" i="10" s="1"/>
  <c r="I59" i="10"/>
  <c r="R58" i="10"/>
  <c r="T58" i="10" s="1"/>
  <c r="I58" i="10"/>
  <c r="R57" i="10"/>
  <c r="T57" i="10" s="1"/>
  <c r="I57" i="10"/>
  <c r="R56" i="10"/>
  <c r="T56" i="10" s="1"/>
  <c r="I56" i="10"/>
  <c r="R55" i="10"/>
  <c r="T55" i="10" s="1"/>
  <c r="I55" i="10"/>
  <c r="R54" i="10"/>
  <c r="T54" i="10" s="1"/>
  <c r="V54" i="10" s="1"/>
  <c r="I54" i="10"/>
  <c r="R53" i="10"/>
  <c r="T53" i="10" s="1"/>
  <c r="V53" i="10" s="1"/>
  <c r="U53" i="10" s="1"/>
  <c r="I53" i="10"/>
  <c r="R52" i="10"/>
  <c r="T52" i="10" s="1"/>
  <c r="I52" i="10"/>
  <c r="R51" i="10"/>
  <c r="T51" i="10" s="1"/>
  <c r="I51" i="10"/>
  <c r="R50" i="10"/>
  <c r="T50" i="10" s="1"/>
  <c r="I50" i="10"/>
  <c r="R49" i="10"/>
  <c r="T49" i="10" s="1"/>
  <c r="I49" i="10"/>
  <c r="R48" i="10"/>
  <c r="T48" i="10" s="1"/>
  <c r="I48" i="10"/>
  <c r="R47" i="10"/>
  <c r="T47" i="10" s="1"/>
  <c r="V47" i="10" s="1"/>
  <c r="I47" i="10"/>
  <c r="R46" i="10"/>
  <c r="T46" i="10" s="1"/>
  <c r="V46" i="10" s="1"/>
  <c r="U46" i="10" s="1"/>
  <c r="I46" i="10"/>
  <c r="R45" i="10"/>
  <c r="T45" i="10" s="1"/>
  <c r="I45" i="10"/>
  <c r="R44" i="10"/>
  <c r="T44" i="10" s="1"/>
  <c r="I44" i="10"/>
  <c r="R43" i="10"/>
  <c r="T43" i="10" s="1"/>
  <c r="I43" i="10"/>
  <c r="R42" i="10"/>
  <c r="T42" i="10" s="1"/>
  <c r="I42" i="10"/>
  <c r="R41" i="10"/>
  <c r="T41" i="10" s="1"/>
  <c r="V41" i="10" s="1"/>
  <c r="I41" i="10"/>
  <c r="R40" i="10"/>
  <c r="T40" i="10" s="1"/>
  <c r="V40" i="10" s="1"/>
  <c r="U40" i="10" s="1"/>
  <c r="I40" i="10"/>
  <c r="R39" i="10"/>
  <c r="T39" i="10" s="1"/>
  <c r="I39" i="10"/>
  <c r="R38" i="10"/>
  <c r="T38" i="10" s="1"/>
  <c r="I38" i="10"/>
  <c r="R37" i="10"/>
  <c r="T37" i="10" s="1"/>
  <c r="I37" i="10"/>
  <c r="R36" i="10"/>
  <c r="T36" i="10" s="1"/>
  <c r="I36" i="10"/>
  <c r="R35" i="10"/>
  <c r="T35" i="10" s="1"/>
  <c r="V35" i="10" s="1"/>
  <c r="I35" i="10"/>
  <c r="R34" i="10"/>
  <c r="T34" i="10" s="1"/>
  <c r="V34" i="10" s="1"/>
  <c r="U34" i="10" s="1"/>
  <c r="I34" i="10"/>
  <c r="R33" i="10"/>
  <c r="T33" i="10" s="1"/>
  <c r="I33" i="10"/>
  <c r="R32" i="10"/>
  <c r="T32" i="10" s="1"/>
  <c r="I32" i="10"/>
  <c r="R31" i="10"/>
  <c r="T31" i="10" s="1"/>
  <c r="I31" i="10"/>
  <c r="R30" i="10"/>
  <c r="T30" i="10" s="1"/>
  <c r="I30" i="10"/>
  <c r="R29" i="10"/>
  <c r="T29" i="10" s="1"/>
  <c r="V29" i="10" s="1"/>
  <c r="I29" i="10"/>
  <c r="R28" i="10"/>
  <c r="T28" i="10" s="1"/>
  <c r="V28" i="10" s="1"/>
  <c r="I28" i="10"/>
  <c r="R27" i="10"/>
  <c r="T27" i="10" s="1"/>
  <c r="I27" i="10"/>
  <c r="R26" i="10"/>
  <c r="T26" i="10" s="1"/>
  <c r="I26" i="10"/>
  <c r="R25" i="10"/>
  <c r="T25" i="10" s="1"/>
  <c r="I25" i="10"/>
  <c r="R24" i="10"/>
  <c r="T24" i="10" s="1"/>
  <c r="I24" i="10"/>
  <c r="R23" i="10"/>
  <c r="T23" i="10" s="1"/>
  <c r="V23" i="10" s="1"/>
  <c r="I23" i="10"/>
  <c r="R22" i="10"/>
  <c r="T22" i="10" s="1"/>
  <c r="I22" i="10"/>
  <c r="R21" i="10"/>
  <c r="T21" i="10" s="1"/>
  <c r="I21" i="10"/>
  <c r="R20" i="10"/>
  <c r="T20" i="10" s="1"/>
  <c r="I20" i="10"/>
  <c r="R19" i="10"/>
  <c r="T19" i="10" s="1"/>
  <c r="V19" i="10" s="1"/>
  <c r="I19" i="10"/>
  <c r="R18" i="10"/>
  <c r="T18" i="10" s="1"/>
  <c r="V18" i="10" s="1"/>
  <c r="U18" i="10" s="1"/>
  <c r="I18" i="10"/>
  <c r="R17" i="10"/>
  <c r="T17" i="10" s="1"/>
  <c r="I17" i="10"/>
  <c r="R16" i="10"/>
  <c r="T16" i="10" s="1"/>
  <c r="I16" i="10"/>
  <c r="R15" i="10"/>
  <c r="T15" i="10" s="1"/>
  <c r="I15" i="10"/>
  <c r="R14" i="10"/>
  <c r="T14" i="10" s="1"/>
  <c r="V13" i="10" s="1"/>
  <c r="I14" i="10"/>
  <c r="R13" i="10"/>
  <c r="T13" i="10" s="1"/>
  <c r="V14" i="10" s="1"/>
  <c r="I13" i="10"/>
  <c r="R12" i="10"/>
  <c r="T12" i="10" s="1"/>
  <c r="I12" i="10"/>
  <c r="R11" i="10"/>
  <c r="T11" i="10" s="1"/>
  <c r="I11" i="10"/>
  <c r="R10" i="10"/>
  <c r="T10" i="10" s="1"/>
  <c r="I10" i="10"/>
  <c r="R9" i="10"/>
  <c r="T9" i="10" s="1"/>
  <c r="V8" i="10" s="1"/>
  <c r="I9" i="10"/>
  <c r="R8" i="10"/>
  <c r="T8" i="10" s="1"/>
  <c r="V9" i="10" s="1"/>
  <c r="I8" i="10"/>
  <c r="R7" i="10"/>
  <c r="T7" i="10" s="1"/>
  <c r="I7" i="10"/>
  <c r="R6" i="10"/>
  <c r="T6" i="10" s="1"/>
  <c r="I6" i="10"/>
  <c r="R5" i="10"/>
  <c r="T5" i="10" s="1"/>
  <c r="I5" i="10"/>
  <c r="R4" i="10"/>
  <c r="T4" i="10" s="1"/>
  <c r="V3" i="10" s="1"/>
  <c r="I4" i="10"/>
  <c r="R3" i="10"/>
  <c r="T3" i="10" s="1"/>
  <c r="V4" i="10" s="1"/>
  <c r="I3" i="10"/>
  <c r="S644" i="4"/>
  <c r="T644" i="4" s="1"/>
  <c r="S643" i="4"/>
  <c r="T643" i="4" s="1"/>
  <c r="S642" i="4"/>
  <c r="T642" i="4" s="1"/>
  <c r="S641" i="4"/>
  <c r="T641" i="4" s="1"/>
  <c r="S640" i="4"/>
  <c r="S639" i="4"/>
  <c r="T639" i="4" s="1"/>
  <c r="S638" i="4"/>
  <c r="T638" i="4" s="1"/>
  <c r="S637" i="4"/>
  <c r="T637" i="4" s="1"/>
  <c r="S636" i="4"/>
  <c r="T636" i="4" s="1"/>
  <c r="S635" i="4"/>
  <c r="S634" i="4"/>
  <c r="T634" i="4" s="1"/>
  <c r="S633" i="4"/>
  <c r="T633" i="4" s="1"/>
  <c r="S632" i="4"/>
  <c r="T632" i="4" s="1"/>
  <c r="S631" i="4"/>
  <c r="T631" i="4" s="1"/>
  <c r="S630" i="4"/>
  <c r="S629" i="4"/>
  <c r="T629" i="4" s="1"/>
  <c r="S628" i="4"/>
  <c r="T628" i="4" s="1"/>
  <c r="S627" i="4"/>
  <c r="T627" i="4" s="1"/>
  <c r="S626" i="4"/>
  <c r="T626" i="4" s="1"/>
  <c r="S625" i="4"/>
  <c r="S624" i="4"/>
  <c r="T624" i="4" s="1"/>
  <c r="S623" i="4"/>
  <c r="T623" i="4" s="1"/>
  <c r="S622" i="4"/>
  <c r="T622" i="4" s="1"/>
  <c r="S621" i="4"/>
  <c r="T621" i="4" s="1"/>
  <c r="S620" i="4"/>
  <c r="S619" i="4"/>
  <c r="T619" i="4" s="1"/>
  <c r="S618" i="4"/>
  <c r="T618" i="4" s="1"/>
  <c r="S617" i="4"/>
  <c r="T617" i="4" s="1"/>
  <c r="S616" i="4"/>
  <c r="T616" i="4" s="1"/>
  <c r="S615" i="4"/>
  <c r="S614" i="4"/>
  <c r="T614" i="4" s="1"/>
  <c r="S613" i="4"/>
  <c r="T613" i="4" s="1"/>
  <c r="S612" i="4"/>
  <c r="T612" i="4" s="1"/>
  <c r="S611" i="4"/>
  <c r="T611" i="4" s="1"/>
  <c r="S610" i="4"/>
  <c r="S609" i="4"/>
  <c r="T609" i="4" s="1"/>
  <c r="H609" i="4"/>
  <c r="S608" i="4"/>
  <c r="T608" i="4" s="1"/>
  <c r="H608" i="4"/>
  <c r="S607" i="4"/>
  <c r="T607" i="4" s="1"/>
  <c r="H607" i="4"/>
  <c r="S606" i="4"/>
  <c r="T606" i="4" s="1"/>
  <c r="H606" i="4"/>
  <c r="S605" i="4"/>
  <c r="H605" i="4"/>
  <c r="S604" i="4"/>
  <c r="T604" i="4" s="1"/>
  <c r="S603" i="4"/>
  <c r="T603" i="4" s="1"/>
  <c r="S602" i="4"/>
  <c r="T602" i="4" s="1"/>
  <c r="S601" i="4"/>
  <c r="T601" i="4" s="1"/>
  <c r="S600" i="4"/>
  <c r="S599" i="4"/>
  <c r="T599" i="4" s="1"/>
  <c r="S598" i="4"/>
  <c r="T598" i="4" s="1"/>
  <c r="S597" i="4"/>
  <c r="T597" i="4" s="1"/>
  <c r="S596" i="4"/>
  <c r="T596" i="4" s="1"/>
  <c r="S595" i="4"/>
  <c r="S594" i="4"/>
  <c r="T594" i="4" s="1"/>
  <c r="P594" i="4"/>
  <c r="G594" i="4"/>
  <c r="S593" i="4"/>
  <c r="T593" i="4" s="1"/>
  <c r="P593" i="4"/>
  <c r="G593" i="4"/>
  <c r="S592" i="4"/>
  <c r="T592" i="4" s="1"/>
  <c r="P592" i="4"/>
  <c r="G592" i="4"/>
  <c r="S591" i="4"/>
  <c r="P591" i="4"/>
  <c r="G591" i="4"/>
  <c r="S590" i="4"/>
  <c r="T590" i="4" s="1"/>
  <c r="P590" i="4"/>
  <c r="G590" i="4"/>
  <c r="S589" i="4"/>
  <c r="T589" i="4" s="1"/>
  <c r="P589" i="4"/>
  <c r="G589" i="4"/>
  <c r="S588" i="4"/>
  <c r="T588" i="4" s="1"/>
  <c r="P588" i="4"/>
  <c r="G588" i="4"/>
  <c r="S587" i="4"/>
  <c r="P587" i="4"/>
  <c r="G587" i="4"/>
  <c r="S586" i="4"/>
  <c r="T586" i="4" s="1"/>
  <c r="P586" i="4"/>
  <c r="G586" i="4"/>
  <c r="S585" i="4"/>
  <c r="T585" i="4" s="1"/>
  <c r="P585" i="4"/>
  <c r="G585" i="4"/>
  <c r="S584" i="4"/>
  <c r="T584" i="4" s="1"/>
  <c r="P584" i="4"/>
  <c r="G584" i="4"/>
  <c r="S583" i="4"/>
  <c r="T583" i="4" s="1"/>
  <c r="P583" i="4"/>
  <c r="G583" i="4"/>
  <c r="S582" i="4"/>
  <c r="P582" i="4"/>
  <c r="G582" i="4"/>
  <c r="S581" i="4"/>
  <c r="T581" i="4" s="1"/>
  <c r="P581" i="4"/>
  <c r="G581" i="4"/>
  <c r="S580" i="4"/>
  <c r="T580" i="4" s="1"/>
  <c r="P580" i="4"/>
  <c r="G580" i="4"/>
  <c r="S579" i="4"/>
  <c r="T579" i="4" s="1"/>
  <c r="P579" i="4"/>
  <c r="G579" i="4"/>
  <c r="S578" i="4"/>
  <c r="P578" i="4"/>
  <c r="G578" i="4"/>
  <c r="S577" i="4"/>
  <c r="T577" i="4" s="1"/>
  <c r="P577" i="4"/>
  <c r="G577" i="4"/>
  <c r="S576" i="4"/>
  <c r="T576" i="4" s="1"/>
  <c r="P576" i="4"/>
  <c r="G576" i="4"/>
  <c r="S575" i="4"/>
  <c r="T575" i="4" s="1"/>
  <c r="P575" i="4"/>
  <c r="G575" i="4"/>
  <c r="S574" i="4"/>
  <c r="T574" i="4" s="1"/>
  <c r="P574" i="4"/>
  <c r="G574" i="4"/>
  <c r="S573" i="4"/>
  <c r="P573" i="4"/>
  <c r="G573" i="4"/>
  <c r="S572" i="4"/>
  <c r="T572" i="4" s="1"/>
  <c r="P572" i="4"/>
  <c r="G572" i="4"/>
  <c r="S571" i="4"/>
  <c r="T571" i="4" s="1"/>
  <c r="P571" i="4"/>
  <c r="G571" i="4"/>
  <c r="S570" i="4"/>
  <c r="T570" i="4" s="1"/>
  <c r="P570" i="4"/>
  <c r="G570" i="4"/>
  <c r="S569" i="4"/>
  <c r="T569" i="4" s="1"/>
  <c r="P569" i="4"/>
  <c r="G569" i="4"/>
  <c r="S568" i="4"/>
  <c r="P568" i="4"/>
  <c r="G568" i="4"/>
  <c r="S567" i="4"/>
  <c r="T567" i="4" s="1"/>
  <c r="P567" i="4"/>
  <c r="S566" i="4"/>
  <c r="T566" i="4" s="1"/>
  <c r="P566" i="4"/>
  <c r="S565" i="4"/>
  <c r="T565" i="4" s="1"/>
  <c r="P565" i="4"/>
  <c r="S564" i="4"/>
  <c r="T564" i="4" s="1"/>
  <c r="P564" i="4"/>
  <c r="S563" i="4"/>
  <c r="P563" i="4"/>
  <c r="S562" i="4"/>
  <c r="T562" i="4" s="1"/>
  <c r="P562" i="4"/>
  <c r="S561" i="4"/>
  <c r="T561" i="4" s="1"/>
  <c r="P561" i="4"/>
  <c r="S560" i="4"/>
  <c r="T560" i="4" s="1"/>
  <c r="P560" i="4"/>
  <c r="S559" i="4"/>
  <c r="T559" i="4" s="1"/>
  <c r="P559" i="4"/>
  <c r="S558" i="4"/>
  <c r="P558" i="4"/>
  <c r="S557" i="4"/>
  <c r="T557" i="4" s="1"/>
  <c r="P557" i="4"/>
  <c r="S556" i="4"/>
  <c r="T556" i="4" s="1"/>
  <c r="P556" i="4"/>
  <c r="S555" i="4"/>
  <c r="T555" i="4" s="1"/>
  <c r="P555" i="4"/>
  <c r="S554" i="4"/>
  <c r="T554" i="4" s="1"/>
  <c r="P554" i="4"/>
  <c r="S553" i="4"/>
  <c r="P553" i="4"/>
  <c r="S552" i="4"/>
  <c r="T552" i="4" s="1"/>
  <c r="P552" i="4"/>
  <c r="S551" i="4"/>
  <c r="T551" i="4" s="1"/>
  <c r="P551" i="4"/>
  <c r="S550" i="4"/>
  <c r="T550" i="4" s="1"/>
  <c r="P550" i="4"/>
  <c r="S549" i="4"/>
  <c r="T549" i="4" s="1"/>
  <c r="P549" i="4"/>
  <c r="S548" i="4"/>
  <c r="P548" i="4"/>
  <c r="S547" i="4"/>
  <c r="T547" i="4" s="1"/>
  <c r="P547" i="4"/>
  <c r="G547" i="4"/>
  <c r="S546" i="4"/>
  <c r="T546" i="4" s="1"/>
  <c r="P546" i="4"/>
  <c r="G546" i="4"/>
  <c r="S545" i="4"/>
  <c r="T545" i="4" s="1"/>
  <c r="P545" i="4"/>
  <c r="G545" i="4"/>
  <c r="S544" i="4"/>
  <c r="T544" i="4" s="1"/>
  <c r="P544" i="4"/>
  <c r="G544" i="4"/>
  <c r="S543" i="4"/>
  <c r="P543" i="4"/>
  <c r="G543" i="4"/>
  <c r="S542" i="4"/>
  <c r="T542" i="4" s="1"/>
  <c r="P542" i="4"/>
  <c r="G542" i="4"/>
  <c r="S541" i="4"/>
  <c r="T541" i="4" s="1"/>
  <c r="P541" i="4"/>
  <c r="G541" i="4"/>
  <c r="S540" i="4"/>
  <c r="T540" i="4" s="1"/>
  <c r="P540" i="4"/>
  <c r="G540" i="4"/>
  <c r="S539" i="4"/>
  <c r="T539" i="4" s="1"/>
  <c r="P539" i="4"/>
  <c r="G539" i="4"/>
  <c r="S538" i="4"/>
  <c r="P538" i="4"/>
  <c r="G538" i="4"/>
  <c r="S537" i="4"/>
  <c r="T537" i="4" s="1"/>
  <c r="P537" i="4"/>
  <c r="G537" i="4"/>
  <c r="S536" i="4"/>
  <c r="T536" i="4" s="1"/>
  <c r="P536" i="4"/>
  <c r="G536" i="4"/>
  <c r="S535" i="4"/>
  <c r="T535" i="4" s="1"/>
  <c r="P535" i="4"/>
  <c r="G535" i="4"/>
  <c r="S534" i="4"/>
  <c r="T534" i="4" s="1"/>
  <c r="P534" i="4"/>
  <c r="G534" i="4"/>
  <c r="S533" i="4"/>
  <c r="P533" i="4"/>
  <c r="S532" i="4"/>
  <c r="T532" i="4" s="1"/>
  <c r="P532" i="4"/>
  <c r="G532" i="4"/>
  <c r="S531" i="4"/>
  <c r="T531" i="4" s="1"/>
  <c r="P531" i="4"/>
  <c r="G531" i="4"/>
  <c r="S530" i="4"/>
  <c r="T530" i="4" s="1"/>
  <c r="P530" i="4"/>
  <c r="G530" i="4"/>
  <c r="S529" i="4"/>
  <c r="T529" i="4" s="1"/>
  <c r="P529" i="4"/>
  <c r="G529" i="4"/>
  <c r="S528" i="4"/>
  <c r="P528" i="4"/>
  <c r="G528" i="4"/>
  <c r="S527" i="4"/>
  <c r="T527" i="4" s="1"/>
  <c r="P527" i="4"/>
  <c r="G527" i="4"/>
  <c r="S526" i="4"/>
  <c r="T526" i="4" s="1"/>
  <c r="P526" i="4"/>
  <c r="G526" i="4"/>
  <c r="S525" i="4"/>
  <c r="T525" i="4" s="1"/>
  <c r="P525" i="4"/>
  <c r="G525" i="4"/>
  <c r="S524" i="4"/>
  <c r="T524" i="4" s="1"/>
  <c r="P524" i="4"/>
  <c r="G524" i="4"/>
  <c r="S523" i="4"/>
  <c r="P523" i="4"/>
  <c r="G523" i="4"/>
  <c r="S522" i="4"/>
  <c r="T522" i="4" s="1"/>
  <c r="P522" i="4"/>
  <c r="G522" i="4"/>
  <c r="S521" i="4"/>
  <c r="T521" i="4" s="1"/>
  <c r="P521" i="4"/>
  <c r="G521" i="4"/>
  <c r="S520" i="4"/>
  <c r="T520" i="4" s="1"/>
  <c r="P520" i="4"/>
  <c r="G520" i="4"/>
  <c r="S519" i="4"/>
  <c r="T519" i="4" s="1"/>
  <c r="P519" i="4"/>
  <c r="G519" i="4"/>
  <c r="S518" i="4"/>
  <c r="P518" i="4"/>
  <c r="S517" i="4"/>
  <c r="T517" i="4" s="1"/>
  <c r="P517" i="4"/>
  <c r="G517" i="4"/>
  <c r="S516" i="4"/>
  <c r="T516" i="4" s="1"/>
  <c r="P516" i="4"/>
  <c r="G516" i="4"/>
  <c r="S515" i="4"/>
  <c r="T515" i="4" s="1"/>
  <c r="P515" i="4"/>
  <c r="G515" i="4"/>
  <c r="S514" i="4"/>
  <c r="T514" i="4" s="1"/>
  <c r="P514" i="4"/>
  <c r="G514" i="4"/>
  <c r="S513" i="4"/>
  <c r="P513" i="4"/>
  <c r="G513" i="4"/>
  <c r="S512" i="4"/>
  <c r="T512" i="4" s="1"/>
  <c r="P512" i="4"/>
  <c r="G512" i="4"/>
  <c r="S511" i="4"/>
  <c r="T511" i="4" s="1"/>
  <c r="P511" i="4"/>
  <c r="G511" i="4"/>
  <c r="S510" i="4"/>
  <c r="T510" i="4" s="1"/>
  <c r="P510" i="4"/>
  <c r="G510" i="4"/>
  <c r="S509" i="4"/>
  <c r="T509" i="4" s="1"/>
  <c r="P509" i="4"/>
  <c r="G509" i="4"/>
  <c r="S508" i="4"/>
  <c r="P508" i="4"/>
  <c r="G508" i="4"/>
  <c r="S507" i="4"/>
  <c r="T507" i="4" s="1"/>
  <c r="P507" i="4"/>
  <c r="G507" i="4"/>
  <c r="S506" i="4"/>
  <c r="T506" i="4" s="1"/>
  <c r="P506" i="4"/>
  <c r="G506" i="4"/>
  <c r="S505" i="4"/>
  <c r="T505" i="4" s="1"/>
  <c r="P505" i="4"/>
  <c r="G505" i="4"/>
  <c r="S504" i="4"/>
  <c r="T504" i="4" s="1"/>
  <c r="P504" i="4"/>
  <c r="G504" i="4"/>
  <c r="S503" i="4"/>
  <c r="P503" i="4"/>
  <c r="G503" i="4"/>
  <c r="S502" i="4"/>
  <c r="T502" i="4" s="1"/>
  <c r="P502" i="4"/>
  <c r="G502" i="4"/>
  <c r="S501" i="4"/>
  <c r="T501" i="4" s="1"/>
  <c r="P501" i="4"/>
  <c r="G501" i="4"/>
  <c r="S500" i="4"/>
  <c r="T500" i="4" s="1"/>
  <c r="P500" i="4"/>
  <c r="G500" i="4"/>
  <c r="S499" i="4"/>
  <c r="T499" i="4" s="1"/>
  <c r="P499" i="4"/>
  <c r="G499" i="4"/>
  <c r="S498" i="4"/>
  <c r="P498" i="4"/>
  <c r="G498" i="4"/>
  <c r="S497" i="4"/>
  <c r="T497" i="4" s="1"/>
  <c r="S496" i="4"/>
  <c r="T496" i="4" s="1"/>
  <c r="S495" i="4"/>
  <c r="T495" i="4" s="1"/>
  <c r="S494" i="4"/>
  <c r="AB489" i="4"/>
  <c r="AA489" i="4"/>
  <c r="Z489" i="4"/>
  <c r="Y489" i="4"/>
  <c r="X489" i="4"/>
  <c r="AB484" i="4"/>
  <c r="AA484" i="4"/>
  <c r="Z484" i="4"/>
  <c r="Y484" i="4"/>
  <c r="X484" i="4"/>
  <c r="S483" i="4"/>
  <c r="T483" i="4" s="1"/>
  <c r="S482" i="4"/>
  <c r="T482" i="4" s="1"/>
  <c r="S481" i="4"/>
  <c r="T481" i="4" s="1"/>
  <c r="S480" i="4"/>
  <c r="T480" i="4" s="1"/>
  <c r="S479" i="4"/>
  <c r="S478" i="4"/>
  <c r="T478" i="4" s="1"/>
  <c r="S477" i="4"/>
  <c r="T477" i="4" s="1"/>
  <c r="S476" i="4"/>
  <c r="T476" i="4" s="1"/>
  <c r="S475" i="4"/>
  <c r="T475" i="4" s="1"/>
  <c r="S474" i="4"/>
  <c r="S473" i="4"/>
  <c r="T473" i="4" s="1"/>
  <c r="S472" i="4"/>
  <c r="T472" i="4" s="1"/>
  <c r="S471" i="4"/>
  <c r="T471" i="4" s="1"/>
  <c r="S470" i="4"/>
  <c r="T470" i="4" s="1"/>
  <c r="S469" i="4"/>
  <c r="S468" i="4"/>
  <c r="T468" i="4" s="1"/>
  <c r="S467" i="4"/>
  <c r="T467" i="4" s="1"/>
  <c r="S466" i="4"/>
  <c r="T466" i="4" s="1"/>
  <c r="S465" i="4"/>
  <c r="T465" i="4" s="1"/>
  <c r="S464" i="4"/>
  <c r="S463" i="4"/>
  <c r="T463" i="4" s="1"/>
  <c r="S462" i="4"/>
  <c r="T462" i="4" s="1"/>
  <c r="S461" i="4"/>
  <c r="T461" i="4" s="1"/>
  <c r="S460" i="4"/>
  <c r="T460" i="4" s="1"/>
  <c r="S459" i="4"/>
  <c r="S458" i="4"/>
  <c r="T458" i="4" s="1"/>
  <c r="S457" i="4"/>
  <c r="T457" i="4" s="1"/>
  <c r="S456" i="4"/>
  <c r="T456" i="4" s="1"/>
  <c r="S455" i="4"/>
  <c r="T455" i="4" s="1"/>
  <c r="S454" i="4"/>
  <c r="S453" i="4"/>
  <c r="T453" i="4" s="1"/>
  <c r="S452" i="4"/>
  <c r="T452" i="4" s="1"/>
  <c r="S451" i="4"/>
  <c r="T451" i="4" s="1"/>
  <c r="S450" i="4"/>
  <c r="T450" i="4" s="1"/>
  <c r="S449" i="4"/>
  <c r="S448" i="4"/>
  <c r="T448" i="4" s="1"/>
  <c r="S447" i="4"/>
  <c r="T447" i="4" s="1"/>
  <c r="S446" i="4"/>
  <c r="T446" i="4" s="1"/>
  <c r="S445" i="4"/>
  <c r="T445" i="4" s="1"/>
  <c r="S444" i="4"/>
  <c r="S443" i="4"/>
  <c r="T443" i="4" s="1"/>
  <c r="S442" i="4"/>
  <c r="T442" i="4" s="1"/>
  <c r="S441" i="4"/>
  <c r="T441" i="4" s="1"/>
  <c r="S440" i="4"/>
  <c r="T440" i="4" s="1"/>
  <c r="S439" i="4"/>
  <c r="S438" i="4"/>
  <c r="T438" i="4" s="1"/>
  <c r="S437" i="4"/>
  <c r="T437" i="4" s="1"/>
  <c r="S436" i="4"/>
  <c r="T436" i="4" s="1"/>
  <c r="S435" i="4"/>
  <c r="T435" i="4" s="1"/>
  <c r="S434" i="4"/>
  <c r="S433" i="4"/>
  <c r="T433" i="4" s="1"/>
  <c r="S432" i="4"/>
  <c r="T432" i="4" s="1"/>
  <c r="S431" i="4"/>
  <c r="T431" i="4" s="1"/>
  <c r="S430" i="4"/>
  <c r="T430" i="4" s="1"/>
  <c r="S429" i="4"/>
  <c r="S428" i="4"/>
  <c r="T428" i="4" s="1"/>
  <c r="P428" i="4"/>
  <c r="S427" i="4"/>
  <c r="T427" i="4" s="1"/>
  <c r="P427" i="4"/>
  <c r="S426" i="4"/>
  <c r="T426" i="4" s="1"/>
  <c r="P426" i="4"/>
  <c r="S425" i="4"/>
  <c r="P425" i="4"/>
  <c r="S424" i="4"/>
  <c r="T424" i="4" s="1"/>
  <c r="S423" i="4"/>
  <c r="T423" i="4" s="1"/>
  <c r="P423" i="4"/>
  <c r="S422" i="4"/>
  <c r="T422" i="4" s="1"/>
  <c r="P422" i="4"/>
  <c r="S421" i="4"/>
  <c r="P421" i="4"/>
  <c r="S420" i="4"/>
  <c r="T420" i="4" s="1"/>
  <c r="P420" i="4"/>
  <c r="S419" i="4"/>
  <c r="T419" i="4" s="1"/>
  <c r="P419" i="4"/>
  <c r="S418" i="4"/>
  <c r="T418" i="4" s="1"/>
  <c r="P418" i="4"/>
  <c r="S417" i="4"/>
  <c r="P417" i="4"/>
  <c r="S416" i="4"/>
  <c r="T416" i="4" s="1"/>
  <c r="S415" i="4"/>
  <c r="T415" i="4" s="1"/>
  <c r="S414" i="4"/>
  <c r="T414" i="4" s="1"/>
  <c r="S413" i="4"/>
  <c r="T413" i="4" s="1"/>
  <c r="S412" i="4"/>
  <c r="S411" i="4"/>
  <c r="T411" i="4" s="1"/>
  <c r="P411" i="4"/>
  <c r="S410" i="4"/>
  <c r="T410" i="4" s="1"/>
  <c r="P410" i="4"/>
  <c r="S409" i="4"/>
  <c r="T409" i="4" s="1"/>
  <c r="P409" i="4"/>
  <c r="S408" i="4"/>
  <c r="T408" i="4" s="1"/>
  <c r="P408" i="4"/>
  <c r="S407" i="4"/>
  <c r="P407" i="4"/>
  <c r="S406" i="4"/>
  <c r="T406" i="4" s="1"/>
  <c r="S405" i="4"/>
  <c r="T405" i="4" s="1"/>
  <c r="S404" i="4"/>
  <c r="T404" i="4" s="1"/>
  <c r="S403" i="4"/>
  <c r="T403" i="4" s="1"/>
  <c r="S402" i="4"/>
  <c r="S401" i="4"/>
  <c r="T401" i="4" s="1"/>
  <c r="S400" i="4"/>
  <c r="T400" i="4" s="1"/>
  <c r="S399" i="4"/>
  <c r="T399" i="4" s="1"/>
  <c r="S398" i="4"/>
  <c r="T398" i="4" s="1"/>
  <c r="S397" i="4"/>
  <c r="S396" i="4"/>
  <c r="T396" i="4" s="1"/>
  <c r="S395" i="4"/>
  <c r="T395" i="4" s="1"/>
  <c r="S394" i="4"/>
  <c r="T394" i="4" s="1"/>
  <c r="S393" i="4"/>
  <c r="T393" i="4" s="1"/>
  <c r="S392" i="4"/>
  <c r="S391" i="4"/>
  <c r="T391" i="4" s="1"/>
  <c r="S390" i="4"/>
  <c r="T390" i="4" s="1"/>
  <c r="S389" i="4"/>
  <c r="T389" i="4" s="1"/>
  <c r="S388" i="4"/>
  <c r="T388" i="4" s="1"/>
  <c r="S387" i="4"/>
  <c r="S386" i="4"/>
  <c r="T386" i="4" s="1"/>
  <c r="S385" i="4"/>
  <c r="T385" i="4" s="1"/>
  <c r="S384" i="4"/>
  <c r="T384" i="4" s="1"/>
  <c r="S383" i="4"/>
  <c r="T383" i="4" s="1"/>
  <c r="S382" i="4"/>
  <c r="S381" i="4"/>
  <c r="T381" i="4" s="1"/>
  <c r="S380" i="4"/>
  <c r="T380" i="4" s="1"/>
  <c r="S379" i="4"/>
  <c r="T379" i="4" s="1"/>
  <c r="S378" i="4"/>
  <c r="T378" i="4" s="1"/>
  <c r="S377" i="4"/>
  <c r="S376" i="4"/>
  <c r="T376" i="4" s="1"/>
  <c r="H376" i="4"/>
  <c r="S375" i="4"/>
  <c r="T375" i="4" s="1"/>
  <c r="H375" i="4"/>
  <c r="S374" i="4"/>
  <c r="T374" i="4" s="1"/>
  <c r="H374" i="4"/>
  <c r="S373" i="4"/>
  <c r="T373" i="4" s="1"/>
  <c r="H373" i="4"/>
  <c r="S372" i="4"/>
  <c r="H372" i="4"/>
  <c r="S371" i="4"/>
  <c r="T371" i="4" s="1"/>
  <c r="H371" i="4"/>
  <c r="S370" i="4"/>
  <c r="T370" i="4" s="1"/>
  <c r="H370" i="4"/>
  <c r="S369" i="4"/>
  <c r="T369" i="4" s="1"/>
  <c r="H369" i="4"/>
  <c r="S368" i="4"/>
  <c r="T368" i="4" s="1"/>
  <c r="H368" i="4"/>
  <c r="S367" i="4"/>
  <c r="H367" i="4"/>
  <c r="S366" i="4"/>
  <c r="T366" i="4" s="1"/>
  <c r="H366" i="4"/>
  <c r="S365" i="4"/>
  <c r="T365" i="4" s="1"/>
  <c r="H365" i="4"/>
  <c r="S364" i="4"/>
  <c r="T364" i="4" s="1"/>
  <c r="H364" i="4"/>
  <c r="S363" i="4"/>
  <c r="T363" i="4" s="1"/>
  <c r="H363" i="4"/>
  <c r="S362" i="4"/>
  <c r="H362" i="4"/>
  <c r="S361" i="4"/>
  <c r="T361" i="4" s="1"/>
  <c r="S360" i="4"/>
  <c r="T360" i="4" s="1"/>
  <c r="S359" i="4"/>
  <c r="T359" i="4" s="1"/>
  <c r="S358" i="4"/>
  <c r="T358" i="4" s="1"/>
  <c r="S357" i="4"/>
  <c r="S356" i="4"/>
  <c r="T356" i="4" s="1"/>
  <c r="S355" i="4"/>
  <c r="T355" i="4" s="1"/>
  <c r="S354" i="4"/>
  <c r="T354" i="4" s="1"/>
  <c r="S353" i="4"/>
  <c r="T353" i="4" s="1"/>
  <c r="S352" i="4"/>
  <c r="S351" i="4"/>
  <c r="T351" i="4" s="1"/>
  <c r="S350" i="4"/>
  <c r="T350" i="4" s="1"/>
  <c r="S349" i="4"/>
  <c r="T349" i="4" s="1"/>
  <c r="S348" i="4"/>
  <c r="T348" i="4" s="1"/>
  <c r="S347" i="4"/>
  <c r="S346" i="4"/>
  <c r="T346" i="4" s="1"/>
  <c r="S345" i="4"/>
  <c r="T345" i="4" s="1"/>
  <c r="S344" i="4"/>
  <c r="T344" i="4" s="1"/>
  <c r="S343" i="4"/>
  <c r="T343" i="4" s="1"/>
  <c r="S342" i="4"/>
  <c r="S341" i="4"/>
  <c r="T341" i="4" s="1"/>
  <c r="S340" i="4"/>
  <c r="T340" i="4" s="1"/>
  <c r="S339" i="4"/>
  <c r="T339" i="4" s="1"/>
  <c r="S338" i="4"/>
  <c r="T338" i="4" s="1"/>
  <c r="S337" i="4"/>
  <c r="S336" i="4"/>
  <c r="T336" i="4" s="1"/>
  <c r="S335" i="4"/>
  <c r="T335" i="4" s="1"/>
  <c r="S334" i="4"/>
  <c r="T334" i="4" s="1"/>
  <c r="S333" i="4"/>
  <c r="T333" i="4" s="1"/>
  <c r="S332" i="4"/>
  <c r="S331" i="4"/>
  <c r="T331" i="4" s="1"/>
  <c r="S330" i="4"/>
  <c r="T330" i="4" s="1"/>
  <c r="S329" i="4"/>
  <c r="T329" i="4" s="1"/>
  <c r="S328" i="4"/>
  <c r="T328" i="4" s="1"/>
  <c r="S327" i="4"/>
  <c r="S326" i="4"/>
  <c r="T326" i="4" s="1"/>
  <c r="S325" i="4"/>
  <c r="T325" i="4" s="1"/>
  <c r="S324" i="4"/>
  <c r="T324" i="4" s="1"/>
  <c r="S323" i="4"/>
  <c r="T323" i="4" s="1"/>
  <c r="S322" i="4"/>
  <c r="S321" i="4"/>
  <c r="T321" i="4" s="1"/>
  <c r="S320" i="4"/>
  <c r="T320" i="4" s="1"/>
  <c r="S319" i="4"/>
  <c r="T319" i="4" s="1"/>
  <c r="S318" i="4"/>
  <c r="T318" i="4" s="1"/>
  <c r="S317" i="4"/>
  <c r="S316" i="4"/>
  <c r="T316" i="4" s="1"/>
  <c r="S315" i="4"/>
  <c r="T315" i="4" s="1"/>
  <c r="S314" i="4"/>
  <c r="T314" i="4" s="1"/>
  <c r="S313" i="4"/>
  <c r="T313" i="4" s="1"/>
  <c r="S312" i="4"/>
  <c r="S311" i="4"/>
  <c r="T311" i="4" s="1"/>
  <c r="S310" i="4"/>
  <c r="T310" i="4" s="1"/>
  <c r="S309" i="4"/>
  <c r="T309" i="4" s="1"/>
  <c r="S308" i="4"/>
  <c r="T308" i="4" s="1"/>
  <c r="S307" i="4"/>
  <c r="S306" i="4"/>
  <c r="T306" i="4" s="1"/>
  <c r="S305" i="4"/>
  <c r="T305" i="4" s="1"/>
  <c r="S304" i="4"/>
  <c r="T304" i="4" s="1"/>
  <c r="S303" i="4"/>
  <c r="S302" i="4"/>
  <c r="T302" i="4" s="1"/>
  <c r="S301" i="4"/>
  <c r="T301" i="4" s="1"/>
  <c r="S300" i="4"/>
  <c r="T300" i="4" s="1"/>
  <c r="S299" i="4"/>
  <c r="T299" i="4" s="1"/>
  <c r="S298" i="4"/>
  <c r="S297" i="4"/>
  <c r="T297" i="4" s="1"/>
  <c r="S296" i="4"/>
  <c r="T296" i="4" s="1"/>
  <c r="S295" i="4"/>
  <c r="T295" i="4" s="1"/>
  <c r="S294" i="4"/>
  <c r="T294" i="4" s="1"/>
  <c r="S293" i="4"/>
  <c r="S292" i="4"/>
  <c r="T292" i="4" s="1"/>
  <c r="S291" i="4"/>
  <c r="T291" i="4" s="1"/>
  <c r="S290" i="4"/>
  <c r="T290" i="4" s="1"/>
  <c r="S289" i="4"/>
  <c r="T289" i="4" s="1"/>
  <c r="S288" i="4"/>
  <c r="S287" i="4"/>
  <c r="T287" i="4" s="1"/>
  <c r="P287" i="4"/>
  <c r="S286" i="4"/>
  <c r="T286" i="4" s="1"/>
  <c r="P286" i="4"/>
  <c r="S285" i="4"/>
  <c r="T285" i="4" s="1"/>
  <c r="P285" i="4"/>
  <c r="S284" i="4"/>
  <c r="T284" i="4" s="1"/>
  <c r="P284" i="4"/>
  <c r="S283" i="4"/>
  <c r="P283" i="4"/>
  <c r="S282" i="4"/>
  <c r="T282" i="4" s="1"/>
  <c r="S281" i="4"/>
  <c r="T281" i="4" s="1"/>
  <c r="S280" i="4"/>
  <c r="T280" i="4" s="1"/>
  <c r="S279" i="4"/>
  <c r="T279" i="4" s="1"/>
  <c r="S278" i="4"/>
  <c r="S277" i="4"/>
  <c r="T277" i="4" s="1"/>
  <c r="S276" i="4"/>
  <c r="T276" i="4" s="1"/>
  <c r="S275" i="4"/>
  <c r="T275" i="4" s="1"/>
  <c r="S274" i="4"/>
  <c r="T274" i="4" s="1"/>
  <c r="S273" i="4"/>
  <c r="S272" i="4"/>
  <c r="T272" i="4" s="1"/>
  <c r="S271" i="4"/>
  <c r="T271" i="4" s="1"/>
  <c r="S270" i="4"/>
  <c r="T270" i="4" s="1"/>
  <c r="S269" i="4"/>
  <c r="T269" i="4" s="1"/>
  <c r="S268" i="4"/>
  <c r="S267" i="4"/>
  <c r="T267" i="4" s="1"/>
  <c r="S266" i="4"/>
  <c r="T266" i="4" s="1"/>
  <c r="S265" i="4"/>
  <c r="T265" i="4" s="1"/>
  <c r="S264" i="4"/>
  <c r="T264" i="4" s="1"/>
  <c r="S263" i="4"/>
  <c r="S262" i="4"/>
  <c r="T262" i="4" s="1"/>
  <c r="S261" i="4"/>
  <c r="T261" i="4" s="1"/>
  <c r="S260" i="4"/>
  <c r="T260" i="4" s="1"/>
  <c r="S259" i="4"/>
  <c r="T259" i="4" s="1"/>
  <c r="S258" i="4"/>
  <c r="S257" i="4"/>
  <c r="T257" i="4" s="1"/>
  <c r="H257" i="4"/>
  <c r="S256" i="4"/>
  <c r="T256" i="4" s="1"/>
  <c r="H256" i="4"/>
  <c r="S255" i="4"/>
  <c r="T255" i="4" s="1"/>
  <c r="H255" i="4"/>
  <c r="S254" i="4"/>
  <c r="T254" i="4" s="1"/>
  <c r="H254" i="4"/>
  <c r="S253" i="4"/>
  <c r="H253" i="4"/>
  <c r="S252" i="4"/>
  <c r="T252" i="4" s="1"/>
  <c r="S251" i="4"/>
  <c r="T251" i="4" s="1"/>
  <c r="S250" i="4"/>
  <c r="T250" i="4" s="1"/>
  <c r="S249" i="4"/>
  <c r="T249" i="4" s="1"/>
  <c r="S248" i="4"/>
  <c r="S247" i="4"/>
  <c r="T247" i="4" s="1"/>
  <c r="S246" i="4"/>
  <c r="T246" i="4" s="1"/>
  <c r="S245" i="4"/>
  <c r="T245" i="4" s="1"/>
  <c r="S244" i="4"/>
  <c r="T244" i="4" s="1"/>
  <c r="S243" i="4"/>
  <c r="S242" i="4"/>
  <c r="T242" i="4" s="1"/>
  <c r="S241" i="4"/>
  <c r="T241" i="4" s="1"/>
  <c r="S240" i="4"/>
  <c r="T240" i="4" s="1"/>
  <c r="S239" i="4"/>
  <c r="T239" i="4" s="1"/>
  <c r="S238" i="4"/>
  <c r="S237" i="4"/>
  <c r="T237" i="4" s="1"/>
  <c r="G237" i="4"/>
  <c r="S236" i="4"/>
  <c r="T236" i="4" s="1"/>
  <c r="G236" i="4"/>
  <c r="S235" i="4"/>
  <c r="T235" i="4" s="1"/>
  <c r="G235" i="4"/>
  <c r="S234" i="4"/>
  <c r="T234" i="4" s="1"/>
  <c r="G234" i="4"/>
  <c r="S233" i="4"/>
  <c r="G233" i="4"/>
  <c r="S232" i="4"/>
  <c r="T232" i="4" s="1"/>
  <c r="G232" i="4"/>
  <c r="S231" i="4"/>
  <c r="T231" i="4" s="1"/>
  <c r="G231" i="4"/>
  <c r="S230" i="4"/>
  <c r="T230" i="4" s="1"/>
  <c r="G230" i="4"/>
  <c r="S229" i="4"/>
  <c r="T229" i="4" s="1"/>
  <c r="G229" i="4"/>
  <c r="S228" i="4"/>
  <c r="G228" i="4"/>
  <c r="S227" i="4"/>
  <c r="T227" i="4" s="1"/>
  <c r="G227" i="4"/>
  <c r="S226" i="4"/>
  <c r="T226" i="4" s="1"/>
  <c r="G226" i="4"/>
  <c r="S225" i="4"/>
  <c r="T225" i="4" s="1"/>
  <c r="G225" i="4"/>
  <c r="S224" i="4"/>
  <c r="T224" i="4" s="1"/>
  <c r="G224" i="4"/>
  <c r="S223" i="4"/>
  <c r="G223" i="4"/>
  <c r="S222" i="4"/>
  <c r="T222" i="4" s="1"/>
  <c r="G222" i="4"/>
  <c r="S221" i="4"/>
  <c r="T221" i="4" s="1"/>
  <c r="G221" i="4"/>
  <c r="S220" i="4"/>
  <c r="T220" i="4" s="1"/>
  <c r="G220" i="4"/>
  <c r="S219" i="4"/>
  <c r="T219" i="4" s="1"/>
  <c r="G219" i="4"/>
  <c r="S218" i="4"/>
  <c r="G218" i="4"/>
  <c r="S217" i="4"/>
  <c r="T217" i="4" s="1"/>
  <c r="G217" i="4"/>
  <c r="S216" i="4"/>
  <c r="T216" i="4" s="1"/>
  <c r="G216" i="4"/>
  <c r="S215" i="4"/>
  <c r="T215" i="4" s="1"/>
  <c r="G215" i="4"/>
  <c r="S214" i="4"/>
  <c r="T214" i="4" s="1"/>
  <c r="G214" i="4"/>
  <c r="S213" i="4"/>
  <c r="G213" i="4"/>
  <c r="S212" i="4"/>
  <c r="T212" i="4" s="1"/>
  <c r="G212" i="4"/>
  <c r="S211" i="4"/>
  <c r="T211" i="4" s="1"/>
  <c r="G211" i="4"/>
  <c r="S210" i="4"/>
  <c r="T210" i="4" s="1"/>
  <c r="G210" i="4"/>
  <c r="S209" i="4"/>
  <c r="T209" i="4" s="1"/>
  <c r="G209" i="4"/>
  <c r="S208" i="4"/>
  <c r="G208" i="4"/>
  <c r="S207" i="4"/>
  <c r="T207" i="4" s="1"/>
  <c r="G207" i="4"/>
  <c r="S206" i="4"/>
  <c r="T206" i="4" s="1"/>
  <c r="G206" i="4"/>
  <c r="S205" i="4"/>
  <c r="T205" i="4" s="1"/>
  <c r="G205" i="4"/>
  <c r="S204" i="4"/>
  <c r="T204" i="4" s="1"/>
  <c r="G204" i="4"/>
  <c r="S203" i="4"/>
  <c r="G203" i="4"/>
  <c r="S202" i="4"/>
  <c r="T202" i="4" s="1"/>
  <c r="G202" i="4"/>
  <c r="S201" i="4"/>
  <c r="T201" i="4" s="1"/>
  <c r="G201" i="4"/>
  <c r="S200" i="4"/>
  <c r="T200" i="4" s="1"/>
  <c r="G200" i="4"/>
  <c r="S199" i="4"/>
  <c r="T199" i="4" s="1"/>
  <c r="G199" i="4"/>
  <c r="S198" i="4"/>
  <c r="G198" i="4"/>
  <c r="S197" i="4"/>
  <c r="T197" i="4" s="1"/>
  <c r="G197" i="4"/>
  <c r="S196" i="4"/>
  <c r="T196" i="4" s="1"/>
  <c r="G196" i="4"/>
  <c r="S195" i="4"/>
  <c r="T195" i="4" s="1"/>
  <c r="G195" i="4"/>
  <c r="S194" i="4"/>
  <c r="T194" i="4" s="1"/>
  <c r="G194" i="4"/>
  <c r="S193" i="4"/>
  <c r="G193" i="4"/>
  <c r="S192" i="4"/>
  <c r="T192" i="4" s="1"/>
  <c r="G192" i="4"/>
  <c r="S191" i="4"/>
  <c r="T191" i="4" s="1"/>
  <c r="G191" i="4"/>
  <c r="S190" i="4"/>
  <c r="T190" i="4" s="1"/>
  <c r="G190" i="4"/>
  <c r="S189" i="4"/>
  <c r="T189" i="4" s="1"/>
  <c r="G189" i="4"/>
  <c r="S188" i="4"/>
  <c r="G188" i="4"/>
  <c r="S187" i="4"/>
  <c r="T187" i="4" s="1"/>
  <c r="G187" i="4"/>
  <c r="S186" i="4"/>
  <c r="T186" i="4" s="1"/>
  <c r="G186" i="4"/>
  <c r="S185" i="4"/>
  <c r="T185" i="4" s="1"/>
  <c r="G185" i="4"/>
  <c r="S184" i="4"/>
  <c r="T184" i="4" s="1"/>
  <c r="G184" i="4"/>
  <c r="S183" i="4"/>
  <c r="G183" i="4"/>
  <c r="S182" i="4"/>
  <c r="T182" i="4" s="1"/>
  <c r="G182" i="4"/>
  <c r="S181" i="4"/>
  <c r="T181" i="4" s="1"/>
  <c r="G181" i="4"/>
  <c r="S180" i="4"/>
  <c r="T180" i="4" s="1"/>
  <c r="G180" i="4"/>
  <c r="S179" i="4"/>
  <c r="T179" i="4" s="1"/>
  <c r="G179" i="4"/>
  <c r="S178" i="4"/>
  <c r="G178" i="4"/>
  <c r="S177" i="4"/>
  <c r="T177" i="4" s="1"/>
  <c r="G177" i="4"/>
  <c r="S176" i="4"/>
  <c r="T176" i="4" s="1"/>
  <c r="G176" i="4"/>
  <c r="S175" i="4"/>
  <c r="T175" i="4" s="1"/>
  <c r="G175" i="4"/>
  <c r="S174" i="4"/>
  <c r="T174" i="4" s="1"/>
  <c r="G174" i="4"/>
  <c r="S173" i="4"/>
  <c r="G173" i="4"/>
  <c r="S172" i="4"/>
  <c r="T172" i="4" s="1"/>
  <c r="G172" i="4"/>
  <c r="S171" i="4"/>
  <c r="T171" i="4" s="1"/>
  <c r="G171" i="4"/>
  <c r="S170" i="4"/>
  <c r="T170" i="4" s="1"/>
  <c r="G170" i="4"/>
  <c r="S169" i="4"/>
  <c r="T169" i="4" s="1"/>
  <c r="G169" i="4"/>
  <c r="S168" i="4"/>
  <c r="G168" i="4"/>
  <c r="S167" i="4"/>
  <c r="T167" i="4" s="1"/>
  <c r="G167" i="4"/>
  <c r="S166" i="4"/>
  <c r="T166" i="4" s="1"/>
  <c r="G166" i="4"/>
  <c r="S165" i="4"/>
  <c r="T165" i="4" s="1"/>
  <c r="G165" i="4"/>
  <c r="S164" i="4"/>
  <c r="T164" i="4" s="1"/>
  <c r="G164" i="4"/>
  <c r="S163" i="4"/>
  <c r="G163" i="4"/>
  <c r="S162" i="4"/>
  <c r="T162" i="4" s="1"/>
  <c r="G162" i="4"/>
  <c r="S161" i="4"/>
  <c r="T161" i="4" s="1"/>
  <c r="G161" i="4"/>
  <c r="S160" i="4"/>
  <c r="G160" i="4"/>
  <c r="S159" i="4"/>
  <c r="T159" i="4" s="1"/>
  <c r="G159" i="4"/>
  <c r="S158" i="4"/>
  <c r="T158" i="4" s="1"/>
  <c r="G158" i="4"/>
  <c r="S157" i="4"/>
  <c r="T157" i="4" s="1"/>
  <c r="G157" i="4"/>
  <c r="S156" i="4"/>
  <c r="T156" i="4" s="1"/>
  <c r="G156" i="4"/>
  <c r="S155" i="4"/>
  <c r="G155" i="4"/>
  <c r="S154" i="4"/>
  <c r="T154" i="4" s="1"/>
  <c r="G154" i="4"/>
  <c r="S153" i="4"/>
  <c r="T153" i="4" s="1"/>
  <c r="G153" i="4"/>
  <c r="S152" i="4"/>
  <c r="T152" i="4" s="1"/>
  <c r="G152" i="4"/>
  <c r="S151" i="4"/>
  <c r="T151" i="4" s="1"/>
  <c r="G151" i="4"/>
  <c r="S150" i="4"/>
  <c r="G150" i="4"/>
  <c r="S149" i="4"/>
  <c r="T149" i="4" s="1"/>
  <c r="G149" i="4"/>
  <c r="S148" i="4"/>
  <c r="T148" i="4" s="1"/>
  <c r="G148" i="4"/>
  <c r="S147" i="4"/>
  <c r="T147" i="4" s="1"/>
  <c r="G147" i="4"/>
  <c r="S146" i="4"/>
  <c r="T146" i="4" s="1"/>
  <c r="G146" i="4"/>
  <c r="S145" i="4"/>
  <c r="G145" i="4"/>
  <c r="S144" i="4"/>
  <c r="T144" i="4" s="1"/>
  <c r="G144" i="4"/>
  <c r="S143" i="4"/>
  <c r="T143" i="4" s="1"/>
  <c r="G143" i="4"/>
  <c r="S142" i="4"/>
  <c r="T142" i="4" s="1"/>
  <c r="G142" i="4"/>
  <c r="S141" i="4"/>
  <c r="T141" i="4" s="1"/>
  <c r="G141" i="4"/>
  <c r="S140" i="4"/>
  <c r="G140" i="4"/>
  <c r="S139" i="4"/>
  <c r="T139" i="4" s="1"/>
  <c r="G139" i="4"/>
  <c r="S138" i="4"/>
  <c r="T138" i="4" s="1"/>
  <c r="G138" i="4"/>
  <c r="S137" i="4"/>
  <c r="T137" i="4" s="1"/>
  <c r="G137" i="4"/>
  <c r="S136" i="4"/>
  <c r="T136" i="4" s="1"/>
  <c r="G136" i="4"/>
  <c r="S135" i="4"/>
  <c r="G135" i="4"/>
  <c r="S134" i="4"/>
  <c r="T134" i="4" s="1"/>
  <c r="G134" i="4"/>
  <c r="S133" i="4"/>
  <c r="T133" i="4" s="1"/>
  <c r="G133" i="4"/>
  <c r="S132" i="4"/>
  <c r="T132" i="4" s="1"/>
  <c r="G132" i="4"/>
  <c r="S131" i="4"/>
  <c r="T131" i="4" s="1"/>
  <c r="G131" i="4"/>
  <c r="S130" i="4"/>
  <c r="G130" i="4"/>
  <c r="S129" i="4"/>
  <c r="T129" i="4" s="1"/>
  <c r="G129" i="4"/>
  <c r="S128" i="4"/>
  <c r="T128" i="4" s="1"/>
  <c r="G128" i="4"/>
  <c r="S127" i="4"/>
  <c r="T127" i="4" s="1"/>
  <c r="G127" i="4"/>
  <c r="S126" i="4"/>
  <c r="T126" i="4" s="1"/>
  <c r="G126" i="4"/>
  <c r="S125" i="4"/>
  <c r="G125" i="4"/>
  <c r="S124" i="4"/>
  <c r="T124" i="4" s="1"/>
  <c r="G124" i="4"/>
  <c r="S123" i="4"/>
  <c r="T123" i="4" s="1"/>
  <c r="G123" i="4"/>
  <c r="S122" i="4"/>
  <c r="T122" i="4" s="1"/>
  <c r="G122" i="4"/>
  <c r="S121" i="4"/>
  <c r="T121" i="4" s="1"/>
  <c r="G121" i="4"/>
  <c r="S120" i="4"/>
  <c r="G120" i="4"/>
  <c r="S119" i="4"/>
  <c r="T119" i="4" s="1"/>
  <c r="G119" i="4"/>
  <c r="S118" i="4"/>
  <c r="T118" i="4" s="1"/>
  <c r="G118" i="4"/>
  <c r="S117" i="4"/>
  <c r="T117" i="4" s="1"/>
  <c r="G117" i="4"/>
  <c r="S116" i="4"/>
  <c r="T116" i="4" s="1"/>
  <c r="G116" i="4"/>
  <c r="S115" i="4"/>
  <c r="G115" i="4"/>
  <c r="S114" i="4"/>
  <c r="T114" i="4" s="1"/>
  <c r="G114" i="4"/>
  <c r="S113" i="4"/>
  <c r="T113" i="4" s="1"/>
  <c r="G113" i="4"/>
  <c r="S112" i="4"/>
  <c r="T112" i="4" s="1"/>
  <c r="G112" i="4"/>
  <c r="S111" i="4"/>
  <c r="T111" i="4" s="1"/>
  <c r="G111" i="4"/>
  <c r="S110" i="4"/>
  <c r="G110" i="4"/>
  <c r="S109" i="4"/>
  <c r="T109" i="4" s="1"/>
  <c r="G109" i="4"/>
  <c r="S108" i="4"/>
  <c r="T108" i="4" s="1"/>
  <c r="G108" i="4"/>
  <c r="S107" i="4"/>
  <c r="T107" i="4" s="1"/>
  <c r="G107" i="4"/>
  <c r="S106" i="4"/>
  <c r="T106" i="4" s="1"/>
  <c r="G106" i="4"/>
  <c r="S105" i="4"/>
  <c r="G105" i="4"/>
  <c r="S104" i="4"/>
  <c r="T104" i="4" s="1"/>
  <c r="G104" i="4"/>
  <c r="S103" i="4"/>
  <c r="T103" i="4" s="1"/>
  <c r="G103" i="4"/>
  <c r="S102" i="4"/>
  <c r="T102" i="4" s="1"/>
  <c r="G102" i="4"/>
  <c r="S101" i="4"/>
  <c r="T101" i="4" s="1"/>
  <c r="G101" i="4"/>
  <c r="S100" i="4"/>
  <c r="G100" i="4"/>
  <c r="S99" i="4"/>
  <c r="T99" i="4" s="1"/>
  <c r="G99" i="4"/>
  <c r="S98" i="4"/>
  <c r="T98" i="4" s="1"/>
  <c r="G98" i="4"/>
  <c r="S97" i="4"/>
  <c r="T97" i="4" s="1"/>
  <c r="G97" i="4"/>
  <c r="S96" i="4"/>
  <c r="T96" i="4" s="1"/>
  <c r="G96" i="4"/>
  <c r="S95" i="4"/>
  <c r="G95" i="4"/>
  <c r="S94" i="4"/>
  <c r="T94" i="4" s="1"/>
  <c r="G94" i="4"/>
  <c r="S93" i="4"/>
  <c r="T93" i="4" s="1"/>
  <c r="G93" i="4"/>
  <c r="S92" i="4"/>
  <c r="T92" i="4" s="1"/>
  <c r="G92" i="4"/>
  <c r="S91" i="4"/>
  <c r="T91" i="4" s="1"/>
  <c r="G91" i="4"/>
  <c r="S90" i="4"/>
  <c r="G90" i="4"/>
  <c r="S89" i="4"/>
  <c r="T89" i="4" s="1"/>
  <c r="G89" i="4"/>
  <c r="S88" i="4"/>
  <c r="T88" i="4" s="1"/>
  <c r="G88" i="4"/>
  <c r="S87" i="4"/>
  <c r="T87" i="4" s="1"/>
  <c r="G87" i="4"/>
  <c r="S86" i="4"/>
  <c r="T86" i="4" s="1"/>
  <c r="G86" i="4"/>
  <c r="S85" i="4"/>
  <c r="G85" i="4"/>
  <c r="S84" i="4"/>
  <c r="T84" i="4" s="1"/>
  <c r="G84" i="4"/>
  <c r="S83" i="4"/>
  <c r="T83" i="4" s="1"/>
  <c r="G83" i="4"/>
  <c r="S82" i="4"/>
  <c r="T82" i="4" s="1"/>
  <c r="G82" i="4"/>
  <c r="S81" i="4"/>
  <c r="T81" i="4" s="1"/>
  <c r="G81" i="4"/>
  <c r="S80" i="4"/>
  <c r="G80" i="4"/>
  <c r="S79" i="4"/>
  <c r="T79" i="4" s="1"/>
  <c r="G79" i="4"/>
  <c r="S78" i="4"/>
  <c r="T78" i="4" s="1"/>
  <c r="G78" i="4"/>
  <c r="S77" i="4"/>
  <c r="T77" i="4" s="1"/>
  <c r="G77" i="4"/>
  <c r="S76" i="4"/>
  <c r="T76" i="4" s="1"/>
  <c r="G76" i="4"/>
  <c r="S75" i="4"/>
  <c r="G75" i="4"/>
  <c r="S74" i="4"/>
  <c r="T74" i="4" s="1"/>
  <c r="G74" i="4"/>
  <c r="S73" i="4"/>
  <c r="T73" i="4" s="1"/>
  <c r="G73" i="4"/>
  <c r="S72" i="4"/>
  <c r="T72" i="4" s="1"/>
  <c r="G72" i="4"/>
  <c r="S71" i="4"/>
  <c r="T71" i="4" s="1"/>
  <c r="G71" i="4"/>
  <c r="S70" i="4"/>
  <c r="G70" i="4"/>
  <c r="S69" i="4"/>
  <c r="T69" i="4" s="1"/>
  <c r="G69" i="4"/>
  <c r="S68" i="4"/>
  <c r="T68" i="4" s="1"/>
  <c r="G68" i="4"/>
  <c r="S67" i="4"/>
  <c r="T67" i="4" s="1"/>
  <c r="G67" i="4"/>
  <c r="S66" i="4"/>
  <c r="T66" i="4" s="1"/>
  <c r="G66" i="4"/>
  <c r="S65" i="4"/>
  <c r="G65" i="4"/>
  <c r="S64" i="4"/>
  <c r="T64" i="4" s="1"/>
  <c r="G64" i="4"/>
  <c r="S63" i="4"/>
  <c r="T63" i="4" s="1"/>
  <c r="P63" i="4"/>
  <c r="G63" i="4"/>
  <c r="S62" i="4"/>
  <c r="T62" i="4" s="1"/>
  <c r="P62" i="4"/>
  <c r="G62" i="4"/>
  <c r="S61" i="4"/>
  <c r="T61" i="4" s="1"/>
  <c r="P61" i="4"/>
  <c r="G61" i="4"/>
  <c r="S60" i="4"/>
  <c r="P60" i="4"/>
  <c r="G60" i="4"/>
  <c r="S59" i="4"/>
  <c r="T59" i="4" s="1"/>
  <c r="P59" i="4"/>
  <c r="G59" i="4"/>
  <c r="S58" i="4"/>
  <c r="T58" i="4" s="1"/>
  <c r="G58" i="4"/>
  <c r="S57" i="4"/>
  <c r="T57" i="4" s="1"/>
  <c r="G57" i="4"/>
  <c r="S56" i="4"/>
  <c r="T56" i="4" s="1"/>
  <c r="G56" i="4"/>
  <c r="S55" i="4"/>
  <c r="G55" i="4"/>
  <c r="S54" i="4"/>
  <c r="T54" i="4" s="1"/>
  <c r="G54" i="4"/>
  <c r="S53" i="4"/>
  <c r="T53" i="4" s="1"/>
  <c r="G53" i="4"/>
  <c r="S52" i="4"/>
  <c r="T52" i="4" s="1"/>
  <c r="G52" i="4"/>
  <c r="S51" i="4"/>
  <c r="T51" i="4" s="1"/>
  <c r="G51" i="4"/>
  <c r="S50" i="4"/>
  <c r="G50" i="4"/>
  <c r="S49" i="4"/>
  <c r="T49" i="4" s="1"/>
  <c r="G49" i="4"/>
  <c r="S48" i="4"/>
  <c r="T48" i="4" s="1"/>
  <c r="G48" i="4"/>
  <c r="S47" i="4"/>
  <c r="T47" i="4" s="1"/>
  <c r="G47" i="4"/>
  <c r="S46" i="4"/>
  <c r="T46" i="4" s="1"/>
  <c r="G46" i="4"/>
  <c r="S45" i="4"/>
  <c r="G45" i="4"/>
  <c r="S44" i="4"/>
  <c r="T44" i="4" s="1"/>
  <c r="G44" i="4"/>
  <c r="S43" i="4"/>
  <c r="T43" i="4" s="1"/>
  <c r="G43" i="4"/>
  <c r="S42" i="4"/>
  <c r="T42" i="4" s="1"/>
  <c r="G42" i="4"/>
  <c r="S41" i="4"/>
  <c r="T41" i="4" s="1"/>
  <c r="G41" i="4"/>
  <c r="S40" i="4"/>
  <c r="G40" i="4"/>
  <c r="S39" i="4"/>
  <c r="T39" i="4" s="1"/>
  <c r="G39" i="4"/>
  <c r="S38" i="4"/>
  <c r="T38" i="4" s="1"/>
  <c r="G38" i="4"/>
  <c r="S37" i="4"/>
  <c r="T37" i="4" s="1"/>
  <c r="G37" i="4"/>
  <c r="S36" i="4"/>
  <c r="T36" i="4" s="1"/>
  <c r="G36" i="4"/>
  <c r="S35" i="4"/>
  <c r="G35" i="4"/>
  <c r="S34" i="4"/>
  <c r="T34" i="4" s="1"/>
  <c r="G34" i="4"/>
  <c r="S33" i="4"/>
  <c r="T33" i="4" s="1"/>
  <c r="G33" i="4"/>
  <c r="S32" i="4"/>
  <c r="T32" i="4" s="1"/>
  <c r="G32" i="4"/>
  <c r="S31" i="4"/>
  <c r="T31" i="4" s="1"/>
  <c r="G31" i="4"/>
  <c r="S30" i="4"/>
  <c r="G30" i="4"/>
  <c r="S29" i="4"/>
  <c r="T29" i="4" s="1"/>
  <c r="G29" i="4"/>
  <c r="S28" i="4"/>
  <c r="T28" i="4" s="1"/>
  <c r="G28" i="4"/>
  <c r="S27" i="4"/>
  <c r="T27" i="4" s="1"/>
  <c r="G27" i="4"/>
  <c r="S26" i="4"/>
  <c r="T26" i="4" s="1"/>
  <c r="G26" i="4"/>
  <c r="S25" i="4"/>
  <c r="G25" i="4"/>
  <c r="S24" i="4"/>
  <c r="T24" i="4" s="1"/>
  <c r="G24" i="4"/>
  <c r="S23" i="4"/>
  <c r="T23" i="4" s="1"/>
  <c r="G23" i="4"/>
  <c r="S22" i="4"/>
  <c r="T22" i="4" s="1"/>
  <c r="G22" i="4"/>
  <c r="S21" i="4"/>
  <c r="T21" i="4" s="1"/>
  <c r="G21" i="4"/>
  <c r="S20" i="4"/>
  <c r="G20" i="4"/>
  <c r="S19" i="4"/>
  <c r="T19" i="4" s="1"/>
  <c r="G19" i="4"/>
  <c r="S18" i="4"/>
  <c r="T18" i="4" s="1"/>
  <c r="G18" i="4"/>
  <c r="S17" i="4"/>
  <c r="T17" i="4" s="1"/>
  <c r="G17" i="4"/>
  <c r="S16" i="4"/>
  <c r="T16" i="4" s="1"/>
  <c r="G16" i="4"/>
  <c r="S15" i="4"/>
  <c r="T15" i="4" s="1"/>
  <c r="G15" i="4"/>
  <c r="S14" i="4"/>
  <c r="G14" i="4"/>
  <c r="S13" i="4"/>
  <c r="T13" i="4" s="1"/>
  <c r="G13" i="4"/>
  <c r="S12" i="4"/>
  <c r="T12" i="4" s="1"/>
  <c r="G12" i="4"/>
  <c r="S11" i="4"/>
  <c r="T11" i="4" s="1"/>
  <c r="G11" i="4"/>
  <c r="S10" i="4"/>
  <c r="T10" i="4" s="1"/>
  <c r="G10" i="4"/>
  <c r="S9" i="4"/>
  <c r="T9" i="4" s="1"/>
  <c r="G9" i="4"/>
  <c r="S8" i="4"/>
  <c r="G8" i="4"/>
  <c r="S7" i="4"/>
  <c r="T7" i="4" s="1"/>
  <c r="G7" i="4"/>
  <c r="S6" i="4"/>
  <c r="T6" i="4" s="1"/>
  <c r="G6" i="4"/>
  <c r="S5" i="4"/>
  <c r="T5" i="4" s="1"/>
  <c r="G5" i="4"/>
  <c r="S4" i="4"/>
  <c r="T4" i="4" s="1"/>
  <c r="G4" i="4"/>
  <c r="S3" i="4"/>
  <c r="G3" i="4"/>
  <c r="R885" i="3"/>
  <c r="Q885" i="3"/>
  <c r="P885" i="3"/>
  <c r="O885" i="3"/>
  <c r="N885" i="3"/>
  <c r="M885" i="3"/>
  <c r="L885" i="3"/>
  <c r="K885" i="3"/>
  <c r="J885" i="3"/>
  <c r="G885" i="3"/>
  <c r="R883" i="3"/>
  <c r="Q883" i="3"/>
  <c r="P883" i="3"/>
  <c r="O883" i="3"/>
  <c r="N883" i="3"/>
  <c r="M883" i="3"/>
  <c r="L883" i="3"/>
  <c r="K883" i="3"/>
  <c r="J883" i="3"/>
  <c r="I883" i="3"/>
  <c r="H883" i="3"/>
  <c r="G883" i="3"/>
  <c r="V882" i="3"/>
  <c r="U882" i="3"/>
  <c r="V881" i="3"/>
  <c r="U881" i="3"/>
  <c r="V880" i="3"/>
  <c r="U880" i="3"/>
  <c r="V879" i="3"/>
  <c r="U879" i="3"/>
  <c r="V878" i="3"/>
  <c r="U878" i="3"/>
  <c r="V877" i="3"/>
  <c r="U877" i="3"/>
  <c r="V876" i="3"/>
  <c r="U876" i="3"/>
  <c r="V875" i="3"/>
  <c r="U875" i="3"/>
  <c r="AF874" i="3"/>
  <c r="AD874" i="3"/>
  <c r="Y874" i="3"/>
  <c r="Z874" i="3" s="1"/>
  <c r="V874" i="3"/>
  <c r="U874" i="3"/>
  <c r="R872" i="3"/>
  <c r="Q872" i="3"/>
  <c r="P872" i="3"/>
  <c r="O872" i="3"/>
  <c r="N872" i="3"/>
  <c r="M872" i="3"/>
  <c r="L872" i="3"/>
  <c r="K872" i="3"/>
  <c r="J872" i="3"/>
  <c r="G872" i="3"/>
  <c r="R870" i="3"/>
  <c r="Q870" i="3"/>
  <c r="P870" i="3"/>
  <c r="O870" i="3"/>
  <c r="N870" i="3"/>
  <c r="M870" i="3"/>
  <c r="L870" i="3"/>
  <c r="K870" i="3"/>
  <c r="J870" i="3"/>
  <c r="I870" i="3"/>
  <c r="H870" i="3"/>
  <c r="G870" i="3"/>
  <c r="V869" i="3"/>
  <c r="U869" i="3"/>
  <c r="V868" i="3"/>
  <c r="U868" i="3"/>
  <c r="V867" i="3"/>
  <c r="U867" i="3"/>
  <c r="V866" i="3"/>
  <c r="U866" i="3"/>
  <c r="V865" i="3"/>
  <c r="U865" i="3"/>
  <c r="V864" i="3"/>
  <c r="U864" i="3"/>
  <c r="V863" i="3"/>
  <c r="U863" i="3"/>
  <c r="AD862" i="3"/>
  <c r="V862" i="3"/>
  <c r="U862" i="3"/>
  <c r="AF861" i="3"/>
  <c r="AD861" i="3"/>
  <c r="AB861" i="3"/>
  <c r="Z861" i="3"/>
  <c r="Y861" i="3"/>
  <c r="W861" i="3"/>
  <c r="V861" i="3"/>
  <c r="U861" i="3"/>
  <c r="R859" i="3"/>
  <c r="Q859" i="3"/>
  <c r="P859" i="3"/>
  <c r="O859" i="3"/>
  <c r="N859" i="3"/>
  <c r="M859" i="3"/>
  <c r="L859" i="3"/>
  <c r="K859" i="3"/>
  <c r="J859" i="3"/>
  <c r="G859" i="3"/>
  <c r="R857" i="3"/>
  <c r="Q857" i="3"/>
  <c r="P857" i="3"/>
  <c r="O857" i="3"/>
  <c r="N857" i="3"/>
  <c r="M857" i="3"/>
  <c r="L857" i="3"/>
  <c r="K857" i="3"/>
  <c r="J857" i="3"/>
  <c r="I857" i="3"/>
  <c r="H857" i="3"/>
  <c r="G857" i="3"/>
  <c r="V856" i="3"/>
  <c r="U856" i="3"/>
  <c r="V855" i="3"/>
  <c r="U855" i="3"/>
  <c r="V854" i="3"/>
  <c r="U854" i="3"/>
  <c r="V853" i="3"/>
  <c r="U853" i="3"/>
  <c r="V852" i="3"/>
  <c r="U852" i="3"/>
  <c r="V851" i="3"/>
  <c r="U851" i="3"/>
  <c r="V850" i="3"/>
  <c r="U850" i="3"/>
  <c r="V849" i="3"/>
  <c r="U849" i="3"/>
  <c r="AF848" i="3"/>
  <c r="AD848" i="3"/>
  <c r="AB848" i="3"/>
  <c r="Z848" i="3"/>
  <c r="Y848" i="3"/>
  <c r="W848" i="3"/>
  <c r="V848" i="3"/>
  <c r="U848" i="3"/>
  <c r="R846" i="3"/>
  <c r="Q846" i="3"/>
  <c r="P846" i="3"/>
  <c r="O846" i="3"/>
  <c r="N846" i="3"/>
  <c r="M846" i="3"/>
  <c r="L846" i="3"/>
  <c r="K846" i="3"/>
  <c r="J846" i="3"/>
  <c r="G846" i="3"/>
  <c r="R844" i="3"/>
  <c r="Q844" i="3"/>
  <c r="P844" i="3"/>
  <c r="O844" i="3"/>
  <c r="N844" i="3"/>
  <c r="M844" i="3"/>
  <c r="L844" i="3"/>
  <c r="K844" i="3"/>
  <c r="J844" i="3"/>
  <c r="I844" i="3"/>
  <c r="H844" i="3"/>
  <c r="G844" i="3"/>
  <c r="V843" i="3"/>
  <c r="U843" i="3"/>
  <c r="V842" i="3"/>
  <c r="U842" i="3"/>
  <c r="V841" i="3"/>
  <c r="U841" i="3"/>
  <c r="V840" i="3"/>
  <c r="U840" i="3"/>
  <c r="V839" i="3"/>
  <c r="U839" i="3"/>
  <c r="V838" i="3"/>
  <c r="U838" i="3"/>
  <c r="V837" i="3"/>
  <c r="U837" i="3"/>
  <c r="V836" i="3"/>
  <c r="U836" i="3"/>
  <c r="AF835" i="3"/>
  <c r="AD835" i="3"/>
  <c r="Z835" i="3"/>
  <c r="Y835" i="3"/>
  <c r="W835" i="3"/>
  <c r="V835" i="3"/>
  <c r="U835" i="3"/>
  <c r="R833" i="3"/>
  <c r="Q833" i="3"/>
  <c r="P833" i="3"/>
  <c r="O833" i="3"/>
  <c r="N833" i="3"/>
  <c r="M833" i="3"/>
  <c r="L833" i="3"/>
  <c r="K833" i="3"/>
  <c r="J833" i="3"/>
  <c r="G833" i="3"/>
  <c r="R831" i="3"/>
  <c r="Q831" i="3"/>
  <c r="P831" i="3"/>
  <c r="O831" i="3"/>
  <c r="N831" i="3"/>
  <c r="M831" i="3"/>
  <c r="L831" i="3"/>
  <c r="K831" i="3"/>
  <c r="J831" i="3"/>
  <c r="I831" i="3"/>
  <c r="H831" i="3"/>
  <c r="G831" i="3"/>
  <c r="V830" i="3"/>
  <c r="U830" i="3"/>
  <c r="V829" i="3"/>
  <c r="U829" i="3"/>
  <c r="V828" i="3"/>
  <c r="U828" i="3"/>
  <c r="V827" i="3"/>
  <c r="U827" i="3"/>
  <c r="V826" i="3"/>
  <c r="U826" i="3"/>
  <c r="V825" i="3"/>
  <c r="U825" i="3"/>
  <c r="V824" i="3"/>
  <c r="U824" i="3"/>
  <c r="V823" i="3"/>
  <c r="U823" i="3"/>
  <c r="AF822" i="3"/>
  <c r="AD822" i="3"/>
  <c r="AB822" i="3"/>
  <c r="Z822" i="3"/>
  <c r="Y822" i="3"/>
  <c r="W822" i="3"/>
  <c r="V822" i="3"/>
  <c r="U822" i="3"/>
  <c r="R820" i="3"/>
  <c r="Q820" i="3"/>
  <c r="P820" i="3"/>
  <c r="O820" i="3"/>
  <c r="N820" i="3"/>
  <c r="M820" i="3"/>
  <c r="L820" i="3"/>
  <c r="K820" i="3"/>
  <c r="G820" i="3"/>
  <c r="R818" i="3"/>
  <c r="Q818" i="3"/>
  <c r="P818" i="3"/>
  <c r="O818" i="3"/>
  <c r="N818" i="3"/>
  <c r="M818" i="3"/>
  <c r="L818" i="3"/>
  <c r="K818" i="3"/>
  <c r="J818" i="3"/>
  <c r="I818" i="3"/>
  <c r="H818" i="3"/>
  <c r="G818" i="3"/>
  <c r="V817" i="3"/>
  <c r="U817" i="3"/>
  <c r="V816" i="3"/>
  <c r="U816" i="3"/>
  <c r="V815" i="3"/>
  <c r="U815" i="3"/>
  <c r="V814" i="3"/>
  <c r="U814" i="3"/>
  <c r="V813" i="3"/>
  <c r="U813" i="3"/>
  <c r="V812" i="3"/>
  <c r="U812" i="3"/>
  <c r="V811" i="3"/>
  <c r="U811" i="3"/>
  <c r="V810" i="3"/>
  <c r="U810" i="3"/>
  <c r="AF809" i="3"/>
  <c r="AD809" i="3"/>
  <c r="Z809" i="3"/>
  <c r="Y809" i="3"/>
  <c r="V809" i="3"/>
  <c r="U809" i="3"/>
  <c r="R807" i="3"/>
  <c r="Q807" i="3"/>
  <c r="P807" i="3"/>
  <c r="O807" i="3"/>
  <c r="N807" i="3"/>
  <c r="M807" i="3"/>
  <c r="L807" i="3"/>
  <c r="K807" i="3"/>
  <c r="J807" i="3"/>
  <c r="G807" i="3"/>
  <c r="R805" i="3"/>
  <c r="Q805" i="3"/>
  <c r="P805" i="3"/>
  <c r="O805" i="3"/>
  <c r="N805" i="3"/>
  <c r="M805" i="3"/>
  <c r="L805" i="3"/>
  <c r="K805" i="3"/>
  <c r="J805" i="3"/>
  <c r="I805" i="3"/>
  <c r="H805" i="3"/>
  <c r="G805" i="3"/>
  <c r="V804" i="3"/>
  <c r="U804" i="3"/>
  <c r="V803" i="3"/>
  <c r="U803" i="3"/>
  <c r="V802" i="3"/>
  <c r="U802" i="3"/>
  <c r="V801" i="3"/>
  <c r="U801" i="3"/>
  <c r="V800" i="3"/>
  <c r="U800" i="3"/>
  <c r="V799" i="3"/>
  <c r="U799" i="3"/>
  <c r="V798" i="3"/>
  <c r="U798" i="3"/>
  <c r="V797" i="3"/>
  <c r="U797" i="3"/>
  <c r="AF796" i="3"/>
  <c r="AD796" i="3"/>
  <c r="AB796" i="3"/>
  <c r="Z796" i="3"/>
  <c r="Y796" i="3"/>
  <c r="W796" i="3"/>
  <c r="V796" i="3"/>
  <c r="U796" i="3"/>
  <c r="R794" i="3"/>
  <c r="Q794" i="3"/>
  <c r="P794" i="3"/>
  <c r="O794" i="3"/>
  <c r="N794" i="3"/>
  <c r="M794" i="3"/>
  <c r="L794" i="3"/>
  <c r="K794" i="3"/>
  <c r="J794" i="3"/>
  <c r="G794" i="3"/>
  <c r="R792" i="3"/>
  <c r="Q792" i="3"/>
  <c r="P792" i="3"/>
  <c r="O792" i="3"/>
  <c r="N792" i="3"/>
  <c r="M792" i="3"/>
  <c r="L792" i="3"/>
  <c r="K792" i="3"/>
  <c r="J792" i="3"/>
  <c r="I792" i="3"/>
  <c r="H792" i="3"/>
  <c r="G792" i="3"/>
  <c r="V791" i="3"/>
  <c r="U791" i="3"/>
  <c r="V790" i="3"/>
  <c r="U790" i="3"/>
  <c r="V789" i="3"/>
  <c r="U789" i="3"/>
  <c r="V788" i="3"/>
  <c r="U788" i="3"/>
  <c r="V787" i="3"/>
  <c r="U787" i="3"/>
  <c r="V786" i="3"/>
  <c r="U786" i="3"/>
  <c r="V785" i="3"/>
  <c r="U785" i="3"/>
  <c r="V784" i="3"/>
  <c r="U784" i="3"/>
  <c r="AF783" i="3"/>
  <c r="AD783" i="3"/>
  <c r="AB783" i="3"/>
  <c r="Z783" i="3"/>
  <c r="Y783" i="3"/>
  <c r="W783" i="3"/>
  <c r="V783" i="3"/>
  <c r="U783" i="3"/>
  <c r="R781" i="3"/>
  <c r="Q781" i="3"/>
  <c r="P781" i="3"/>
  <c r="O781" i="3"/>
  <c r="N781" i="3"/>
  <c r="M781" i="3"/>
  <c r="L781" i="3"/>
  <c r="K781" i="3"/>
  <c r="J781" i="3"/>
  <c r="G781" i="3"/>
  <c r="R779" i="3"/>
  <c r="Q779" i="3"/>
  <c r="P779" i="3"/>
  <c r="O779" i="3"/>
  <c r="N779" i="3"/>
  <c r="M779" i="3"/>
  <c r="L779" i="3"/>
  <c r="K779" i="3"/>
  <c r="J779" i="3"/>
  <c r="I779" i="3"/>
  <c r="H779" i="3"/>
  <c r="G779" i="3"/>
  <c r="V778" i="3"/>
  <c r="U778" i="3"/>
  <c r="V777" i="3"/>
  <c r="U777" i="3"/>
  <c r="V776" i="3"/>
  <c r="U776" i="3"/>
  <c r="V775" i="3"/>
  <c r="U775" i="3"/>
  <c r="V774" i="3"/>
  <c r="U774" i="3"/>
  <c r="V773" i="3"/>
  <c r="U773" i="3"/>
  <c r="V772" i="3"/>
  <c r="U772" i="3"/>
  <c r="V771" i="3"/>
  <c r="U771" i="3"/>
  <c r="AF770" i="3"/>
  <c r="AD770" i="3"/>
  <c r="Z770" i="3"/>
  <c r="Y770" i="3"/>
  <c r="V770" i="3"/>
  <c r="U770" i="3"/>
  <c r="R768" i="3"/>
  <c r="Q768" i="3"/>
  <c r="P768" i="3"/>
  <c r="O768" i="3"/>
  <c r="N768" i="3"/>
  <c r="M768" i="3"/>
  <c r="L768" i="3"/>
  <c r="K768" i="3"/>
  <c r="J768" i="3"/>
  <c r="G768" i="3"/>
  <c r="R766" i="3"/>
  <c r="Q766" i="3"/>
  <c r="P766" i="3"/>
  <c r="O766" i="3"/>
  <c r="N766" i="3"/>
  <c r="M766" i="3"/>
  <c r="L766" i="3"/>
  <c r="K766" i="3"/>
  <c r="J766" i="3"/>
  <c r="I766" i="3"/>
  <c r="H766" i="3"/>
  <c r="G766" i="3"/>
  <c r="V765" i="3"/>
  <c r="U765" i="3"/>
  <c r="V764" i="3"/>
  <c r="U764" i="3"/>
  <c r="V763" i="3"/>
  <c r="U763" i="3"/>
  <c r="V762" i="3"/>
  <c r="U762" i="3"/>
  <c r="V761" i="3"/>
  <c r="U761" i="3"/>
  <c r="V760" i="3"/>
  <c r="U760" i="3"/>
  <c r="V759" i="3"/>
  <c r="U759" i="3"/>
  <c r="V758" i="3"/>
  <c r="U758" i="3"/>
  <c r="AF757" i="3"/>
  <c r="AD757" i="3"/>
  <c r="Z757" i="3"/>
  <c r="Y757" i="3"/>
  <c r="V757" i="3"/>
  <c r="U757" i="3"/>
  <c r="R755" i="3"/>
  <c r="Q755" i="3"/>
  <c r="P755" i="3"/>
  <c r="O755" i="3"/>
  <c r="N755" i="3"/>
  <c r="M755" i="3"/>
  <c r="L755" i="3"/>
  <c r="K755" i="3"/>
  <c r="J755" i="3"/>
  <c r="G755" i="3"/>
  <c r="R753" i="3"/>
  <c r="Q753" i="3"/>
  <c r="P753" i="3"/>
  <c r="O753" i="3"/>
  <c r="N753" i="3"/>
  <c r="M753" i="3"/>
  <c r="L753" i="3"/>
  <c r="K753" i="3"/>
  <c r="J753" i="3"/>
  <c r="I753" i="3"/>
  <c r="H753" i="3"/>
  <c r="G753" i="3"/>
  <c r="V752" i="3"/>
  <c r="U752" i="3"/>
  <c r="V751" i="3"/>
  <c r="U751" i="3"/>
  <c r="V750" i="3"/>
  <c r="U750" i="3"/>
  <c r="V749" i="3"/>
  <c r="U749" i="3"/>
  <c r="V748" i="3"/>
  <c r="U748" i="3"/>
  <c r="V747" i="3"/>
  <c r="U747" i="3"/>
  <c r="V746" i="3"/>
  <c r="U746" i="3"/>
  <c r="V745" i="3"/>
  <c r="U745" i="3"/>
  <c r="AF744" i="3"/>
  <c r="AD744" i="3"/>
  <c r="Z744" i="3"/>
  <c r="Y744" i="3"/>
  <c r="V744" i="3"/>
  <c r="U744" i="3"/>
  <c r="R742" i="3"/>
  <c r="Q742" i="3"/>
  <c r="P742" i="3"/>
  <c r="O742" i="3"/>
  <c r="N742" i="3"/>
  <c r="M742" i="3"/>
  <c r="L742" i="3"/>
  <c r="K742" i="3"/>
  <c r="J742" i="3"/>
  <c r="G742" i="3"/>
  <c r="R740" i="3"/>
  <c r="Q740" i="3"/>
  <c r="P740" i="3"/>
  <c r="O740" i="3"/>
  <c r="N740" i="3"/>
  <c r="M740" i="3"/>
  <c r="L740" i="3"/>
  <c r="K740" i="3"/>
  <c r="J740" i="3"/>
  <c r="I740" i="3"/>
  <c r="H740" i="3"/>
  <c r="G740" i="3"/>
  <c r="V739" i="3"/>
  <c r="U739" i="3"/>
  <c r="V738" i="3"/>
  <c r="U738" i="3"/>
  <c r="V737" i="3"/>
  <c r="U737" i="3"/>
  <c r="V736" i="3"/>
  <c r="U736" i="3"/>
  <c r="V735" i="3"/>
  <c r="U735" i="3"/>
  <c r="V734" i="3"/>
  <c r="U734" i="3"/>
  <c r="V733" i="3"/>
  <c r="U733" i="3"/>
  <c r="V732" i="3"/>
  <c r="U732" i="3"/>
  <c r="AF731" i="3"/>
  <c r="AD731" i="3"/>
  <c r="AB731" i="3"/>
  <c r="Z731" i="3"/>
  <c r="Y731" i="3"/>
  <c r="W731" i="3"/>
  <c r="V731" i="3"/>
  <c r="U731" i="3"/>
  <c r="R729" i="3"/>
  <c r="Q729" i="3"/>
  <c r="P729" i="3"/>
  <c r="O729" i="3"/>
  <c r="N729" i="3"/>
  <c r="M729" i="3"/>
  <c r="L729" i="3"/>
  <c r="K729" i="3"/>
  <c r="J729" i="3"/>
  <c r="G729" i="3"/>
  <c r="R727" i="3"/>
  <c r="Q727" i="3"/>
  <c r="P727" i="3"/>
  <c r="O727" i="3"/>
  <c r="N727" i="3"/>
  <c r="M727" i="3"/>
  <c r="L727" i="3"/>
  <c r="K727" i="3"/>
  <c r="J727" i="3"/>
  <c r="I727" i="3"/>
  <c r="H727" i="3"/>
  <c r="G727" i="3"/>
  <c r="V726" i="3"/>
  <c r="U726" i="3"/>
  <c r="V725" i="3"/>
  <c r="U725" i="3"/>
  <c r="V724" i="3"/>
  <c r="U724" i="3"/>
  <c r="V723" i="3"/>
  <c r="U723" i="3"/>
  <c r="V722" i="3"/>
  <c r="U722" i="3"/>
  <c r="V721" i="3"/>
  <c r="U721" i="3"/>
  <c r="V720" i="3"/>
  <c r="U720" i="3"/>
  <c r="V719" i="3"/>
  <c r="U719" i="3"/>
  <c r="AF718" i="3"/>
  <c r="AD718" i="3"/>
  <c r="AB718" i="3"/>
  <c r="Z718" i="3"/>
  <c r="Y718" i="3"/>
  <c r="W718" i="3"/>
  <c r="V718" i="3"/>
  <c r="U718" i="3"/>
  <c r="R716" i="3"/>
  <c r="Q716" i="3"/>
  <c r="P716" i="3"/>
  <c r="O716" i="3"/>
  <c r="N716" i="3"/>
  <c r="M716" i="3"/>
  <c r="L716" i="3"/>
  <c r="K716" i="3"/>
  <c r="G716" i="3"/>
  <c r="R714" i="3"/>
  <c r="Q714" i="3"/>
  <c r="P714" i="3"/>
  <c r="O714" i="3"/>
  <c r="N714" i="3"/>
  <c r="M714" i="3"/>
  <c r="L714" i="3"/>
  <c r="K714" i="3"/>
  <c r="J714" i="3"/>
  <c r="I714" i="3"/>
  <c r="H714" i="3"/>
  <c r="G714" i="3"/>
  <c r="V713" i="3"/>
  <c r="U713" i="3"/>
  <c r="V712" i="3"/>
  <c r="U712" i="3"/>
  <c r="V711" i="3"/>
  <c r="U711" i="3"/>
  <c r="V710" i="3"/>
  <c r="U710" i="3"/>
  <c r="V709" i="3"/>
  <c r="U709" i="3"/>
  <c r="V708" i="3"/>
  <c r="U708" i="3"/>
  <c r="V707" i="3"/>
  <c r="U707" i="3"/>
  <c r="V706" i="3"/>
  <c r="U706" i="3"/>
  <c r="AF705" i="3"/>
  <c r="AD705" i="3"/>
  <c r="Z705" i="3"/>
  <c r="Y705" i="3"/>
  <c r="V705" i="3"/>
  <c r="U705" i="3"/>
  <c r="R703" i="3"/>
  <c r="Q703" i="3"/>
  <c r="P703" i="3"/>
  <c r="O703" i="3"/>
  <c r="N703" i="3"/>
  <c r="M703" i="3"/>
  <c r="L703" i="3"/>
  <c r="K703" i="3"/>
  <c r="J703" i="3"/>
  <c r="G703" i="3"/>
  <c r="R701" i="3"/>
  <c r="Q701" i="3"/>
  <c r="P701" i="3"/>
  <c r="O701" i="3"/>
  <c r="N701" i="3"/>
  <c r="M701" i="3"/>
  <c r="L701" i="3"/>
  <c r="K701" i="3"/>
  <c r="J701" i="3"/>
  <c r="I701" i="3"/>
  <c r="H701" i="3"/>
  <c r="G701" i="3"/>
  <c r="V700" i="3"/>
  <c r="U700" i="3"/>
  <c r="V699" i="3"/>
  <c r="U699" i="3"/>
  <c r="V698" i="3"/>
  <c r="U698" i="3"/>
  <c r="V697" i="3"/>
  <c r="U697" i="3"/>
  <c r="V696" i="3"/>
  <c r="U696" i="3"/>
  <c r="V695" i="3"/>
  <c r="U695" i="3"/>
  <c r="V694" i="3"/>
  <c r="U694" i="3"/>
  <c r="V693" i="3"/>
  <c r="U693" i="3"/>
  <c r="AF692" i="3"/>
  <c r="AD692" i="3"/>
  <c r="AB692" i="3"/>
  <c r="Z692" i="3"/>
  <c r="Y692" i="3"/>
  <c r="W692" i="3"/>
  <c r="V692" i="3"/>
  <c r="U692" i="3"/>
  <c r="R690" i="3"/>
  <c r="Q690" i="3"/>
  <c r="P690" i="3"/>
  <c r="O690" i="3"/>
  <c r="N690" i="3"/>
  <c r="M690" i="3"/>
  <c r="L690" i="3"/>
  <c r="K690" i="3"/>
  <c r="G690" i="3"/>
  <c r="R688" i="3"/>
  <c r="Q688" i="3"/>
  <c r="P688" i="3"/>
  <c r="O688" i="3"/>
  <c r="N688" i="3"/>
  <c r="M688" i="3"/>
  <c r="L688" i="3"/>
  <c r="K688" i="3"/>
  <c r="J688" i="3"/>
  <c r="I688" i="3"/>
  <c r="H688" i="3"/>
  <c r="G688" i="3"/>
  <c r="V687" i="3"/>
  <c r="U687" i="3"/>
  <c r="V686" i="3"/>
  <c r="U686" i="3"/>
  <c r="V685" i="3"/>
  <c r="U685" i="3"/>
  <c r="V684" i="3"/>
  <c r="U684" i="3"/>
  <c r="V683" i="3"/>
  <c r="U683" i="3"/>
  <c r="V682" i="3"/>
  <c r="U682" i="3"/>
  <c r="V681" i="3"/>
  <c r="U681" i="3"/>
  <c r="V680" i="3"/>
  <c r="U680" i="3"/>
  <c r="AF679" i="3"/>
  <c r="AD679" i="3"/>
  <c r="Z679" i="3"/>
  <c r="Y679" i="3"/>
  <c r="V679" i="3"/>
  <c r="U679" i="3"/>
  <c r="R677" i="3"/>
  <c r="Q677" i="3"/>
  <c r="P677" i="3"/>
  <c r="O677" i="3"/>
  <c r="N677" i="3"/>
  <c r="M677" i="3"/>
  <c r="L677" i="3"/>
  <c r="K677" i="3"/>
  <c r="G677" i="3"/>
  <c r="R675" i="3"/>
  <c r="Q675" i="3"/>
  <c r="P675" i="3"/>
  <c r="O675" i="3"/>
  <c r="N675" i="3"/>
  <c r="M675" i="3"/>
  <c r="L675" i="3"/>
  <c r="K675" i="3"/>
  <c r="J675" i="3"/>
  <c r="I675" i="3"/>
  <c r="H675" i="3"/>
  <c r="G675" i="3"/>
  <c r="V674" i="3"/>
  <c r="U674" i="3"/>
  <c r="V673" i="3"/>
  <c r="U673" i="3"/>
  <c r="V672" i="3"/>
  <c r="U672" i="3"/>
  <c r="V671" i="3"/>
  <c r="U671" i="3"/>
  <c r="V670" i="3"/>
  <c r="U670" i="3"/>
  <c r="V669" i="3"/>
  <c r="U669" i="3"/>
  <c r="V668" i="3"/>
  <c r="U668" i="3"/>
  <c r="V667" i="3"/>
  <c r="U667" i="3"/>
  <c r="AF666" i="3"/>
  <c r="AD666" i="3"/>
  <c r="Z666" i="3"/>
  <c r="Y666" i="3"/>
  <c r="V666" i="3"/>
  <c r="U666" i="3"/>
  <c r="R664" i="3"/>
  <c r="Q664" i="3"/>
  <c r="P664" i="3"/>
  <c r="O664" i="3"/>
  <c r="N664" i="3"/>
  <c r="M664" i="3"/>
  <c r="L664" i="3"/>
  <c r="K664" i="3"/>
  <c r="G664" i="3"/>
  <c r="R662" i="3"/>
  <c r="Q662" i="3"/>
  <c r="P662" i="3"/>
  <c r="O662" i="3"/>
  <c r="N662" i="3"/>
  <c r="M662" i="3"/>
  <c r="L662" i="3"/>
  <c r="K662" i="3"/>
  <c r="J662" i="3"/>
  <c r="I662" i="3"/>
  <c r="H662" i="3"/>
  <c r="G662" i="3"/>
  <c r="V661" i="3"/>
  <c r="U661" i="3"/>
  <c r="V660" i="3"/>
  <c r="U660" i="3"/>
  <c r="V659" i="3"/>
  <c r="U659" i="3"/>
  <c r="V658" i="3"/>
  <c r="U658" i="3"/>
  <c r="V657" i="3"/>
  <c r="U657" i="3"/>
  <c r="V656" i="3"/>
  <c r="U656" i="3"/>
  <c r="V655" i="3"/>
  <c r="U655" i="3"/>
  <c r="V654" i="3"/>
  <c r="U654" i="3"/>
  <c r="AF653" i="3"/>
  <c r="AD653" i="3"/>
  <c r="AB653" i="3"/>
  <c r="Z653" i="3"/>
  <c r="Y653" i="3"/>
  <c r="W653" i="3"/>
  <c r="V653" i="3"/>
  <c r="U653" i="3"/>
  <c r="R651" i="3"/>
  <c r="Q651" i="3"/>
  <c r="P651" i="3"/>
  <c r="O651" i="3"/>
  <c r="N651" i="3"/>
  <c r="M651" i="3"/>
  <c r="L651" i="3"/>
  <c r="K651" i="3"/>
  <c r="J651" i="3"/>
  <c r="G651" i="3"/>
  <c r="R649" i="3"/>
  <c r="Q649" i="3"/>
  <c r="P649" i="3"/>
  <c r="O649" i="3"/>
  <c r="N649" i="3"/>
  <c r="M649" i="3"/>
  <c r="L649" i="3"/>
  <c r="K649" i="3"/>
  <c r="J649" i="3"/>
  <c r="I649" i="3"/>
  <c r="H649" i="3"/>
  <c r="G649" i="3"/>
  <c r="V648" i="3"/>
  <c r="U648" i="3"/>
  <c r="V647" i="3"/>
  <c r="U647" i="3"/>
  <c r="V646" i="3"/>
  <c r="U646" i="3"/>
  <c r="V645" i="3"/>
  <c r="U645" i="3"/>
  <c r="V644" i="3"/>
  <c r="U644" i="3"/>
  <c r="V643" i="3"/>
  <c r="U643" i="3"/>
  <c r="V642" i="3"/>
  <c r="U642" i="3"/>
  <c r="V641" i="3"/>
  <c r="U641" i="3"/>
  <c r="AF640" i="3"/>
  <c r="AD640" i="3"/>
  <c r="Z640" i="3"/>
  <c r="Y640" i="3"/>
  <c r="V640" i="3"/>
  <c r="U640" i="3"/>
  <c r="R638" i="3"/>
  <c r="Q638" i="3"/>
  <c r="P638" i="3"/>
  <c r="O638" i="3"/>
  <c r="N638" i="3"/>
  <c r="M638" i="3"/>
  <c r="L638" i="3"/>
  <c r="K638" i="3"/>
  <c r="J638" i="3"/>
  <c r="G638" i="3"/>
  <c r="R636" i="3"/>
  <c r="Q636" i="3"/>
  <c r="P636" i="3"/>
  <c r="O636" i="3"/>
  <c r="N636" i="3"/>
  <c r="M636" i="3"/>
  <c r="L636" i="3"/>
  <c r="K636" i="3"/>
  <c r="J636" i="3"/>
  <c r="I636" i="3"/>
  <c r="H636" i="3"/>
  <c r="G636" i="3"/>
  <c r="V635" i="3"/>
  <c r="U635" i="3"/>
  <c r="V634" i="3"/>
  <c r="U634" i="3"/>
  <c r="V633" i="3"/>
  <c r="U633" i="3"/>
  <c r="V632" i="3"/>
  <c r="U632" i="3"/>
  <c r="V631" i="3"/>
  <c r="U631" i="3"/>
  <c r="V630" i="3"/>
  <c r="U630" i="3"/>
  <c r="V629" i="3"/>
  <c r="U629" i="3"/>
  <c r="V628" i="3"/>
  <c r="U628" i="3"/>
  <c r="AF627" i="3"/>
  <c r="AD627" i="3"/>
  <c r="Z627" i="3"/>
  <c r="Y627" i="3"/>
  <c r="V627" i="3"/>
  <c r="U627" i="3"/>
  <c r="R625" i="3"/>
  <c r="Q625" i="3"/>
  <c r="P625" i="3"/>
  <c r="O625" i="3"/>
  <c r="N625" i="3"/>
  <c r="M625" i="3"/>
  <c r="L625" i="3"/>
  <c r="K625" i="3"/>
  <c r="J625" i="3"/>
  <c r="G625" i="3"/>
  <c r="R623" i="3"/>
  <c r="Q623" i="3"/>
  <c r="P623" i="3"/>
  <c r="O623" i="3"/>
  <c r="N623" i="3"/>
  <c r="M623" i="3"/>
  <c r="L623" i="3"/>
  <c r="K623" i="3"/>
  <c r="J623" i="3"/>
  <c r="I623" i="3"/>
  <c r="H623" i="3"/>
  <c r="G623" i="3"/>
  <c r="V622" i="3"/>
  <c r="U622" i="3"/>
  <c r="V621" i="3"/>
  <c r="U621" i="3"/>
  <c r="V620" i="3"/>
  <c r="U620" i="3"/>
  <c r="V619" i="3"/>
  <c r="U619" i="3"/>
  <c r="V618" i="3"/>
  <c r="U618" i="3"/>
  <c r="V617" i="3"/>
  <c r="U617" i="3"/>
  <c r="V616" i="3"/>
  <c r="U616" i="3"/>
  <c r="V615" i="3"/>
  <c r="U615" i="3"/>
  <c r="AF614" i="3"/>
  <c r="AD614" i="3"/>
  <c r="AB614" i="3"/>
  <c r="Z614" i="3"/>
  <c r="Y614" i="3"/>
  <c r="W614" i="3"/>
  <c r="V614" i="3"/>
  <c r="U614" i="3"/>
  <c r="R612" i="3"/>
  <c r="Q612" i="3"/>
  <c r="P612" i="3"/>
  <c r="O612" i="3"/>
  <c r="N612" i="3"/>
  <c r="M612" i="3"/>
  <c r="L612" i="3"/>
  <c r="K612" i="3"/>
  <c r="J612" i="3"/>
  <c r="G612" i="3"/>
  <c r="R610" i="3"/>
  <c r="Q610" i="3"/>
  <c r="P610" i="3"/>
  <c r="O610" i="3"/>
  <c r="N610" i="3"/>
  <c r="M610" i="3"/>
  <c r="L610" i="3"/>
  <c r="K610" i="3"/>
  <c r="J610" i="3"/>
  <c r="I610" i="3"/>
  <c r="H610" i="3"/>
  <c r="G610" i="3"/>
  <c r="V609" i="3"/>
  <c r="U609" i="3"/>
  <c r="V608" i="3"/>
  <c r="U608" i="3"/>
  <c r="V607" i="3"/>
  <c r="U607" i="3"/>
  <c r="V606" i="3"/>
  <c r="U606" i="3"/>
  <c r="V605" i="3"/>
  <c r="U605" i="3"/>
  <c r="V604" i="3"/>
  <c r="U604" i="3"/>
  <c r="V603" i="3"/>
  <c r="U603" i="3"/>
  <c r="V602" i="3"/>
  <c r="U602" i="3"/>
  <c r="AF601" i="3"/>
  <c r="AD601" i="3"/>
  <c r="Z601" i="3"/>
  <c r="Y601" i="3"/>
  <c r="V601" i="3"/>
  <c r="U601" i="3"/>
  <c r="R599" i="3"/>
  <c r="Q599" i="3"/>
  <c r="P599" i="3"/>
  <c r="O599" i="3"/>
  <c r="N599" i="3"/>
  <c r="M599" i="3"/>
  <c r="L599" i="3"/>
  <c r="K599" i="3"/>
  <c r="J599" i="3"/>
  <c r="G599" i="3"/>
  <c r="R597" i="3"/>
  <c r="Q597" i="3"/>
  <c r="P597" i="3"/>
  <c r="O597" i="3"/>
  <c r="N597" i="3"/>
  <c r="M597" i="3"/>
  <c r="L597" i="3"/>
  <c r="K597" i="3"/>
  <c r="J597" i="3"/>
  <c r="I597" i="3"/>
  <c r="H597" i="3"/>
  <c r="G597" i="3"/>
  <c r="V596" i="3"/>
  <c r="U596" i="3"/>
  <c r="V595" i="3"/>
  <c r="U595" i="3"/>
  <c r="V594" i="3"/>
  <c r="U594" i="3"/>
  <c r="V593" i="3"/>
  <c r="U593" i="3"/>
  <c r="V592" i="3"/>
  <c r="U592" i="3"/>
  <c r="V591" i="3"/>
  <c r="U591" i="3"/>
  <c r="V590" i="3"/>
  <c r="U590" i="3"/>
  <c r="V589" i="3"/>
  <c r="U589" i="3"/>
  <c r="AF588" i="3"/>
  <c r="AD588" i="3"/>
  <c r="Z588" i="3"/>
  <c r="Y588" i="3"/>
  <c r="W588" i="3"/>
  <c r="V588" i="3"/>
  <c r="U588" i="3"/>
  <c r="R586" i="3"/>
  <c r="Q586" i="3"/>
  <c r="P586" i="3"/>
  <c r="O586" i="3"/>
  <c r="N586" i="3"/>
  <c r="M586" i="3"/>
  <c r="L586" i="3"/>
  <c r="K586" i="3"/>
  <c r="J586" i="3"/>
  <c r="G586" i="3"/>
  <c r="R584" i="3"/>
  <c r="Q584" i="3"/>
  <c r="P584" i="3"/>
  <c r="O584" i="3"/>
  <c r="N584" i="3"/>
  <c r="M584" i="3"/>
  <c r="L584" i="3"/>
  <c r="K584" i="3"/>
  <c r="J584" i="3"/>
  <c r="I584" i="3"/>
  <c r="H584" i="3"/>
  <c r="G584" i="3"/>
  <c r="AF575" i="3"/>
  <c r="AD575" i="3"/>
  <c r="AB575" i="3"/>
  <c r="Z575" i="3"/>
  <c r="Y575" i="3"/>
  <c r="W575" i="3"/>
  <c r="R573" i="3"/>
  <c r="Q573" i="3"/>
  <c r="P573" i="3"/>
  <c r="O573" i="3"/>
  <c r="N573" i="3"/>
  <c r="M573" i="3"/>
  <c r="L573" i="3"/>
  <c r="K573" i="3"/>
  <c r="J573" i="3"/>
  <c r="G573" i="3"/>
  <c r="R571" i="3"/>
  <c r="Q571" i="3"/>
  <c r="P571" i="3"/>
  <c r="O571" i="3"/>
  <c r="N571" i="3"/>
  <c r="M571" i="3"/>
  <c r="L571" i="3"/>
  <c r="K571" i="3"/>
  <c r="J571" i="3"/>
  <c r="I571" i="3"/>
  <c r="H571" i="3"/>
  <c r="AF562" i="3"/>
  <c r="AD562" i="3"/>
  <c r="AB562" i="3"/>
  <c r="Z562" i="3"/>
  <c r="Y562" i="3"/>
  <c r="W562" i="3"/>
  <c r="R560" i="3"/>
  <c r="Q560" i="3"/>
  <c r="P560" i="3"/>
  <c r="O560" i="3"/>
  <c r="N560" i="3"/>
  <c r="M560" i="3"/>
  <c r="L560" i="3"/>
  <c r="K560" i="3"/>
  <c r="J560" i="3"/>
  <c r="I560" i="3"/>
  <c r="H560" i="3"/>
  <c r="G560" i="3"/>
  <c r="R558" i="3"/>
  <c r="Q558" i="3"/>
  <c r="P558" i="3"/>
  <c r="O558" i="3"/>
  <c r="N558" i="3"/>
  <c r="M558" i="3"/>
  <c r="L558" i="3"/>
  <c r="K558" i="3"/>
  <c r="J558" i="3"/>
  <c r="I558" i="3"/>
  <c r="H558" i="3"/>
  <c r="G558" i="3"/>
  <c r="V557" i="3"/>
  <c r="U557" i="3"/>
  <c r="V556" i="3"/>
  <c r="U556" i="3"/>
  <c r="V555" i="3"/>
  <c r="U555" i="3"/>
  <c r="V554" i="3"/>
  <c r="U554" i="3"/>
  <c r="V553" i="3"/>
  <c r="U553" i="3"/>
  <c r="V552" i="3"/>
  <c r="U552" i="3"/>
  <c r="V551" i="3"/>
  <c r="U551" i="3"/>
  <c r="V550" i="3"/>
  <c r="U550" i="3"/>
  <c r="AF549" i="3"/>
  <c r="AD549" i="3"/>
  <c r="AB549" i="3"/>
  <c r="Z549" i="3"/>
  <c r="Y549" i="3"/>
  <c r="W549" i="3"/>
  <c r="V549" i="3"/>
  <c r="U549" i="3"/>
  <c r="R547" i="3"/>
  <c r="Q547" i="3"/>
  <c r="P547" i="3"/>
  <c r="O547" i="3"/>
  <c r="N547" i="3"/>
  <c r="M547" i="3"/>
  <c r="L547" i="3"/>
  <c r="K547" i="3"/>
  <c r="J547" i="3"/>
  <c r="G547" i="3"/>
  <c r="R545" i="3"/>
  <c r="Q545" i="3"/>
  <c r="P545" i="3"/>
  <c r="O545" i="3"/>
  <c r="N545" i="3"/>
  <c r="M545" i="3"/>
  <c r="L545" i="3"/>
  <c r="K545" i="3"/>
  <c r="J545" i="3"/>
  <c r="I545" i="3"/>
  <c r="H545" i="3"/>
  <c r="G545" i="3"/>
  <c r="V544" i="3"/>
  <c r="U544" i="3"/>
  <c r="V543" i="3"/>
  <c r="U543" i="3"/>
  <c r="V542" i="3"/>
  <c r="U542" i="3"/>
  <c r="V541" i="3"/>
  <c r="U541" i="3"/>
  <c r="V540" i="3"/>
  <c r="U540" i="3"/>
  <c r="V539" i="3"/>
  <c r="U539" i="3"/>
  <c r="V538" i="3"/>
  <c r="U538" i="3"/>
  <c r="V537" i="3"/>
  <c r="U537" i="3"/>
  <c r="AF536" i="3"/>
  <c r="AD536" i="3"/>
  <c r="AB536" i="3"/>
  <c r="Z536" i="3"/>
  <c r="Y536" i="3"/>
  <c r="W536" i="3"/>
  <c r="V536" i="3"/>
  <c r="U536" i="3"/>
  <c r="R534" i="3"/>
  <c r="Q534" i="3"/>
  <c r="P534" i="3"/>
  <c r="O534" i="3"/>
  <c r="N534" i="3"/>
  <c r="M534" i="3"/>
  <c r="L534" i="3"/>
  <c r="K534" i="3"/>
  <c r="J534" i="3"/>
  <c r="G534" i="3"/>
  <c r="R532" i="3"/>
  <c r="Q532" i="3"/>
  <c r="P532" i="3"/>
  <c r="O532" i="3"/>
  <c r="N532" i="3"/>
  <c r="M532" i="3"/>
  <c r="L532" i="3"/>
  <c r="K532" i="3"/>
  <c r="J532" i="3"/>
  <c r="I532" i="3"/>
  <c r="H532" i="3"/>
  <c r="G532" i="3"/>
  <c r="V531" i="3"/>
  <c r="U531" i="3"/>
  <c r="V530" i="3"/>
  <c r="U530" i="3"/>
  <c r="V529" i="3"/>
  <c r="U529" i="3"/>
  <c r="V528" i="3"/>
  <c r="U528" i="3"/>
  <c r="V527" i="3"/>
  <c r="U527" i="3"/>
  <c r="V526" i="3"/>
  <c r="U526" i="3"/>
  <c r="V525" i="3"/>
  <c r="U525" i="3"/>
  <c r="AF524" i="3"/>
  <c r="V524" i="3"/>
  <c r="U524" i="3"/>
  <c r="AF523" i="3"/>
  <c r="AD523" i="3"/>
  <c r="AB523" i="3"/>
  <c r="Z523" i="3"/>
  <c r="Y523" i="3"/>
  <c r="W523" i="3"/>
  <c r="V523" i="3"/>
  <c r="U523" i="3"/>
  <c r="R521" i="3"/>
  <c r="Q521" i="3"/>
  <c r="P521" i="3"/>
  <c r="O521" i="3"/>
  <c r="N521" i="3"/>
  <c r="M521" i="3"/>
  <c r="L521" i="3"/>
  <c r="K521" i="3"/>
  <c r="J521" i="3"/>
  <c r="G521" i="3"/>
  <c r="R519" i="3"/>
  <c r="Q519" i="3"/>
  <c r="P519" i="3"/>
  <c r="O519" i="3"/>
  <c r="N519" i="3"/>
  <c r="M519" i="3"/>
  <c r="L519" i="3"/>
  <c r="K519" i="3"/>
  <c r="J519" i="3"/>
  <c r="I519" i="3"/>
  <c r="H519" i="3"/>
  <c r="G519" i="3"/>
  <c r="V518" i="3"/>
  <c r="U518" i="3"/>
  <c r="V517" i="3"/>
  <c r="U517" i="3"/>
  <c r="V516" i="3"/>
  <c r="U516" i="3"/>
  <c r="V515" i="3"/>
  <c r="U515" i="3"/>
  <c r="V514" i="3"/>
  <c r="U514" i="3"/>
  <c r="V513" i="3"/>
  <c r="U513" i="3"/>
  <c r="V512" i="3"/>
  <c r="U512" i="3"/>
  <c r="AF511" i="3"/>
  <c r="V511" i="3"/>
  <c r="U511" i="3"/>
  <c r="AF510" i="3"/>
  <c r="AD510" i="3"/>
  <c r="AB510" i="3"/>
  <c r="Z510" i="3"/>
  <c r="Y510" i="3"/>
  <c r="W510" i="3"/>
  <c r="V510" i="3"/>
  <c r="U510" i="3"/>
  <c r="R508" i="3"/>
  <c r="Q508" i="3"/>
  <c r="P508" i="3"/>
  <c r="O508" i="3"/>
  <c r="N508" i="3"/>
  <c r="M508" i="3"/>
  <c r="L508" i="3"/>
  <c r="K508" i="3"/>
  <c r="J508" i="3"/>
  <c r="G508" i="3"/>
  <c r="R506" i="3"/>
  <c r="Q506" i="3"/>
  <c r="P506" i="3"/>
  <c r="O506" i="3"/>
  <c r="N506" i="3"/>
  <c r="M506" i="3"/>
  <c r="L506" i="3"/>
  <c r="K506" i="3"/>
  <c r="J506" i="3"/>
  <c r="I506" i="3"/>
  <c r="H506" i="3"/>
  <c r="G506" i="3"/>
  <c r="V505" i="3"/>
  <c r="U505" i="3"/>
  <c r="V504" i="3"/>
  <c r="U504" i="3"/>
  <c r="V503" i="3"/>
  <c r="U503" i="3"/>
  <c r="V502" i="3"/>
  <c r="U502" i="3"/>
  <c r="V501" i="3"/>
  <c r="U501" i="3"/>
  <c r="V500" i="3"/>
  <c r="U500" i="3"/>
  <c r="V499" i="3"/>
  <c r="U499" i="3"/>
  <c r="V498" i="3"/>
  <c r="U498" i="3"/>
  <c r="AF497" i="3"/>
  <c r="AD497" i="3"/>
  <c r="AB497" i="3"/>
  <c r="Z497" i="3"/>
  <c r="Y497" i="3"/>
  <c r="W497" i="3"/>
  <c r="V497" i="3"/>
  <c r="U497" i="3"/>
  <c r="R495" i="3"/>
  <c r="Q495" i="3"/>
  <c r="P495" i="3"/>
  <c r="O495" i="3"/>
  <c r="N495" i="3"/>
  <c r="M495" i="3"/>
  <c r="L495" i="3"/>
  <c r="K495" i="3"/>
  <c r="J495" i="3"/>
  <c r="I495" i="3"/>
  <c r="H495" i="3"/>
  <c r="G495" i="3"/>
  <c r="R493" i="3"/>
  <c r="Q493" i="3"/>
  <c r="P493" i="3"/>
  <c r="O493" i="3"/>
  <c r="N493" i="3"/>
  <c r="M493" i="3"/>
  <c r="L493" i="3"/>
  <c r="K493" i="3"/>
  <c r="J493" i="3"/>
  <c r="I493" i="3"/>
  <c r="H493" i="3"/>
  <c r="G493" i="3"/>
  <c r="V492" i="3"/>
  <c r="U492" i="3"/>
  <c r="V491" i="3"/>
  <c r="U491" i="3"/>
  <c r="V490" i="3"/>
  <c r="U490" i="3"/>
  <c r="V489" i="3"/>
  <c r="U489" i="3"/>
  <c r="V488" i="3"/>
  <c r="U488" i="3"/>
  <c r="V487" i="3"/>
  <c r="U487" i="3"/>
  <c r="V486" i="3"/>
  <c r="U486" i="3"/>
  <c r="V485" i="3"/>
  <c r="U485" i="3"/>
  <c r="AF484" i="3"/>
  <c r="AD484" i="3"/>
  <c r="AB484" i="3"/>
  <c r="Z484" i="3"/>
  <c r="Y484" i="3"/>
  <c r="W484" i="3"/>
  <c r="V484" i="3"/>
  <c r="U484" i="3"/>
  <c r="R482" i="3"/>
  <c r="Q482" i="3"/>
  <c r="P482" i="3"/>
  <c r="O482" i="3"/>
  <c r="N482" i="3"/>
  <c r="M482" i="3"/>
  <c r="L482" i="3"/>
  <c r="K482" i="3"/>
  <c r="J482" i="3"/>
  <c r="I482" i="3"/>
  <c r="H482" i="3"/>
  <c r="G482" i="3"/>
  <c r="R480" i="3"/>
  <c r="Q480" i="3"/>
  <c r="P480" i="3"/>
  <c r="O480" i="3"/>
  <c r="N480" i="3"/>
  <c r="M480" i="3"/>
  <c r="L480" i="3"/>
  <c r="K480" i="3"/>
  <c r="J480" i="3"/>
  <c r="I480" i="3"/>
  <c r="H480" i="3"/>
  <c r="G480" i="3"/>
  <c r="V479" i="3"/>
  <c r="U479" i="3"/>
  <c r="V478" i="3"/>
  <c r="U478" i="3"/>
  <c r="V477" i="3"/>
  <c r="U477" i="3"/>
  <c r="V476" i="3"/>
  <c r="U476" i="3"/>
  <c r="V475" i="3"/>
  <c r="U475" i="3"/>
  <c r="V474" i="3"/>
  <c r="U474" i="3"/>
  <c r="V473" i="3"/>
  <c r="U473" i="3"/>
  <c r="AF472" i="3"/>
  <c r="AD472" i="3"/>
  <c r="AB472" i="3"/>
  <c r="V472" i="3"/>
  <c r="U472" i="3"/>
  <c r="AF471" i="3"/>
  <c r="AD471" i="3"/>
  <c r="AB471" i="3"/>
  <c r="Z471" i="3"/>
  <c r="Y471" i="3"/>
  <c r="W471" i="3"/>
  <c r="V471" i="3"/>
  <c r="U471" i="3"/>
  <c r="R469" i="3"/>
  <c r="Q469" i="3"/>
  <c r="P469" i="3"/>
  <c r="O469" i="3"/>
  <c r="N469" i="3"/>
  <c r="M469" i="3"/>
  <c r="L469" i="3"/>
  <c r="K469" i="3"/>
  <c r="J469" i="3"/>
  <c r="I469" i="3"/>
  <c r="H469" i="3"/>
  <c r="G469" i="3"/>
  <c r="R467" i="3"/>
  <c r="Q467" i="3"/>
  <c r="P467" i="3"/>
  <c r="O467" i="3"/>
  <c r="N467" i="3"/>
  <c r="M467" i="3"/>
  <c r="L467" i="3"/>
  <c r="K467" i="3"/>
  <c r="J467" i="3"/>
  <c r="I467" i="3"/>
  <c r="H467" i="3"/>
  <c r="G467" i="3"/>
  <c r="V466" i="3"/>
  <c r="U466" i="3"/>
  <c r="V465" i="3"/>
  <c r="U465" i="3"/>
  <c r="V464" i="3"/>
  <c r="U464" i="3"/>
  <c r="V463" i="3"/>
  <c r="U463" i="3"/>
  <c r="V462" i="3"/>
  <c r="U462" i="3"/>
  <c r="V461" i="3"/>
  <c r="U461" i="3"/>
  <c r="V460" i="3"/>
  <c r="U460" i="3"/>
  <c r="V459" i="3"/>
  <c r="U459" i="3"/>
  <c r="AF458" i="3"/>
  <c r="AD458" i="3"/>
  <c r="AB458" i="3"/>
  <c r="Z458" i="3"/>
  <c r="Y458" i="3"/>
  <c r="W458" i="3"/>
  <c r="V458" i="3"/>
  <c r="U458" i="3"/>
  <c r="R456" i="3"/>
  <c r="Q456" i="3"/>
  <c r="P456" i="3"/>
  <c r="O456" i="3"/>
  <c r="N456" i="3"/>
  <c r="M456" i="3"/>
  <c r="L456" i="3"/>
  <c r="K456" i="3"/>
  <c r="J456" i="3"/>
  <c r="G456" i="3"/>
  <c r="R454" i="3"/>
  <c r="Q454" i="3"/>
  <c r="P454" i="3"/>
  <c r="O454" i="3"/>
  <c r="N454" i="3"/>
  <c r="M454" i="3"/>
  <c r="L454" i="3"/>
  <c r="K454" i="3"/>
  <c r="J454" i="3"/>
  <c r="I454" i="3"/>
  <c r="H454" i="3"/>
  <c r="G454" i="3"/>
  <c r="V453" i="3"/>
  <c r="U453" i="3"/>
  <c r="V452" i="3"/>
  <c r="U452" i="3"/>
  <c r="V451" i="3"/>
  <c r="U451" i="3"/>
  <c r="V450" i="3"/>
  <c r="U450" i="3"/>
  <c r="V449" i="3"/>
  <c r="U449" i="3"/>
  <c r="V448" i="3"/>
  <c r="U448" i="3"/>
  <c r="AF447" i="3"/>
  <c r="V447" i="3"/>
  <c r="U447" i="3"/>
  <c r="AF446" i="3"/>
  <c r="V446" i="3"/>
  <c r="U446" i="3"/>
  <c r="AF445" i="3"/>
  <c r="AD445" i="3"/>
  <c r="AB445" i="3"/>
  <c r="Z445" i="3"/>
  <c r="Y445" i="3"/>
  <c r="W445" i="3"/>
  <c r="V445" i="3"/>
  <c r="U445" i="3"/>
  <c r="R443" i="3"/>
  <c r="Q443" i="3"/>
  <c r="P443" i="3"/>
  <c r="O443" i="3"/>
  <c r="N443" i="3"/>
  <c r="M443" i="3"/>
  <c r="L443" i="3"/>
  <c r="K443" i="3"/>
  <c r="J443" i="3"/>
  <c r="G443" i="3"/>
  <c r="R441" i="3"/>
  <c r="Q441" i="3"/>
  <c r="P441" i="3"/>
  <c r="O441" i="3"/>
  <c r="N441" i="3"/>
  <c r="M441" i="3"/>
  <c r="L441" i="3"/>
  <c r="K441" i="3"/>
  <c r="J441" i="3"/>
  <c r="I441" i="3"/>
  <c r="H441" i="3"/>
  <c r="G441" i="3"/>
  <c r="V440" i="3"/>
  <c r="U440" i="3"/>
  <c r="V439" i="3"/>
  <c r="U439" i="3"/>
  <c r="V438" i="3"/>
  <c r="U438" i="3"/>
  <c r="V437" i="3"/>
  <c r="U437" i="3"/>
  <c r="V436" i="3"/>
  <c r="U436" i="3"/>
  <c r="V435" i="3"/>
  <c r="U435" i="3"/>
  <c r="V434" i="3"/>
  <c r="U434" i="3"/>
  <c r="AF433" i="3"/>
  <c r="V433" i="3"/>
  <c r="U433" i="3"/>
  <c r="AF432" i="3"/>
  <c r="AD432" i="3"/>
  <c r="AB432" i="3"/>
  <c r="Z432" i="3"/>
  <c r="Y432" i="3"/>
  <c r="W432" i="3"/>
  <c r="V432" i="3"/>
  <c r="U432" i="3"/>
  <c r="R430" i="3"/>
  <c r="Q430" i="3"/>
  <c r="P430" i="3"/>
  <c r="O430" i="3"/>
  <c r="N430" i="3"/>
  <c r="M430" i="3"/>
  <c r="L430" i="3"/>
  <c r="K430" i="3"/>
  <c r="J430" i="3"/>
  <c r="I430" i="3"/>
  <c r="H430" i="3"/>
  <c r="G430" i="3"/>
  <c r="R428" i="3"/>
  <c r="Q428" i="3"/>
  <c r="P428" i="3"/>
  <c r="O428" i="3"/>
  <c r="N428" i="3"/>
  <c r="M428" i="3"/>
  <c r="L428" i="3"/>
  <c r="K428" i="3"/>
  <c r="J428" i="3"/>
  <c r="I428" i="3"/>
  <c r="H428" i="3"/>
  <c r="G428" i="3"/>
  <c r="V427" i="3"/>
  <c r="U427" i="3"/>
  <c r="V426" i="3"/>
  <c r="U426" i="3"/>
  <c r="V425" i="3"/>
  <c r="U425" i="3"/>
  <c r="V424" i="3"/>
  <c r="U424" i="3"/>
  <c r="V423" i="3"/>
  <c r="U423" i="3"/>
  <c r="V422" i="3"/>
  <c r="U422" i="3"/>
  <c r="V421" i="3"/>
  <c r="U421" i="3"/>
  <c r="V420" i="3"/>
  <c r="U420" i="3"/>
  <c r="AF419" i="3"/>
  <c r="AD419" i="3"/>
  <c r="AB419" i="3"/>
  <c r="Z419" i="3"/>
  <c r="Y419" i="3"/>
  <c r="W419" i="3"/>
  <c r="V419" i="3"/>
  <c r="U419" i="3"/>
  <c r="R417" i="3"/>
  <c r="Q417" i="3"/>
  <c r="P417" i="3"/>
  <c r="O417" i="3"/>
  <c r="N417" i="3"/>
  <c r="M417" i="3"/>
  <c r="L417" i="3"/>
  <c r="K417" i="3"/>
  <c r="J417" i="3"/>
  <c r="I417" i="3"/>
  <c r="H417" i="3"/>
  <c r="G417" i="3"/>
  <c r="R415" i="3"/>
  <c r="Q415" i="3"/>
  <c r="P415" i="3"/>
  <c r="O415" i="3"/>
  <c r="N415" i="3"/>
  <c r="M415" i="3"/>
  <c r="L415" i="3"/>
  <c r="K415" i="3"/>
  <c r="J415" i="3"/>
  <c r="I415" i="3"/>
  <c r="H415" i="3"/>
  <c r="G415" i="3"/>
  <c r="V414" i="3"/>
  <c r="U414" i="3"/>
  <c r="V413" i="3"/>
  <c r="U413" i="3"/>
  <c r="V412" i="3"/>
  <c r="U412" i="3"/>
  <c r="V411" i="3"/>
  <c r="U411" i="3"/>
  <c r="V410" i="3"/>
  <c r="U410" i="3"/>
  <c r="V409" i="3"/>
  <c r="U409" i="3"/>
  <c r="AF408" i="3"/>
  <c r="AD408" i="3"/>
  <c r="V408" i="3"/>
  <c r="U408" i="3"/>
  <c r="AF407" i="3"/>
  <c r="AD407" i="3"/>
  <c r="V407" i="3"/>
  <c r="U407" i="3"/>
  <c r="AF406" i="3"/>
  <c r="AD406" i="3"/>
  <c r="AB406" i="3"/>
  <c r="Z406" i="3"/>
  <c r="Y406" i="3"/>
  <c r="W406" i="3"/>
  <c r="V406" i="3"/>
  <c r="U406" i="3"/>
  <c r="R404" i="3"/>
  <c r="Q404" i="3"/>
  <c r="P404" i="3"/>
  <c r="O404" i="3"/>
  <c r="N404" i="3"/>
  <c r="M404" i="3"/>
  <c r="L404" i="3"/>
  <c r="K404" i="3"/>
  <c r="J404" i="3"/>
  <c r="I404" i="3"/>
  <c r="H404" i="3"/>
  <c r="G404" i="3"/>
  <c r="R402" i="3"/>
  <c r="Q402" i="3"/>
  <c r="P402" i="3"/>
  <c r="O402" i="3"/>
  <c r="N402" i="3"/>
  <c r="M402" i="3"/>
  <c r="L402" i="3"/>
  <c r="K402" i="3"/>
  <c r="J402" i="3"/>
  <c r="I402" i="3"/>
  <c r="H402" i="3"/>
  <c r="G402" i="3"/>
  <c r="V401" i="3"/>
  <c r="U401" i="3"/>
  <c r="V400" i="3"/>
  <c r="U400" i="3"/>
  <c r="V399" i="3"/>
  <c r="U399" i="3"/>
  <c r="V398" i="3"/>
  <c r="U398" i="3"/>
  <c r="V397" i="3"/>
  <c r="U397" i="3"/>
  <c r="V396" i="3"/>
  <c r="U396" i="3"/>
  <c r="V395" i="3"/>
  <c r="U395" i="3"/>
  <c r="AF394" i="3"/>
  <c r="AD394" i="3"/>
  <c r="V394" i="3"/>
  <c r="U394" i="3"/>
  <c r="AF393" i="3"/>
  <c r="AD393" i="3"/>
  <c r="AB393" i="3"/>
  <c r="Z393" i="3"/>
  <c r="Y393" i="3"/>
  <c r="W393" i="3"/>
  <c r="V393" i="3"/>
  <c r="U393" i="3"/>
  <c r="R391" i="3"/>
  <c r="Q391" i="3"/>
  <c r="P391" i="3"/>
  <c r="O391" i="3"/>
  <c r="N391" i="3"/>
  <c r="M391" i="3"/>
  <c r="L391" i="3"/>
  <c r="K391" i="3"/>
  <c r="J391" i="3"/>
  <c r="I391" i="3"/>
  <c r="H391" i="3"/>
  <c r="G391" i="3"/>
  <c r="R389" i="3"/>
  <c r="Q389" i="3"/>
  <c r="P389" i="3"/>
  <c r="O389" i="3"/>
  <c r="N389" i="3"/>
  <c r="M389" i="3"/>
  <c r="L389" i="3"/>
  <c r="K389" i="3"/>
  <c r="J389" i="3"/>
  <c r="I389" i="3"/>
  <c r="H389" i="3"/>
  <c r="G389" i="3"/>
  <c r="V388" i="3"/>
  <c r="U388" i="3"/>
  <c r="V387" i="3"/>
  <c r="U387" i="3"/>
  <c r="V386" i="3"/>
  <c r="U386" i="3"/>
  <c r="V385" i="3"/>
  <c r="U385" i="3"/>
  <c r="V384" i="3"/>
  <c r="U384" i="3"/>
  <c r="AF383" i="3"/>
  <c r="AD383" i="3"/>
  <c r="V383" i="3"/>
  <c r="U383" i="3"/>
  <c r="AF382" i="3"/>
  <c r="AD382" i="3"/>
  <c r="V382" i="3"/>
  <c r="U382" i="3"/>
  <c r="AF381" i="3"/>
  <c r="AD381" i="3"/>
  <c r="V381" i="3"/>
  <c r="U381" i="3"/>
  <c r="AF380" i="3"/>
  <c r="AD380" i="3"/>
  <c r="AB380" i="3"/>
  <c r="Z380" i="3"/>
  <c r="Y380" i="3"/>
  <c r="W380" i="3"/>
  <c r="V380" i="3"/>
  <c r="U380" i="3"/>
  <c r="R378" i="3"/>
  <c r="Q378" i="3"/>
  <c r="P378" i="3"/>
  <c r="O378" i="3"/>
  <c r="N378" i="3"/>
  <c r="M378" i="3"/>
  <c r="L378" i="3"/>
  <c r="K378" i="3"/>
  <c r="J378" i="3"/>
  <c r="G378" i="3"/>
  <c r="R376" i="3"/>
  <c r="Q376" i="3"/>
  <c r="P376" i="3"/>
  <c r="O376" i="3"/>
  <c r="N376" i="3"/>
  <c r="M376" i="3"/>
  <c r="L376" i="3"/>
  <c r="K376" i="3"/>
  <c r="J376" i="3"/>
  <c r="I376" i="3"/>
  <c r="H376" i="3"/>
  <c r="G376" i="3"/>
  <c r="V375" i="3"/>
  <c r="U375" i="3"/>
  <c r="V374" i="3"/>
  <c r="U374" i="3"/>
  <c r="V373" i="3"/>
  <c r="U373" i="3"/>
  <c r="V372" i="3"/>
  <c r="U372" i="3"/>
  <c r="V371" i="3"/>
  <c r="U371" i="3"/>
  <c r="V370" i="3"/>
  <c r="U370" i="3"/>
  <c r="V369" i="3"/>
  <c r="U369" i="3"/>
  <c r="V368" i="3"/>
  <c r="U368" i="3"/>
  <c r="AF367" i="3"/>
  <c r="AD367" i="3"/>
  <c r="AB367" i="3"/>
  <c r="Z367" i="3"/>
  <c r="Y367" i="3"/>
  <c r="W367" i="3"/>
  <c r="V367" i="3"/>
  <c r="U367" i="3"/>
  <c r="R365" i="3"/>
  <c r="Q365" i="3"/>
  <c r="P365" i="3"/>
  <c r="O365" i="3"/>
  <c r="N365" i="3"/>
  <c r="M365" i="3"/>
  <c r="L365" i="3"/>
  <c r="K365" i="3"/>
  <c r="J365" i="3"/>
  <c r="G365" i="3"/>
  <c r="R363" i="3"/>
  <c r="Q363" i="3"/>
  <c r="P363" i="3"/>
  <c r="O363" i="3"/>
  <c r="N363" i="3"/>
  <c r="M363" i="3"/>
  <c r="L363" i="3"/>
  <c r="K363" i="3"/>
  <c r="J363" i="3"/>
  <c r="I363" i="3"/>
  <c r="H363" i="3"/>
  <c r="G363" i="3"/>
  <c r="V362" i="3"/>
  <c r="U362" i="3"/>
  <c r="V361" i="3"/>
  <c r="U361" i="3"/>
  <c r="V360" i="3"/>
  <c r="U360" i="3"/>
  <c r="V359" i="3"/>
  <c r="U359" i="3"/>
  <c r="V358" i="3"/>
  <c r="U358" i="3"/>
  <c r="V357" i="3"/>
  <c r="U357" i="3"/>
  <c r="V356" i="3"/>
  <c r="U356" i="3"/>
  <c r="V355" i="3"/>
  <c r="U355" i="3"/>
  <c r="AF354" i="3"/>
  <c r="AD354" i="3"/>
  <c r="AB354" i="3"/>
  <c r="Z354" i="3"/>
  <c r="Y354" i="3"/>
  <c r="W354" i="3"/>
  <c r="V354" i="3"/>
  <c r="U354" i="3"/>
  <c r="R352" i="3"/>
  <c r="Q352" i="3"/>
  <c r="P352" i="3"/>
  <c r="O352" i="3"/>
  <c r="N352" i="3"/>
  <c r="M352" i="3"/>
  <c r="L352" i="3"/>
  <c r="K352" i="3"/>
  <c r="J352" i="3"/>
  <c r="G352" i="3"/>
  <c r="R350" i="3"/>
  <c r="Q350" i="3"/>
  <c r="P350" i="3"/>
  <c r="O350" i="3"/>
  <c r="N350" i="3"/>
  <c r="M350" i="3"/>
  <c r="L350" i="3"/>
  <c r="K350" i="3"/>
  <c r="J350" i="3"/>
  <c r="I350" i="3"/>
  <c r="H350" i="3"/>
  <c r="G350" i="3"/>
  <c r="V349" i="3"/>
  <c r="U349" i="3"/>
  <c r="V348" i="3"/>
  <c r="U348" i="3"/>
  <c r="V347" i="3"/>
  <c r="U347" i="3"/>
  <c r="V346" i="3"/>
  <c r="U346" i="3"/>
  <c r="V345" i="3"/>
  <c r="U345" i="3"/>
  <c r="V344" i="3"/>
  <c r="U344" i="3"/>
  <c r="V343" i="3"/>
  <c r="U343" i="3"/>
  <c r="V342" i="3"/>
  <c r="U342" i="3"/>
  <c r="AF341" i="3"/>
  <c r="AD341" i="3"/>
  <c r="AB341" i="3"/>
  <c r="Z341" i="3"/>
  <c r="Y341" i="3"/>
  <c r="W341" i="3"/>
  <c r="V341" i="3"/>
  <c r="U341" i="3"/>
  <c r="R339" i="3"/>
  <c r="Q339" i="3"/>
  <c r="P339" i="3"/>
  <c r="O339" i="3"/>
  <c r="N339" i="3"/>
  <c r="M339" i="3"/>
  <c r="L339" i="3"/>
  <c r="K339" i="3"/>
  <c r="J339" i="3"/>
  <c r="G339" i="3"/>
  <c r="R337" i="3"/>
  <c r="Q337" i="3"/>
  <c r="P337" i="3"/>
  <c r="O337" i="3"/>
  <c r="N337" i="3"/>
  <c r="M337" i="3"/>
  <c r="L337" i="3"/>
  <c r="K337" i="3"/>
  <c r="J337" i="3"/>
  <c r="I337" i="3"/>
  <c r="H337" i="3"/>
  <c r="G337" i="3"/>
  <c r="V336" i="3"/>
  <c r="U336" i="3"/>
  <c r="V335" i="3"/>
  <c r="U335" i="3"/>
  <c r="V334" i="3"/>
  <c r="U334" i="3"/>
  <c r="V333" i="3"/>
  <c r="U333" i="3"/>
  <c r="V332" i="3"/>
  <c r="U332" i="3"/>
  <c r="V331" i="3"/>
  <c r="U331" i="3"/>
  <c r="V330" i="3"/>
  <c r="U330" i="3"/>
  <c r="AF329" i="3"/>
  <c r="AD329" i="3"/>
  <c r="V329" i="3"/>
  <c r="U329" i="3"/>
  <c r="AF328" i="3"/>
  <c r="AD328" i="3"/>
  <c r="AB328" i="3"/>
  <c r="Z328" i="3"/>
  <c r="Y328" i="3"/>
  <c r="W328" i="3"/>
  <c r="V328" i="3"/>
  <c r="U328" i="3"/>
  <c r="R326" i="3"/>
  <c r="Q326" i="3"/>
  <c r="P326" i="3"/>
  <c r="O326" i="3"/>
  <c r="N326" i="3"/>
  <c r="M326" i="3"/>
  <c r="L326" i="3"/>
  <c r="K326" i="3"/>
  <c r="J326" i="3"/>
  <c r="G326" i="3"/>
  <c r="R324" i="3"/>
  <c r="Q324" i="3"/>
  <c r="P324" i="3"/>
  <c r="O324" i="3"/>
  <c r="N324" i="3"/>
  <c r="M324" i="3"/>
  <c r="L324" i="3"/>
  <c r="K324" i="3"/>
  <c r="J324" i="3"/>
  <c r="I324" i="3"/>
  <c r="H324" i="3"/>
  <c r="G324" i="3"/>
  <c r="V323" i="3"/>
  <c r="U323" i="3"/>
  <c r="V322" i="3"/>
  <c r="U322" i="3"/>
  <c r="V321" i="3"/>
  <c r="U321" i="3"/>
  <c r="V320" i="3"/>
  <c r="U320" i="3"/>
  <c r="V319" i="3"/>
  <c r="U319" i="3"/>
  <c r="V318" i="3"/>
  <c r="U318" i="3"/>
  <c r="V317" i="3"/>
  <c r="U317" i="3"/>
  <c r="AF316" i="3"/>
  <c r="AD316" i="3"/>
  <c r="V316" i="3"/>
  <c r="U316" i="3"/>
  <c r="AF315" i="3"/>
  <c r="AD315" i="3"/>
  <c r="AB315" i="3"/>
  <c r="Z315" i="3"/>
  <c r="Y315" i="3"/>
  <c r="W315" i="3"/>
  <c r="V315" i="3"/>
  <c r="U315" i="3"/>
  <c r="R313" i="3"/>
  <c r="Q313" i="3"/>
  <c r="P313" i="3"/>
  <c r="O313" i="3"/>
  <c r="N313" i="3"/>
  <c r="M313" i="3"/>
  <c r="L313" i="3"/>
  <c r="K313" i="3"/>
  <c r="J313" i="3"/>
  <c r="G313" i="3"/>
  <c r="R311" i="3"/>
  <c r="Q311" i="3"/>
  <c r="P311" i="3"/>
  <c r="O311" i="3"/>
  <c r="N311" i="3"/>
  <c r="M311" i="3"/>
  <c r="L311" i="3"/>
  <c r="K311" i="3"/>
  <c r="J311" i="3"/>
  <c r="I311" i="3"/>
  <c r="H311" i="3"/>
  <c r="G311" i="3"/>
  <c r="V310" i="3"/>
  <c r="U310" i="3"/>
  <c r="V309" i="3"/>
  <c r="U309" i="3"/>
  <c r="V308" i="3"/>
  <c r="U308" i="3"/>
  <c r="V307" i="3"/>
  <c r="U307" i="3"/>
  <c r="V306" i="3"/>
  <c r="U306" i="3"/>
  <c r="V305" i="3"/>
  <c r="U305" i="3"/>
  <c r="V304" i="3"/>
  <c r="U304" i="3"/>
  <c r="V303" i="3"/>
  <c r="U303" i="3"/>
  <c r="AF302" i="3"/>
  <c r="AD302" i="3"/>
  <c r="AB302" i="3"/>
  <c r="Z302" i="3"/>
  <c r="Y302" i="3"/>
  <c r="W302" i="3"/>
  <c r="V302" i="3"/>
  <c r="U302" i="3"/>
  <c r="R300" i="3"/>
  <c r="Q300" i="3"/>
  <c r="P300" i="3"/>
  <c r="O300" i="3"/>
  <c r="N300" i="3"/>
  <c r="M300" i="3"/>
  <c r="L300" i="3"/>
  <c r="K300" i="3"/>
  <c r="J300" i="3"/>
  <c r="G300" i="3"/>
  <c r="R298" i="3"/>
  <c r="Q298" i="3"/>
  <c r="P298" i="3"/>
  <c r="O298" i="3"/>
  <c r="N298" i="3"/>
  <c r="M298" i="3"/>
  <c r="L298" i="3"/>
  <c r="K298" i="3"/>
  <c r="J298" i="3"/>
  <c r="I298" i="3"/>
  <c r="H298" i="3"/>
  <c r="G298" i="3"/>
  <c r="V297" i="3"/>
  <c r="U297" i="3"/>
  <c r="V296" i="3"/>
  <c r="U296" i="3"/>
  <c r="V295" i="3"/>
  <c r="U295" i="3"/>
  <c r="V294" i="3"/>
  <c r="U294" i="3"/>
  <c r="V293" i="3"/>
  <c r="U293" i="3"/>
  <c r="V292" i="3"/>
  <c r="U292" i="3"/>
  <c r="V291" i="3"/>
  <c r="U291" i="3"/>
  <c r="V290" i="3"/>
  <c r="U290" i="3"/>
  <c r="AF289" i="3"/>
  <c r="AD289" i="3"/>
  <c r="AB289" i="3"/>
  <c r="Z289" i="3"/>
  <c r="Y289" i="3"/>
  <c r="W289" i="3"/>
  <c r="V289" i="3"/>
  <c r="U289" i="3"/>
  <c r="R287" i="3"/>
  <c r="Q287" i="3"/>
  <c r="P287" i="3"/>
  <c r="O287" i="3"/>
  <c r="N287" i="3"/>
  <c r="M287" i="3"/>
  <c r="L287" i="3"/>
  <c r="K287" i="3"/>
  <c r="J287" i="3"/>
  <c r="I287" i="3"/>
  <c r="H287" i="3"/>
  <c r="G287" i="3"/>
  <c r="R285" i="3"/>
  <c r="Q285" i="3"/>
  <c r="P285" i="3"/>
  <c r="O285" i="3"/>
  <c r="N285" i="3"/>
  <c r="M285" i="3"/>
  <c r="L285" i="3"/>
  <c r="K285" i="3"/>
  <c r="J285" i="3"/>
  <c r="I285" i="3"/>
  <c r="H285" i="3"/>
  <c r="G285" i="3"/>
  <c r="V284" i="3"/>
  <c r="U284" i="3"/>
  <c r="V283" i="3"/>
  <c r="U283" i="3"/>
  <c r="V282" i="3"/>
  <c r="U282" i="3"/>
  <c r="V281" i="3"/>
  <c r="U281" i="3"/>
  <c r="V280" i="3"/>
  <c r="U280" i="3"/>
  <c r="V279" i="3"/>
  <c r="U279" i="3"/>
  <c r="V278" i="3"/>
  <c r="U278" i="3"/>
  <c r="V277" i="3"/>
  <c r="U277" i="3"/>
  <c r="AF276" i="3"/>
  <c r="AD276" i="3"/>
  <c r="AB276" i="3"/>
  <c r="Z276" i="3"/>
  <c r="Y276" i="3"/>
  <c r="W276" i="3"/>
  <c r="V276" i="3"/>
  <c r="U276" i="3"/>
  <c r="R274" i="3"/>
  <c r="Q274" i="3"/>
  <c r="P274" i="3"/>
  <c r="O274" i="3"/>
  <c r="N274" i="3"/>
  <c r="M274" i="3"/>
  <c r="L274" i="3"/>
  <c r="K274" i="3"/>
  <c r="J274" i="3"/>
  <c r="G274" i="3"/>
  <c r="R272" i="3"/>
  <c r="Q272" i="3"/>
  <c r="P272" i="3"/>
  <c r="O272" i="3"/>
  <c r="N272" i="3"/>
  <c r="M272" i="3"/>
  <c r="L272" i="3"/>
  <c r="K272" i="3"/>
  <c r="J272" i="3"/>
  <c r="I272" i="3"/>
  <c r="H272" i="3"/>
  <c r="G272" i="3"/>
  <c r="V271" i="3"/>
  <c r="U271" i="3"/>
  <c r="V270" i="3"/>
  <c r="U270" i="3"/>
  <c r="V269" i="3"/>
  <c r="U269" i="3"/>
  <c r="V268" i="3"/>
  <c r="U268" i="3"/>
  <c r="V267" i="3"/>
  <c r="U267" i="3"/>
  <c r="V266" i="3"/>
  <c r="U266" i="3"/>
  <c r="V265" i="3"/>
  <c r="U265" i="3"/>
  <c r="AF264" i="3"/>
  <c r="AD264" i="3"/>
  <c r="V264" i="3"/>
  <c r="U264" i="3"/>
  <c r="AF263" i="3"/>
  <c r="AD263" i="3"/>
  <c r="AB263" i="3"/>
  <c r="Z263" i="3"/>
  <c r="Y263" i="3"/>
  <c r="W263" i="3"/>
  <c r="V263" i="3"/>
  <c r="U263" i="3"/>
  <c r="R261" i="3"/>
  <c r="Q261" i="3"/>
  <c r="P261" i="3"/>
  <c r="O261" i="3"/>
  <c r="N261" i="3"/>
  <c r="M261" i="3"/>
  <c r="L261" i="3"/>
  <c r="K261" i="3"/>
  <c r="J261" i="3"/>
  <c r="G261" i="3"/>
  <c r="R259" i="3"/>
  <c r="Q259" i="3"/>
  <c r="P259" i="3"/>
  <c r="O259" i="3"/>
  <c r="N259" i="3"/>
  <c r="M259" i="3"/>
  <c r="L259" i="3"/>
  <c r="K259" i="3"/>
  <c r="J259" i="3"/>
  <c r="I259" i="3"/>
  <c r="H259" i="3"/>
  <c r="G259" i="3"/>
  <c r="V258" i="3"/>
  <c r="U258" i="3"/>
  <c r="V257" i="3"/>
  <c r="U257" i="3"/>
  <c r="V256" i="3"/>
  <c r="U256" i="3"/>
  <c r="V255" i="3"/>
  <c r="U255" i="3"/>
  <c r="V254" i="3"/>
  <c r="U254" i="3"/>
  <c r="V253" i="3"/>
  <c r="U253" i="3"/>
  <c r="V252" i="3"/>
  <c r="U252" i="3"/>
  <c r="AF251" i="3"/>
  <c r="AD251" i="3"/>
  <c r="V251" i="3"/>
  <c r="U251" i="3"/>
  <c r="AF250" i="3"/>
  <c r="AD250" i="3"/>
  <c r="AB250" i="3"/>
  <c r="Z250" i="3"/>
  <c r="Y250" i="3"/>
  <c r="W250" i="3"/>
  <c r="V250" i="3"/>
  <c r="U250" i="3"/>
  <c r="R248" i="3"/>
  <c r="Q248" i="3"/>
  <c r="P248" i="3"/>
  <c r="O248" i="3"/>
  <c r="N248" i="3"/>
  <c r="M248" i="3"/>
  <c r="L248" i="3"/>
  <c r="K248" i="3"/>
  <c r="J248" i="3"/>
  <c r="G248" i="3"/>
  <c r="R246" i="3"/>
  <c r="Q246" i="3"/>
  <c r="P246" i="3"/>
  <c r="O246" i="3"/>
  <c r="N246" i="3"/>
  <c r="M246" i="3"/>
  <c r="L246" i="3"/>
  <c r="K246" i="3"/>
  <c r="J246" i="3"/>
  <c r="I246" i="3"/>
  <c r="H246" i="3"/>
  <c r="G246" i="3"/>
  <c r="V245" i="3"/>
  <c r="U245" i="3"/>
  <c r="V244" i="3"/>
  <c r="U244" i="3"/>
  <c r="V243" i="3"/>
  <c r="U243" i="3"/>
  <c r="V242" i="3"/>
  <c r="U242" i="3"/>
  <c r="V241" i="3"/>
  <c r="U241" i="3"/>
  <c r="V240" i="3"/>
  <c r="U240" i="3"/>
  <c r="AF239" i="3"/>
  <c r="AD239" i="3"/>
  <c r="V239" i="3"/>
  <c r="U239" i="3"/>
  <c r="AF238" i="3"/>
  <c r="AD238" i="3"/>
  <c r="V238" i="3"/>
  <c r="U238" i="3"/>
  <c r="AF237" i="3"/>
  <c r="AD237" i="3"/>
  <c r="AB237" i="3"/>
  <c r="Z237" i="3"/>
  <c r="Y237" i="3"/>
  <c r="W237" i="3"/>
  <c r="V237" i="3"/>
  <c r="U237" i="3"/>
  <c r="R235" i="3"/>
  <c r="Q235" i="3"/>
  <c r="P235" i="3"/>
  <c r="O235" i="3"/>
  <c r="N235" i="3"/>
  <c r="M235" i="3"/>
  <c r="L235" i="3"/>
  <c r="K235" i="3"/>
  <c r="J235" i="3"/>
  <c r="G235" i="3"/>
  <c r="R233" i="3"/>
  <c r="Q233" i="3"/>
  <c r="P233" i="3"/>
  <c r="O233" i="3"/>
  <c r="N233" i="3"/>
  <c r="M233" i="3"/>
  <c r="L233" i="3"/>
  <c r="K233" i="3"/>
  <c r="J233" i="3"/>
  <c r="I233" i="3"/>
  <c r="H233" i="3"/>
  <c r="G233" i="3"/>
  <c r="V232" i="3"/>
  <c r="U232" i="3"/>
  <c r="V231" i="3"/>
  <c r="U231" i="3"/>
  <c r="V230" i="3"/>
  <c r="U230" i="3"/>
  <c r="V229" i="3"/>
  <c r="U229" i="3"/>
  <c r="V228" i="3"/>
  <c r="U228" i="3"/>
  <c r="V227" i="3"/>
  <c r="U227" i="3"/>
  <c r="V226" i="3"/>
  <c r="U226" i="3"/>
  <c r="V225" i="3"/>
  <c r="U225" i="3"/>
  <c r="AF224" i="3"/>
  <c r="AD224" i="3"/>
  <c r="AB224" i="3"/>
  <c r="Z224" i="3"/>
  <c r="Y224" i="3"/>
  <c r="W224" i="3"/>
  <c r="V224" i="3"/>
  <c r="U224" i="3"/>
  <c r="R222" i="3"/>
  <c r="Q222" i="3"/>
  <c r="P222" i="3"/>
  <c r="O222" i="3"/>
  <c r="N222" i="3"/>
  <c r="M222" i="3"/>
  <c r="L222" i="3"/>
  <c r="K222" i="3"/>
  <c r="J222" i="3"/>
  <c r="I222" i="3"/>
  <c r="H222" i="3"/>
  <c r="G222" i="3"/>
  <c r="R220" i="3"/>
  <c r="Q220" i="3"/>
  <c r="P220" i="3"/>
  <c r="O220" i="3"/>
  <c r="N220" i="3"/>
  <c r="M220" i="3"/>
  <c r="L220" i="3"/>
  <c r="K220" i="3"/>
  <c r="J220" i="3"/>
  <c r="I220" i="3"/>
  <c r="H220" i="3"/>
  <c r="G220" i="3"/>
  <c r="V219" i="3"/>
  <c r="U219" i="3"/>
  <c r="V218" i="3"/>
  <c r="U218" i="3"/>
  <c r="V217" i="3"/>
  <c r="U217" i="3"/>
  <c r="V216" i="3"/>
  <c r="U216" i="3"/>
  <c r="V215" i="3"/>
  <c r="U215" i="3"/>
  <c r="V214" i="3"/>
  <c r="U214" i="3"/>
  <c r="V213" i="3"/>
  <c r="U213" i="3"/>
  <c r="V212" i="3"/>
  <c r="U212" i="3"/>
  <c r="AF211" i="3"/>
  <c r="AD211" i="3"/>
  <c r="AB211" i="3"/>
  <c r="Z211" i="3"/>
  <c r="Y211" i="3"/>
  <c r="W211" i="3"/>
  <c r="V211" i="3"/>
  <c r="U211" i="3"/>
  <c r="R209" i="3"/>
  <c r="Q209" i="3"/>
  <c r="P209" i="3"/>
  <c r="O209" i="3"/>
  <c r="N209" i="3"/>
  <c r="M209" i="3"/>
  <c r="L209" i="3"/>
  <c r="K209" i="3"/>
  <c r="J209" i="3"/>
  <c r="I209" i="3"/>
  <c r="H209" i="3"/>
  <c r="G209" i="3"/>
  <c r="R207" i="3"/>
  <c r="Q207" i="3"/>
  <c r="P207" i="3"/>
  <c r="O207" i="3"/>
  <c r="N207" i="3"/>
  <c r="M207" i="3"/>
  <c r="L207" i="3"/>
  <c r="K207" i="3"/>
  <c r="J207" i="3"/>
  <c r="I207" i="3"/>
  <c r="H207" i="3"/>
  <c r="G207" i="3"/>
  <c r="V206" i="3"/>
  <c r="U206" i="3"/>
  <c r="V205" i="3"/>
  <c r="U205" i="3"/>
  <c r="V204" i="3"/>
  <c r="U204" i="3"/>
  <c r="V203" i="3"/>
  <c r="U203" i="3"/>
  <c r="V202" i="3"/>
  <c r="U202" i="3"/>
  <c r="V201" i="3"/>
  <c r="U201" i="3"/>
  <c r="V200" i="3"/>
  <c r="U200" i="3"/>
  <c r="V199" i="3"/>
  <c r="U199" i="3"/>
  <c r="AF198" i="3"/>
  <c r="AD198" i="3"/>
  <c r="AB198" i="3"/>
  <c r="Z198" i="3"/>
  <c r="Y198" i="3"/>
  <c r="W198" i="3"/>
  <c r="V198" i="3"/>
  <c r="U198" i="3"/>
  <c r="R196" i="3"/>
  <c r="Q196" i="3"/>
  <c r="P196" i="3"/>
  <c r="O196" i="3"/>
  <c r="N196" i="3"/>
  <c r="M196" i="3"/>
  <c r="L196" i="3"/>
  <c r="K196" i="3"/>
  <c r="J196" i="3"/>
  <c r="G196" i="3"/>
  <c r="R194" i="3"/>
  <c r="Q194" i="3"/>
  <c r="P194" i="3"/>
  <c r="O194" i="3"/>
  <c r="N194" i="3"/>
  <c r="M194" i="3"/>
  <c r="L194" i="3"/>
  <c r="K194" i="3"/>
  <c r="J194" i="3"/>
  <c r="I194" i="3"/>
  <c r="H194" i="3"/>
  <c r="G194" i="3"/>
  <c r="V193" i="3"/>
  <c r="U193" i="3"/>
  <c r="V192" i="3"/>
  <c r="U192" i="3"/>
  <c r="V191" i="3"/>
  <c r="U191" i="3"/>
  <c r="V190" i="3"/>
  <c r="U190" i="3"/>
  <c r="V189" i="3"/>
  <c r="U189" i="3"/>
  <c r="V188" i="3"/>
  <c r="U188" i="3"/>
  <c r="V187" i="3"/>
  <c r="U187" i="3"/>
  <c r="AD186" i="3"/>
  <c r="V186" i="3"/>
  <c r="U186" i="3"/>
  <c r="AF185" i="3"/>
  <c r="AD185" i="3"/>
  <c r="AB185" i="3"/>
  <c r="Z185" i="3"/>
  <c r="Y185" i="3"/>
  <c r="W185" i="3"/>
  <c r="V185" i="3"/>
  <c r="U185" i="3"/>
  <c r="R183" i="3"/>
  <c r="Q183" i="3"/>
  <c r="P183" i="3"/>
  <c r="O183" i="3"/>
  <c r="N183" i="3"/>
  <c r="M183" i="3"/>
  <c r="L183" i="3"/>
  <c r="K183" i="3"/>
  <c r="J183" i="3"/>
  <c r="G183" i="3"/>
  <c r="R181" i="3"/>
  <c r="Q181" i="3"/>
  <c r="P181" i="3"/>
  <c r="O181" i="3"/>
  <c r="N181" i="3"/>
  <c r="M181" i="3"/>
  <c r="L181" i="3"/>
  <c r="K181" i="3"/>
  <c r="J181" i="3"/>
  <c r="I181" i="3"/>
  <c r="H181" i="3"/>
  <c r="G181" i="3"/>
  <c r="V180" i="3"/>
  <c r="U180" i="3"/>
  <c r="V179" i="3"/>
  <c r="U179" i="3"/>
  <c r="V178" i="3"/>
  <c r="U178" i="3"/>
  <c r="V177" i="3"/>
  <c r="U177" i="3"/>
  <c r="V176" i="3"/>
  <c r="U176" i="3"/>
  <c r="V175" i="3"/>
  <c r="U175" i="3"/>
  <c r="V174" i="3"/>
  <c r="U174" i="3"/>
  <c r="V173" i="3"/>
  <c r="U173" i="3"/>
  <c r="AF172" i="3"/>
  <c r="AD172" i="3"/>
  <c r="AB172" i="3"/>
  <c r="Z172" i="3"/>
  <c r="Y172" i="3"/>
  <c r="W172" i="3"/>
  <c r="V172" i="3"/>
  <c r="U172" i="3"/>
  <c r="R170" i="3"/>
  <c r="Q170" i="3"/>
  <c r="P170" i="3"/>
  <c r="O170" i="3"/>
  <c r="N170" i="3"/>
  <c r="M170" i="3"/>
  <c r="L170" i="3"/>
  <c r="K170" i="3"/>
  <c r="J170" i="3"/>
  <c r="G170" i="3"/>
  <c r="R168" i="3"/>
  <c r="Q168" i="3"/>
  <c r="P168" i="3"/>
  <c r="O168" i="3"/>
  <c r="N168" i="3"/>
  <c r="M168" i="3"/>
  <c r="L168" i="3"/>
  <c r="K168" i="3"/>
  <c r="J168" i="3"/>
  <c r="I168" i="3"/>
  <c r="H168" i="3"/>
  <c r="G168" i="3"/>
  <c r="V167" i="3"/>
  <c r="U167" i="3"/>
  <c r="V166" i="3"/>
  <c r="U166" i="3"/>
  <c r="V165" i="3"/>
  <c r="U165" i="3"/>
  <c r="V164" i="3"/>
  <c r="U164" i="3"/>
  <c r="V163" i="3"/>
  <c r="U163" i="3"/>
  <c r="V162" i="3"/>
  <c r="U162" i="3"/>
  <c r="V161" i="3"/>
  <c r="U161" i="3"/>
  <c r="AD160" i="3"/>
  <c r="V160" i="3"/>
  <c r="U160" i="3"/>
  <c r="AF159" i="3"/>
  <c r="AD159" i="3"/>
  <c r="AB159" i="3"/>
  <c r="Z159" i="3"/>
  <c r="Y159" i="3"/>
  <c r="W159" i="3"/>
  <c r="V159" i="3"/>
  <c r="U159" i="3"/>
  <c r="R157" i="3"/>
  <c r="Q157" i="3"/>
  <c r="P157" i="3"/>
  <c r="O157" i="3"/>
  <c r="N157" i="3"/>
  <c r="M157" i="3"/>
  <c r="L157" i="3"/>
  <c r="K157" i="3"/>
  <c r="G157" i="3"/>
  <c r="R155" i="3"/>
  <c r="Q155" i="3"/>
  <c r="P155" i="3"/>
  <c r="O155" i="3"/>
  <c r="N155" i="3"/>
  <c r="M155" i="3"/>
  <c r="L155" i="3"/>
  <c r="K155" i="3"/>
  <c r="J155" i="3"/>
  <c r="I155" i="3"/>
  <c r="H155" i="3"/>
  <c r="G155" i="3"/>
  <c r="V154" i="3"/>
  <c r="U154" i="3"/>
  <c r="V153" i="3"/>
  <c r="U153" i="3"/>
  <c r="V152" i="3"/>
  <c r="U152" i="3"/>
  <c r="V151" i="3"/>
  <c r="U151" i="3"/>
  <c r="V150" i="3"/>
  <c r="U150" i="3"/>
  <c r="V149" i="3"/>
  <c r="U149" i="3"/>
  <c r="V148" i="3"/>
  <c r="U148" i="3"/>
  <c r="V147" i="3"/>
  <c r="U147" i="3"/>
  <c r="AD146" i="3"/>
  <c r="AB146" i="3"/>
  <c r="Z146" i="3"/>
  <c r="Y146" i="3"/>
  <c r="W146" i="3"/>
  <c r="V146" i="3"/>
  <c r="U146" i="3"/>
  <c r="R144" i="3"/>
  <c r="Q144" i="3"/>
  <c r="P144" i="3"/>
  <c r="O144" i="3"/>
  <c r="N144" i="3"/>
  <c r="M144" i="3"/>
  <c r="L144" i="3"/>
  <c r="K144" i="3"/>
  <c r="J144" i="3"/>
  <c r="I144" i="3"/>
  <c r="H144" i="3"/>
  <c r="G144" i="3"/>
  <c r="R142" i="3"/>
  <c r="Q142" i="3"/>
  <c r="P142" i="3"/>
  <c r="O142" i="3"/>
  <c r="N142" i="3"/>
  <c r="M142" i="3"/>
  <c r="L142" i="3"/>
  <c r="K142" i="3"/>
  <c r="J142" i="3"/>
  <c r="I142" i="3"/>
  <c r="H142" i="3"/>
  <c r="G142" i="3"/>
  <c r="V141" i="3"/>
  <c r="U141" i="3"/>
  <c r="V140" i="3"/>
  <c r="U140" i="3"/>
  <c r="V139" i="3"/>
  <c r="U139" i="3"/>
  <c r="V138" i="3"/>
  <c r="U138" i="3"/>
  <c r="V137" i="3"/>
  <c r="U137" i="3"/>
  <c r="V136" i="3"/>
  <c r="U136" i="3"/>
  <c r="V135" i="3"/>
  <c r="U135" i="3"/>
  <c r="V134" i="3"/>
  <c r="U134" i="3"/>
  <c r="AF133" i="3"/>
  <c r="AD133" i="3"/>
  <c r="AB133" i="3"/>
  <c r="Z133" i="3"/>
  <c r="Y133" i="3"/>
  <c r="W133" i="3"/>
  <c r="V133" i="3"/>
  <c r="U133" i="3"/>
  <c r="R131" i="3"/>
  <c r="Q131" i="3"/>
  <c r="P131" i="3"/>
  <c r="O131" i="3"/>
  <c r="N131" i="3"/>
  <c r="M131" i="3"/>
  <c r="L131" i="3"/>
  <c r="K131" i="3"/>
  <c r="J131" i="3"/>
  <c r="I131" i="3"/>
  <c r="H131" i="3"/>
  <c r="G131" i="3"/>
  <c r="R129" i="3"/>
  <c r="Q129" i="3"/>
  <c r="P129" i="3"/>
  <c r="O129" i="3"/>
  <c r="N129" i="3"/>
  <c r="M129" i="3"/>
  <c r="L129" i="3"/>
  <c r="K129" i="3"/>
  <c r="J129" i="3"/>
  <c r="I129" i="3"/>
  <c r="H129" i="3"/>
  <c r="G129" i="3"/>
  <c r="V128" i="3"/>
  <c r="U128" i="3"/>
  <c r="V127" i="3"/>
  <c r="U127" i="3"/>
  <c r="V126" i="3"/>
  <c r="U126" i="3"/>
  <c r="V125" i="3"/>
  <c r="U125" i="3"/>
  <c r="V124" i="3"/>
  <c r="U124" i="3"/>
  <c r="V123" i="3"/>
  <c r="U123" i="3"/>
  <c r="V122" i="3"/>
  <c r="U122" i="3"/>
  <c r="V121" i="3"/>
  <c r="U121" i="3"/>
  <c r="AF120" i="3"/>
  <c r="AD120" i="3"/>
  <c r="AB120" i="3"/>
  <c r="Z120" i="3"/>
  <c r="Y120" i="3"/>
  <c r="W120" i="3"/>
  <c r="V120" i="3"/>
  <c r="U120" i="3"/>
  <c r="R118" i="3"/>
  <c r="Q118" i="3"/>
  <c r="P118" i="3"/>
  <c r="O118" i="3"/>
  <c r="N118" i="3"/>
  <c r="M118" i="3"/>
  <c r="L118" i="3"/>
  <c r="K118" i="3"/>
  <c r="J118" i="3"/>
  <c r="I118" i="3"/>
  <c r="H118" i="3"/>
  <c r="G118" i="3"/>
  <c r="R116" i="3"/>
  <c r="Q116" i="3"/>
  <c r="P116" i="3"/>
  <c r="O116" i="3"/>
  <c r="N116" i="3"/>
  <c r="M116" i="3"/>
  <c r="L116" i="3"/>
  <c r="K116" i="3"/>
  <c r="J116" i="3"/>
  <c r="I116" i="3"/>
  <c r="H116" i="3"/>
  <c r="G116" i="3"/>
  <c r="V115" i="3"/>
  <c r="U115" i="3"/>
  <c r="V114" i="3"/>
  <c r="U114" i="3"/>
  <c r="V113" i="3"/>
  <c r="U113" i="3"/>
  <c r="V112" i="3"/>
  <c r="U112" i="3"/>
  <c r="V111" i="3"/>
  <c r="U111" i="3"/>
  <c r="V110" i="3"/>
  <c r="U110" i="3"/>
  <c r="V109" i="3"/>
  <c r="U109" i="3"/>
  <c r="V108" i="3"/>
  <c r="U108" i="3"/>
  <c r="AF107" i="3"/>
  <c r="AD107" i="3"/>
  <c r="AB107" i="3"/>
  <c r="Z107" i="3"/>
  <c r="Y107" i="3"/>
  <c r="W107" i="3"/>
  <c r="V107" i="3"/>
  <c r="U107" i="3"/>
  <c r="R105" i="3"/>
  <c r="Q105" i="3"/>
  <c r="P105" i="3"/>
  <c r="O105" i="3"/>
  <c r="N105" i="3"/>
  <c r="M105" i="3"/>
  <c r="L105" i="3"/>
  <c r="K105" i="3"/>
  <c r="J105" i="3"/>
  <c r="I105" i="3"/>
  <c r="H105" i="3"/>
  <c r="G105" i="3"/>
  <c r="R103" i="3"/>
  <c r="Q103" i="3"/>
  <c r="P103" i="3"/>
  <c r="O103" i="3"/>
  <c r="N103" i="3"/>
  <c r="M103" i="3"/>
  <c r="L103" i="3"/>
  <c r="K103" i="3"/>
  <c r="J103" i="3"/>
  <c r="I103" i="3"/>
  <c r="H103" i="3"/>
  <c r="G103" i="3"/>
  <c r="V102" i="3"/>
  <c r="U102" i="3"/>
  <c r="V101" i="3"/>
  <c r="U101" i="3"/>
  <c r="V100" i="3"/>
  <c r="U100" i="3"/>
  <c r="V99" i="3"/>
  <c r="U99" i="3"/>
  <c r="V98" i="3"/>
  <c r="U98" i="3"/>
  <c r="V97" i="3"/>
  <c r="U97" i="3"/>
  <c r="V96" i="3"/>
  <c r="U96" i="3"/>
  <c r="V95" i="3"/>
  <c r="U95" i="3"/>
  <c r="AF94" i="3"/>
  <c r="AD94" i="3"/>
  <c r="AB94" i="3"/>
  <c r="Z94" i="3"/>
  <c r="Y94" i="3"/>
  <c r="W94" i="3"/>
  <c r="V94" i="3"/>
  <c r="U94" i="3"/>
  <c r="R92" i="3"/>
  <c r="Q92" i="3"/>
  <c r="P92" i="3"/>
  <c r="O92" i="3"/>
  <c r="N92" i="3"/>
  <c r="M92" i="3"/>
  <c r="L92" i="3"/>
  <c r="K92" i="3"/>
  <c r="J92" i="3"/>
  <c r="I92" i="3"/>
  <c r="H92" i="3"/>
  <c r="G92" i="3"/>
  <c r="R90" i="3"/>
  <c r="Q90" i="3"/>
  <c r="P90" i="3"/>
  <c r="O90" i="3"/>
  <c r="N90" i="3"/>
  <c r="M90" i="3"/>
  <c r="L90" i="3"/>
  <c r="K90" i="3"/>
  <c r="J90" i="3"/>
  <c r="I90" i="3"/>
  <c r="H90" i="3"/>
  <c r="G90" i="3"/>
  <c r="V89" i="3"/>
  <c r="U89" i="3"/>
  <c r="V88" i="3"/>
  <c r="U88" i="3"/>
  <c r="V87" i="3"/>
  <c r="U87" i="3"/>
  <c r="V86" i="3"/>
  <c r="U86" i="3"/>
  <c r="V85" i="3"/>
  <c r="U85" i="3"/>
  <c r="V84" i="3"/>
  <c r="U84" i="3"/>
  <c r="V83" i="3"/>
  <c r="U83" i="3"/>
  <c r="AD82" i="3"/>
  <c r="V82" i="3"/>
  <c r="U82" i="3"/>
  <c r="AF81" i="3"/>
  <c r="AD81" i="3"/>
  <c r="AB81" i="3"/>
  <c r="Z81" i="3"/>
  <c r="Y81" i="3"/>
  <c r="W81" i="3"/>
  <c r="V81" i="3"/>
  <c r="U81" i="3"/>
  <c r="R79" i="3"/>
  <c r="Q79" i="3"/>
  <c r="P79" i="3"/>
  <c r="O79" i="3"/>
  <c r="N79" i="3"/>
  <c r="M79" i="3"/>
  <c r="L79" i="3"/>
  <c r="K79" i="3"/>
  <c r="J79" i="3"/>
  <c r="I79" i="3"/>
  <c r="H79" i="3"/>
  <c r="G79" i="3"/>
  <c r="R77" i="3"/>
  <c r="Q77" i="3"/>
  <c r="P77" i="3"/>
  <c r="O77" i="3"/>
  <c r="N77" i="3"/>
  <c r="M77" i="3"/>
  <c r="L77" i="3"/>
  <c r="K77" i="3"/>
  <c r="J77" i="3"/>
  <c r="I77" i="3"/>
  <c r="H77" i="3"/>
  <c r="G77" i="3"/>
  <c r="V76" i="3"/>
  <c r="U76" i="3"/>
  <c r="V75" i="3"/>
  <c r="U75" i="3"/>
  <c r="V74" i="3"/>
  <c r="U74" i="3"/>
  <c r="V73" i="3"/>
  <c r="U73" i="3"/>
  <c r="V72" i="3"/>
  <c r="U72" i="3"/>
  <c r="V71" i="3"/>
  <c r="U71" i="3"/>
  <c r="V70" i="3"/>
  <c r="U70" i="3"/>
  <c r="V69" i="3"/>
  <c r="U69" i="3"/>
  <c r="AD68" i="3"/>
  <c r="AB68" i="3"/>
  <c r="Z68" i="3"/>
  <c r="Y68" i="3"/>
  <c r="W68" i="3"/>
  <c r="V68" i="3"/>
  <c r="U68" i="3"/>
  <c r="R66" i="3"/>
  <c r="Q66" i="3"/>
  <c r="P66" i="3"/>
  <c r="O66" i="3"/>
  <c r="N66" i="3"/>
  <c r="M66" i="3"/>
  <c r="L66" i="3"/>
  <c r="K66" i="3"/>
  <c r="J66" i="3"/>
  <c r="I66" i="3"/>
  <c r="H66" i="3"/>
  <c r="G66" i="3"/>
  <c r="R64" i="3"/>
  <c r="Q64" i="3"/>
  <c r="P64" i="3"/>
  <c r="O64" i="3"/>
  <c r="N64" i="3"/>
  <c r="M64" i="3"/>
  <c r="L64" i="3"/>
  <c r="K64" i="3"/>
  <c r="J64" i="3"/>
  <c r="I64" i="3"/>
  <c r="H64" i="3"/>
  <c r="G64" i="3"/>
  <c r="V63" i="3"/>
  <c r="U63" i="3"/>
  <c r="V62" i="3"/>
  <c r="U62" i="3"/>
  <c r="V61" i="3"/>
  <c r="U61" i="3"/>
  <c r="V60" i="3"/>
  <c r="U60" i="3"/>
  <c r="V59" i="3"/>
  <c r="U59" i="3"/>
  <c r="V58" i="3"/>
  <c r="U58" i="3"/>
  <c r="V57" i="3"/>
  <c r="U57" i="3"/>
  <c r="V56" i="3"/>
  <c r="U56" i="3"/>
  <c r="AF55" i="3"/>
  <c r="AD55" i="3"/>
  <c r="AB55" i="3"/>
  <c r="Z55" i="3"/>
  <c r="W55" i="3"/>
  <c r="V55" i="3"/>
  <c r="U55" i="3"/>
  <c r="R53" i="3"/>
  <c r="Q53" i="3"/>
  <c r="P53" i="3"/>
  <c r="O53" i="3"/>
  <c r="N53" i="3"/>
  <c r="M53" i="3"/>
  <c r="L53" i="3"/>
  <c r="K53" i="3"/>
  <c r="J53" i="3"/>
  <c r="I53" i="3"/>
  <c r="H53" i="3"/>
  <c r="G53" i="3"/>
  <c r="R51" i="3"/>
  <c r="Q51" i="3"/>
  <c r="P51" i="3"/>
  <c r="O51" i="3"/>
  <c r="N51" i="3"/>
  <c r="M51" i="3"/>
  <c r="L51" i="3"/>
  <c r="K51" i="3"/>
  <c r="J51" i="3"/>
  <c r="I51" i="3"/>
  <c r="H51" i="3"/>
  <c r="G51" i="3"/>
  <c r="V50" i="3"/>
  <c r="U50" i="3"/>
  <c r="V49" i="3"/>
  <c r="U49" i="3"/>
  <c r="V48" i="3"/>
  <c r="U48" i="3"/>
  <c r="V47" i="3"/>
  <c r="U47" i="3"/>
  <c r="V46" i="3"/>
  <c r="U46" i="3"/>
  <c r="V45" i="3"/>
  <c r="U45" i="3"/>
  <c r="V44" i="3"/>
  <c r="U44" i="3"/>
  <c r="V43" i="3"/>
  <c r="U43" i="3"/>
  <c r="AF42" i="3"/>
  <c r="AB42" i="3"/>
  <c r="Z42" i="3"/>
  <c r="W42" i="3"/>
  <c r="V42" i="3"/>
  <c r="U42" i="3"/>
  <c r="R40" i="3"/>
  <c r="Q40" i="3"/>
  <c r="P40" i="3"/>
  <c r="O40" i="3"/>
  <c r="N40" i="3"/>
  <c r="M40" i="3"/>
  <c r="L40" i="3"/>
  <c r="K40" i="3"/>
  <c r="J40" i="3"/>
  <c r="I40" i="3"/>
  <c r="H40" i="3"/>
  <c r="G40" i="3"/>
  <c r="R38" i="3"/>
  <c r="Q38" i="3"/>
  <c r="P38" i="3"/>
  <c r="O38" i="3"/>
  <c r="N38" i="3"/>
  <c r="M38" i="3"/>
  <c r="L38" i="3"/>
  <c r="K38" i="3"/>
  <c r="J38" i="3"/>
  <c r="I38" i="3"/>
  <c r="H38" i="3"/>
  <c r="G38" i="3"/>
  <c r="V37" i="3"/>
  <c r="U37" i="3"/>
  <c r="T37" i="3"/>
  <c r="S37" i="3"/>
  <c r="V36" i="3"/>
  <c r="U36" i="3"/>
  <c r="T36" i="3"/>
  <c r="S36" i="3"/>
  <c r="V35" i="3"/>
  <c r="U35" i="3"/>
  <c r="T35" i="3"/>
  <c r="S35" i="3"/>
  <c r="V34" i="3"/>
  <c r="U34" i="3"/>
  <c r="T34" i="3"/>
  <c r="S34" i="3"/>
  <c r="V33" i="3"/>
  <c r="U33" i="3"/>
  <c r="V32" i="3"/>
  <c r="U32" i="3"/>
  <c r="V31" i="3"/>
  <c r="U31" i="3"/>
  <c r="T31" i="3"/>
  <c r="S31" i="3"/>
  <c r="V30" i="3"/>
  <c r="U30" i="3"/>
  <c r="T30" i="3"/>
  <c r="S30" i="3"/>
  <c r="AF29" i="3"/>
  <c r="AB29" i="3"/>
  <c r="Z29" i="3"/>
  <c r="W29" i="3"/>
  <c r="V29" i="3"/>
  <c r="U29" i="3"/>
  <c r="T29" i="3"/>
  <c r="S29" i="3"/>
  <c r="R27" i="3"/>
  <c r="Q27" i="3"/>
  <c r="P27" i="3"/>
  <c r="O27" i="3"/>
  <c r="N27" i="3"/>
  <c r="M27" i="3"/>
  <c r="L27" i="3"/>
  <c r="K27" i="3"/>
  <c r="J27" i="3"/>
  <c r="I27" i="3"/>
  <c r="H27" i="3"/>
  <c r="G27" i="3"/>
  <c r="R25" i="3"/>
  <c r="Q25" i="3"/>
  <c r="P25" i="3"/>
  <c r="O25" i="3"/>
  <c r="N25" i="3"/>
  <c r="M25" i="3"/>
  <c r="L25" i="3"/>
  <c r="K25" i="3"/>
  <c r="J25" i="3"/>
  <c r="I25" i="3"/>
  <c r="H25" i="3"/>
  <c r="G25" i="3"/>
  <c r="V24" i="3"/>
  <c r="U24" i="3"/>
  <c r="V23" i="3"/>
  <c r="U23" i="3"/>
  <c r="V22" i="3"/>
  <c r="U22" i="3"/>
  <c r="V21" i="3"/>
  <c r="U21" i="3"/>
  <c r="V20" i="3"/>
  <c r="U20" i="3"/>
  <c r="V19" i="3"/>
  <c r="U19" i="3"/>
  <c r="V18" i="3"/>
  <c r="U18" i="3"/>
  <c r="V17" i="3"/>
  <c r="U17" i="3"/>
  <c r="AF16" i="3"/>
  <c r="AD16" i="3"/>
  <c r="AB16" i="3"/>
  <c r="Z16" i="3"/>
  <c r="Y16" i="3"/>
  <c r="W16" i="3"/>
  <c r="V16" i="3"/>
  <c r="U16" i="3"/>
  <c r="R14" i="3"/>
  <c r="Q14" i="3"/>
  <c r="P14" i="3"/>
  <c r="O14" i="3"/>
  <c r="N14" i="3"/>
  <c r="M14" i="3"/>
  <c r="L14" i="3"/>
  <c r="K14" i="3"/>
  <c r="J14" i="3"/>
  <c r="I14" i="3"/>
  <c r="H14" i="3"/>
  <c r="G14" i="3"/>
  <c r="R12" i="3"/>
  <c r="Q12" i="3"/>
  <c r="P12" i="3"/>
  <c r="O12" i="3"/>
  <c r="N12" i="3"/>
  <c r="M12" i="3"/>
  <c r="L12" i="3"/>
  <c r="K12" i="3"/>
  <c r="J12" i="3"/>
  <c r="I12" i="3"/>
  <c r="H12" i="3"/>
  <c r="G12" i="3"/>
  <c r="V11" i="3"/>
  <c r="U11" i="3"/>
  <c r="V10" i="3"/>
  <c r="U10" i="3"/>
  <c r="V9" i="3"/>
  <c r="U9" i="3"/>
  <c r="V8" i="3"/>
  <c r="U8" i="3"/>
  <c r="V7" i="3"/>
  <c r="U7" i="3"/>
  <c r="V6" i="3"/>
  <c r="U6" i="3"/>
  <c r="V5" i="3"/>
  <c r="U5" i="3"/>
  <c r="V4" i="3"/>
  <c r="U4" i="3"/>
  <c r="AF3" i="3"/>
  <c r="AD3" i="3"/>
  <c r="AB3" i="3"/>
  <c r="Z3" i="3"/>
  <c r="Y3" i="3"/>
  <c r="W3" i="3"/>
  <c r="V3" i="3"/>
  <c r="U3" i="3"/>
  <c r="AJ246" i="2"/>
  <c r="AI246" i="2"/>
  <c r="AH246" i="2"/>
  <c r="AB246" i="2"/>
  <c r="AA246" i="2"/>
  <c r="Z246" i="2"/>
  <c r="AJ245" i="2"/>
  <c r="AI245" i="2"/>
  <c r="AH245" i="2"/>
  <c r="U245" i="2"/>
  <c r="T245" i="2"/>
  <c r="S245" i="2"/>
  <c r="AB244" i="2"/>
  <c r="AA244" i="2"/>
  <c r="Z244" i="2"/>
  <c r="U243" i="2"/>
  <c r="T243" i="2"/>
  <c r="S243" i="2"/>
  <c r="U242" i="2"/>
  <c r="T242" i="2"/>
  <c r="S242" i="2"/>
  <c r="AJ241" i="2"/>
  <c r="AI241" i="2"/>
  <c r="AH241" i="2"/>
  <c r="U241" i="2"/>
  <c r="T241" i="2"/>
  <c r="S241" i="2"/>
  <c r="AB240" i="2"/>
  <c r="AA240" i="2"/>
  <c r="Z240" i="2"/>
  <c r="U239" i="2"/>
  <c r="T239" i="2"/>
  <c r="S239" i="2"/>
  <c r="U238" i="2"/>
  <c r="T238" i="2"/>
  <c r="S238" i="2"/>
  <c r="AJ237" i="2"/>
  <c r="AI237" i="2"/>
  <c r="AH237" i="2"/>
  <c r="U237" i="2"/>
  <c r="T237" i="2"/>
  <c r="S237" i="2"/>
  <c r="AJ236" i="2"/>
  <c r="AI236" i="2"/>
  <c r="AH236" i="2"/>
  <c r="U236" i="2"/>
  <c r="T236" i="2"/>
  <c r="S236" i="2"/>
  <c r="AB235" i="2"/>
  <c r="AA235" i="2"/>
  <c r="Z235" i="2"/>
  <c r="U234" i="2"/>
  <c r="T234" i="2"/>
  <c r="S234" i="2"/>
  <c r="U233" i="2"/>
  <c r="T233" i="2"/>
  <c r="S233" i="2"/>
  <c r="AJ232" i="2"/>
  <c r="AI232" i="2"/>
  <c r="AH232" i="2"/>
  <c r="U232" i="2"/>
  <c r="T232" i="2"/>
  <c r="S232" i="2"/>
  <c r="AB231" i="2"/>
  <c r="AA231" i="2"/>
  <c r="Z231" i="2"/>
  <c r="U230" i="2"/>
  <c r="T230" i="2"/>
  <c r="S230" i="2"/>
  <c r="U229" i="2"/>
  <c r="T229" i="2"/>
  <c r="S229" i="2"/>
  <c r="AJ228" i="2"/>
  <c r="AI228" i="2"/>
  <c r="AH228" i="2"/>
  <c r="AB228" i="2"/>
  <c r="AA228" i="2"/>
  <c r="Z228" i="2"/>
  <c r="AB227" i="2"/>
  <c r="AA227" i="2"/>
  <c r="Z227" i="2"/>
  <c r="U226" i="2"/>
  <c r="T226" i="2"/>
  <c r="S226" i="2"/>
  <c r="U225" i="2"/>
  <c r="T225" i="2"/>
  <c r="S225" i="2"/>
  <c r="AJ224" i="2"/>
  <c r="AI224" i="2"/>
  <c r="AH224" i="2"/>
  <c r="U224" i="2"/>
  <c r="T224" i="2"/>
  <c r="S224" i="2"/>
  <c r="AJ223" i="2"/>
  <c r="AI223" i="2"/>
  <c r="AH223" i="2"/>
  <c r="U223" i="2"/>
  <c r="T223" i="2"/>
  <c r="S223" i="2"/>
  <c r="AB222" i="2"/>
  <c r="AA222" i="2"/>
  <c r="Z222" i="2"/>
  <c r="U221" i="2"/>
  <c r="T221" i="2"/>
  <c r="S221" i="2"/>
  <c r="U220" i="2"/>
  <c r="T220" i="2"/>
  <c r="S220" i="2"/>
  <c r="AJ219" i="2"/>
  <c r="AI219" i="2"/>
  <c r="AH219" i="2"/>
  <c r="U219" i="2"/>
  <c r="T219" i="2"/>
  <c r="S219" i="2"/>
  <c r="AJ218" i="2"/>
  <c r="AI218" i="2"/>
  <c r="AH218" i="2"/>
  <c r="U218" i="2"/>
  <c r="T218" i="2"/>
  <c r="S218" i="2"/>
  <c r="AB217" i="2"/>
  <c r="AA217" i="2"/>
  <c r="Z217" i="2"/>
  <c r="U216" i="2"/>
  <c r="T216" i="2"/>
  <c r="S216" i="2"/>
  <c r="U215" i="2"/>
  <c r="T215" i="2"/>
  <c r="S215" i="2"/>
  <c r="AJ214" i="2"/>
  <c r="AI214" i="2"/>
  <c r="AH214" i="2"/>
  <c r="U214" i="2"/>
  <c r="T214" i="2"/>
  <c r="S214" i="2"/>
  <c r="AB213" i="2"/>
  <c r="AA213" i="2"/>
  <c r="Z213" i="2"/>
  <c r="U212" i="2"/>
  <c r="T212" i="2"/>
  <c r="S212" i="2"/>
  <c r="U211" i="2"/>
  <c r="T211" i="2"/>
  <c r="S211" i="2"/>
  <c r="AJ210" i="2"/>
  <c r="AI210" i="2"/>
  <c r="AH210" i="2"/>
  <c r="U210" i="2"/>
  <c r="T210" i="2"/>
  <c r="S210" i="2"/>
  <c r="AB208" i="2"/>
  <c r="AA208" i="2"/>
  <c r="Z208" i="2"/>
  <c r="U207" i="2"/>
  <c r="T207" i="2"/>
  <c r="S207" i="2"/>
  <c r="U206" i="2"/>
  <c r="T206" i="2"/>
  <c r="S206" i="2"/>
  <c r="U205" i="2"/>
  <c r="T205" i="2"/>
  <c r="S205" i="2"/>
  <c r="AJ204" i="2"/>
  <c r="AI204" i="2"/>
  <c r="AH204" i="2"/>
  <c r="AB204" i="2"/>
  <c r="AA204" i="2"/>
  <c r="Z204" i="2"/>
  <c r="AJ203" i="2"/>
  <c r="AI203" i="2"/>
  <c r="AH203" i="2"/>
  <c r="U203" i="2"/>
  <c r="T203" i="2"/>
  <c r="S203" i="2"/>
  <c r="AB202" i="2"/>
  <c r="AA202" i="2"/>
  <c r="Z202" i="2"/>
  <c r="U201" i="2"/>
  <c r="T201" i="2"/>
  <c r="S201" i="2"/>
  <c r="U200" i="2"/>
  <c r="T200" i="2"/>
  <c r="S200" i="2"/>
  <c r="AJ199" i="2"/>
  <c r="AI199" i="2"/>
  <c r="AH199" i="2"/>
  <c r="AB199" i="2"/>
  <c r="AA199" i="2"/>
  <c r="Z199" i="2"/>
  <c r="AJ198" i="2"/>
  <c r="AI198" i="2"/>
  <c r="AH198" i="2"/>
  <c r="U198" i="2"/>
  <c r="T198" i="2"/>
  <c r="S198" i="2"/>
  <c r="AB197" i="2"/>
  <c r="AA197" i="2"/>
  <c r="Z197" i="2"/>
  <c r="U196" i="2"/>
  <c r="T196" i="2"/>
  <c r="S196" i="2"/>
  <c r="U195" i="2"/>
  <c r="T195" i="2"/>
  <c r="S195" i="2"/>
  <c r="U194" i="2"/>
  <c r="T194" i="2"/>
  <c r="S194" i="2"/>
  <c r="AJ193" i="2"/>
  <c r="AI193" i="2"/>
  <c r="AH193" i="2"/>
  <c r="AB193" i="2"/>
  <c r="AA193" i="2"/>
  <c r="Z193" i="2"/>
  <c r="AB192" i="2"/>
  <c r="AA192" i="2"/>
  <c r="Z192" i="2"/>
  <c r="U191" i="2"/>
  <c r="T191" i="2"/>
  <c r="S191" i="2"/>
  <c r="AJ190" i="2"/>
  <c r="AI190" i="2"/>
  <c r="AH190" i="2"/>
  <c r="U190" i="2"/>
  <c r="T190" i="2"/>
  <c r="S190" i="2"/>
  <c r="AB188" i="2"/>
  <c r="AA188" i="2"/>
  <c r="Z188" i="2"/>
  <c r="U187" i="2"/>
  <c r="T187" i="2"/>
  <c r="S187" i="2"/>
  <c r="U186" i="2"/>
  <c r="T186" i="2"/>
  <c r="S186" i="2"/>
  <c r="AJ185" i="2"/>
  <c r="AI185" i="2"/>
  <c r="AH185" i="2"/>
  <c r="AB185" i="2"/>
  <c r="AA185" i="2"/>
  <c r="Z185" i="2"/>
  <c r="AJ184" i="2"/>
  <c r="AI184" i="2"/>
  <c r="AH184" i="2"/>
  <c r="U184" i="2"/>
  <c r="T184" i="2"/>
  <c r="S184" i="2"/>
  <c r="AB183" i="2"/>
  <c r="AA183" i="2"/>
  <c r="Z183" i="2"/>
  <c r="U182" i="2"/>
  <c r="T182" i="2"/>
  <c r="S182" i="2"/>
  <c r="U181" i="2"/>
  <c r="T181" i="2"/>
  <c r="S181" i="2"/>
  <c r="U180" i="2"/>
  <c r="T180" i="2"/>
  <c r="S180" i="2"/>
  <c r="AJ179" i="2"/>
  <c r="AI179" i="2"/>
  <c r="AH179" i="2"/>
  <c r="AB179" i="2"/>
  <c r="AA179" i="2"/>
  <c r="Z179" i="2"/>
  <c r="AJ178" i="2"/>
  <c r="AI178" i="2"/>
  <c r="AH178" i="2"/>
  <c r="U178" i="2"/>
  <c r="T178" i="2"/>
  <c r="S178" i="2"/>
  <c r="AJ177" i="2"/>
  <c r="AI177" i="2"/>
  <c r="AH177" i="2"/>
  <c r="U177" i="2"/>
  <c r="T177" i="2"/>
  <c r="S177" i="2"/>
  <c r="AB176" i="2"/>
  <c r="AA176" i="2"/>
  <c r="Z176" i="2"/>
  <c r="U175" i="2"/>
  <c r="T175" i="2"/>
  <c r="S175" i="2"/>
  <c r="U174" i="2"/>
  <c r="T174" i="2"/>
  <c r="S174" i="2"/>
  <c r="U173" i="2"/>
  <c r="T173" i="2"/>
  <c r="S173" i="2"/>
  <c r="AJ172" i="2"/>
  <c r="AI172" i="2"/>
  <c r="U172" i="2"/>
  <c r="T172" i="2"/>
  <c r="S172" i="2"/>
  <c r="AJ166" i="2"/>
  <c r="AI166" i="2"/>
  <c r="AH166" i="2"/>
  <c r="AJ165" i="2"/>
  <c r="AI165" i="2"/>
  <c r="AH165" i="2"/>
  <c r="U165" i="2"/>
  <c r="T165" i="2"/>
  <c r="S165" i="2"/>
  <c r="AB164" i="2"/>
  <c r="AA164" i="2"/>
  <c r="Z164" i="2"/>
  <c r="U163" i="2"/>
  <c r="T163" i="2"/>
  <c r="S163" i="2"/>
  <c r="U162" i="2"/>
  <c r="T162" i="2"/>
  <c r="S162" i="2"/>
  <c r="U161" i="2"/>
  <c r="T161" i="2"/>
  <c r="S161" i="2"/>
  <c r="U160" i="2"/>
  <c r="T160" i="2"/>
  <c r="S160" i="2"/>
  <c r="U159" i="2"/>
  <c r="T159" i="2"/>
  <c r="S159" i="2"/>
  <c r="AJ158" i="2"/>
  <c r="AI158" i="2"/>
  <c r="U158" i="2"/>
  <c r="T158" i="2"/>
  <c r="S158" i="2"/>
  <c r="AB157" i="2"/>
  <c r="AA157" i="2"/>
  <c r="Z157" i="2"/>
  <c r="U156" i="2"/>
  <c r="T156" i="2"/>
  <c r="S156" i="2"/>
  <c r="U155" i="2"/>
  <c r="T155" i="2"/>
  <c r="S155" i="2"/>
  <c r="AJ154" i="2"/>
  <c r="AI154" i="2"/>
  <c r="AB154" i="2"/>
  <c r="AA154" i="2"/>
  <c r="Z154" i="2"/>
  <c r="AJ153" i="2"/>
  <c r="AI153" i="2"/>
  <c r="U153" i="2"/>
  <c r="T153" i="2"/>
  <c r="S153" i="2"/>
  <c r="AB152" i="2"/>
  <c r="AA152" i="2"/>
  <c r="Z152" i="2"/>
  <c r="AB151" i="2"/>
  <c r="AA151" i="2"/>
  <c r="Z151" i="2"/>
  <c r="U150" i="2"/>
  <c r="T150" i="2"/>
  <c r="S150" i="2"/>
  <c r="U149" i="2"/>
  <c r="T149" i="2"/>
  <c r="S149" i="2"/>
  <c r="U148" i="2"/>
  <c r="T148" i="2"/>
  <c r="S148" i="2"/>
  <c r="AJ147" i="2"/>
  <c r="AI147" i="2"/>
  <c r="AB147" i="2"/>
  <c r="AA147" i="2"/>
  <c r="Z147" i="2"/>
  <c r="AJ146" i="2"/>
  <c r="AI146" i="2"/>
  <c r="U146" i="2"/>
  <c r="T146" i="2"/>
  <c r="S146" i="2"/>
  <c r="AB145" i="2"/>
  <c r="AA145" i="2"/>
  <c r="Z145" i="2"/>
  <c r="U144" i="2"/>
  <c r="T144" i="2"/>
  <c r="S144" i="2"/>
  <c r="U143" i="2"/>
  <c r="T143" i="2"/>
  <c r="S143" i="2"/>
  <c r="AJ142" i="2"/>
  <c r="AI142" i="2"/>
  <c r="AB142" i="2"/>
  <c r="AA142" i="2"/>
  <c r="Z142" i="2"/>
  <c r="AJ141" i="2"/>
  <c r="AI141" i="2"/>
  <c r="U141" i="2"/>
  <c r="T141" i="2"/>
  <c r="S141" i="2"/>
  <c r="AJ140" i="2"/>
  <c r="AI140" i="2"/>
  <c r="U140" i="2"/>
  <c r="T140" i="2"/>
  <c r="S140" i="2"/>
  <c r="AB139" i="2"/>
  <c r="AA139" i="2"/>
  <c r="Z139" i="2"/>
  <c r="U138" i="2"/>
  <c r="T138" i="2"/>
  <c r="S138" i="2"/>
  <c r="U137" i="2"/>
  <c r="T137" i="2"/>
  <c r="S137" i="2"/>
  <c r="U136" i="2"/>
  <c r="T136" i="2"/>
  <c r="S136" i="2"/>
  <c r="AJ135" i="2"/>
  <c r="AI135" i="2"/>
  <c r="AB135" i="2"/>
  <c r="AA135" i="2"/>
  <c r="Z135" i="2"/>
  <c r="AJ134" i="2"/>
  <c r="AI134" i="2"/>
  <c r="U134" i="2"/>
  <c r="T134" i="2"/>
  <c r="S134" i="2"/>
  <c r="AJ133" i="2"/>
  <c r="AI133" i="2"/>
  <c r="U133" i="2"/>
  <c r="T133" i="2"/>
  <c r="S133" i="2"/>
  <c r="AB132" i="2"/>
  <c r="AA132" i="2"/>
  <c r="Z132" i="2"/>
  <c r="U131" i="2"/>
  <c r="T131" i="2"/>
  <c r="S131" i="2"/>
  <c r="U130" i="2"/>
  <c r="T130" i="2"/>
  <c r="S130" i="2"/>
  <c r="AJ129" i="2"/>
  <c r="AI129" i="2"/>
  <c r="AB129" i="2"/>
  <c r="AA129" i="2"/>
  <c r="Z129" i="2"/>
  <c r="U129" i="2"/>
  <c r="T129" i="2"/>
  <c r="S129" i="2"/>
  <c r="AB128" i="2"/>
  <c r="AA128" i="2"/>
  <c r="Z128" i="2"/>
  <c r="U127" i="2"/>
  <c r="T127" i="2"/>
  <c r="S127" i="2"/>
  <c r="U126" i="2"/>
  <c r="T126" i="2"/>
  <c r="S126" i="2"/>
  <c r="AJ125" i="2"/>
  <c r="AI125" i="2"/>
  <c r="AB125" i="2"/>
  <c r="AA125" i="2"/>
  <c r="Z125" i="2"/>
  <c r="AJ124" i="2"/>
  <c r="AI124" i="2"/>
  <c r="U124" i="2"/>
  <c r="T124" i="2"/>
  <c r="S124" i="2"/>
  <c r="AB123" i="2"/>
  <c r="AA123" i="2"/>
  <c r="Z123" i="2"/>
  <c r="U122" i="2"/>
  <c r="T122" i="2"/>
  <c r="S122" i="2"/>
  <c r="U121" i="2"/>
  <c r="T121" i="2"/>
  <c r="S121" i="2"/>
  <c r="U120" i="2"/>
  <c r="T120" i="2"/>
  <c r="S120" i="2"/>
  <c r="AI119" i="2"/>
  <c r="AB119" i="2"/>
  <c r="AA119" i="2"/>
  <c r="Z119" i="2"/>
  <c r="AI118" i="2"/>
  <c r="AI117" i="2"/>
  <c r="U117" i="2"/>
  <c r="T117" i="2"/>
  <c r="S117" i="2"/>
  <c r="AB115" i="2"/>
  <c r="AA115" i="2"/>
  <c r="Z115" i="2"/>
  <c r="U114" i="2"/>
  <c r="T114" i="2"/>
  <c r="S114" i="2"/>
  <c r="U113" i="2"/>
  <c r="T113" i="2"/>
  <c r="S113" i="2"/>
  <c r="U112" i="2"/>
  <c r="T112" i="2"/>
  <c r="S112" i="2"/>
  <c r="AB111" i="2"/>
  <c r="AA111" i="2"/>
  <c r="Z111" i="2"/>
  <c r="AB110" i="2"/>
  <c r="AA110" i="2"/>
  <c r="Z110" i="2"/>
  <c r="AJ107" i="2"/>
  <c r="AI107" i="2"/>
  <c r="U107" i="2"/>
  <c r="T107" i="2"/>
  <c r="S107" i="2"/>
  <c r="AB106" i="2"/>
  <c r="AA106" i="2"/>
  <c r="Z106" i="2"/>
  <c r="AB105" i="2"/>
  <c r="AA105" i="2"/>
  <c r="Z105" i="2"/>
  <c r="U104" i="2"/>
  <c r="T104" i="2"/>
  <c r="S104" i="2"/>
  <c r="U103" i="2"/>
  <c r="T103" i="2"/>
  <c r="S103" i="2"/>
  <c r="AJ102" i="2"/>
  <c r="AI102" i="2"/>
  <c r="AB102" i="2"/>
  <c r="AA102" i="2"/>
  <c r="Z102" i="2"/>
  <c r="AJ101" i="2"/>
  <c r="AI101" i="2"/>
  <c r="U101" i="2"/>
  <c r="T101" i="2"/>
  <c r="S101" i="2"/>
  <c r="AB99" i="2"/>
  <c r="AA99" i="2"/>
  <c r="Z99" i="2"/>
  <c r="U98" i="2"/>
  <c r="T98" i="2"/>
  <c r="S98" i="2"/>
  <c r="U97" i="2"/>
  <c r="T97" i="2"/>
  <c r="S97" i="2"/>
  <c r="AJ96" i="2"/>
  <c r="AI96" i="2"/>
  <c r="AJ95" i="2"/>
  <c r="AI95" i="2"/>
  <c r="AJ88" i="2"/>
  <c r="AI88" i="2"/>
  <c r="AB88" i="2"/>
  <c r="AA88" i="2"/>
  <c r="Z88" i="2"/>
  <c r="AJ87" i="2"/>
  <c r="AI87" i="2"/>
  <c r="U87" i="2"/>
  <c r="T87" i="2"/>
  <c r="S87" i="2"/>
  <c r="AB86" i="2"/>
  <c r="AA86" i="2"/>
  <c r="Z86" i="2"/>
  <c r="U85" i="2"/>
  <c r="T85" i="2"/>
  <c r="S85" i="2"/>
  <c r="U84" i="2"/>
  <c r="T84" i="2"/>
  <c r="S84" i="2"/>
  <c r="AJ83" i="2"/>
  <c r="AI83" i="2"/>
  <c r="AB83" i="2"/>
  <c r="AA83" i="2"/>
  <c r="Z83" i="2"/>
  <c r="AJ82" i="2"/>
  <c r="AI82" i="2"/>
  <c r="U82" i="2"/>
  <c r="T82" i="2"/>
  <c r="S82" i="2"/>
  <c r="AB80" i="2"/>
  <c r="AA80" i="2"/>
  <c r="Z80" i="2"/>
  <c r="U79" i="2"/>
  <c r="T79" i="2"/>
  <c r="S79" i="2"/>
  <c r="U78" i="2"/>
  <c r="T78" i="2"/>
  <c r="S78" i="2"/>
  <c r="AJ77" i="2"/>
  <c r="AI77" i="2"/>
  <c r="AB77" i="2"/>
  <c r="AA77" i="2"/>
  <c r="Z77" i="2"/>
  <c r="AJ76" i="2"/>
  <c r="AI76" i="2"/>
  <c r="U76" i="2"/>
  <c r="T76" i="2"/>
  <c r="S76" i="2"/>
  <c r="AB74" i="2"/>
  <c r="AA74" i="2"/>
  <c r="Z74" i="2"/>
  <c r="U73" i="2"/>
  <c r="T73" i="2"/>
  <c r="S73" i="2"/>
  <c r="U72" i="2"/>
  <c r="T72" i="2"/>
  <c r="S72" i="2"/>
  <c r="U71" i="2"/>
  <c r="T71" i="2"/>
  <c r="S71" i="2"/>
  <c r="AJ70" i="2"/>
  <c r="AI70" i="2"/>
  <c r="AB70" i="2"/>
  <c r="AA70" i="2"/>
  <c r="Z70" i="2"/>
  <c r="AJ69" i="2"/>
  <c r="AI69" i="2"/>
  <c r="U69" i="2"/>
  <c r="T69" i="2"/>
  <c r="S69" i="2"/>
  <c r="AB67" i="2"/>
  <c r="AA67" i="2"/>
  <c r="Z67" i="2"/>
  <c r="U66" i="2"/>
  <c r="T66" i="2"/>
  <c r="S66" i="2"/>
  <c r="U65" i="2"/>
  <c r="T65" i="2"/>
  <c r="S65" i="2"/>
  <c r="U64" i="2"/>
  <c r="T64" i="2"/>
  <c r="S64" i="2"/>
  <c r="AJ63" i="2"/>
  <c r="AI63" i="2"/>
  <c r="AB63" i="2"/>
  <c r="AA63" i="2"/>
  <c r="Z63" i="2"/>
  <c r="AJ62" i="2"/>
  <c r="AI62" i="2"/>
  <c r="AJ61" i="2"/>
  <c r="AI61" i="2"/>
  <c r="U61" i="2"/>
  <c r="T61" i="2"/>
  <c r="S61" i="2"/>
  <c r="AB59" i="2"/>
  <c r="AA59" i="2"/>
  <c r="Z59" i="2"/>
  <c r="U58" i="2"/>
  <c r="T58" i="2"/>
  <c r="S58" i="2"/>
  <c r="U57" i="2"/>
  <c r="T57" i="2"/>
  <c r="S57" i="2"/>
  <c r="AJ56" i="2"/>
  <c r="AI56" i="2"/>
  <c r="AB56" i="2"/>
  <c r="AA56" i="2"/>
  <c r="Z56" i="2"/>
  <c r="AJ55" i="2"/>
  <c r="AI55" i="2"/>
  <c r="U55" i="2"/>
  <c r="T55" i="2"/>
  <c r="S55" i="2"/>
  <c r="AJ50" i="2"/>
  <c r="AI50" i="2"/>
  <c r="AJ49" i="2"/>
  <c r="AI49" i="2"/>
  <c r="AB49" i="2"/>
  <c r="AA49" i="2"/>
  <c r="Z49" i="2"/>
  <c r="AJ48" i="2"/>
  <c r="AI48" i="2"/>
  <c r="U48" i="2"/>
  <c r="T48" i="2"/>
  <c r="S48" i="2"/>
  <c r="AB46" i="2"/>
  <c r="AA46" i="2"/>
  <c r="Z46" i="2"/>
  <c r="U45" i="2"/>
  <c r="T45" i="2"/>
  <c r="S45" i="2"/>
  <c r="U44" i="2"/>
  <c r="T44" i="2"/>
  <c r="S44" i="2"/>
  <c r="U43" i="2"/>
  <c r="T43" i="2"/>
  <c r="S43" i="2"/>
  <c r="AJ42" i="2"/>
  <c r="AI42" i="2"/>
  <c r="AB42" i="2"/>
  <c r="AA42" i="2"/>
  <c r="Z42" i="2"/>
  <c r="AJ41" i="2"/>
  <c r="AI41" i="2"/>
  <c r="U41" i="2"/>
  <c r="T41" i="2"/>
  <c r="S41" i="2"/>
  <c r="AB39" i="2"/>
  <c r="AA39" i="2"/>
  <c r="Z39" i="2"/>
  <c r="U38" i="2"/>
  <c r="T38" i="2"/>
  <c r="S38" i="2"/>
  <c r="U37" i="2"/>
  <c r="T37" i="2"/>
  <c r="S37" i="2"/>
  <c r="U36" i="2"/>
  <c r="T36" i="2"/>
  <c r="S36" i="2"/>
  <c r="U35" i="2"/>
  <c r="T35" i="2"/>
  <c r="S35" i="2"/>
  <c r="U34" i="2"/>
  <c r="T34" i="2"/>
  <c r="S34" i="2"/>
  <c r="AB33" i="2"/>
  <c r="AA33" i="2"/>
  <c r="Z33" i="2"/>
  <c r="AB32" i="2"/>
  <c r="AA32" i="2"/>
  <c r="Z32" i="2"/>
  <c r="U31" i="2"/>
  <c r="T31" i="2"/>
  <c r="S31" i="2"/>
  <c r="U30" i="2"/>
  <c r="T30" i="2"/>
  <c r="S30" i="2"/>
  <c r="U29" i="2"/>
  <c r="T29" i="2"/>
  <c r="S29" i="2"/>
  <c r="U28" i="2"/>
  <c r="T28" i="2"/>
  <c r="S28" i="2"/>
  <c r="AJ27" i="2"/>
  <c r="AI27" i="2"/>
  <c r="AB27" i="2"/>
  <c r="AA27" i="2"/>
  <c r="Z27" i="2"/>
  <c r="O27" i="2"/>
  <c r="N27" i="2"/>
  <c r="M27" i="2"/>
  <c r="L27" i="2"/>
  <c r="K27" i="2"/>
  <c r="J27" i="2"/>
  <c r="I27" i="2"/>
  <c r="H27" i="2"/>
  <c r="G27" i="2"/>
  <c r="F27" i="2"/>
  <c r="E27" i="2"/>
  <c r="AJ26" i="2"/>
  <c r="AI26" i="2"/>
  <c r="U26" i="2"/>
  <c r="T26" i="2"/>
  <c r="S26" i="2"/>
  <c r="O26" i="2"/>
  <c r="N26" i="2"/>
  <c r="M26" i="2"/>
  <c r="L26" i="2"/>
  <c r="K26" i="2"/>
  <c r="J26" i="2"/>
  <c r="I26" i="2"/>
  <c r="H26" i="2"/>
  <c r="G26" i="2"/>
  <c r="F26" i="2"/>
  <c r="E26" i="2"/>
  <c r="AB25" i="2"/>
  <c r="AA25" i="2"/>
  <c r="Z25" i="2"/>
  <c r="U24" i="2"/>
  <c r="T24" i="2"/>
  <c r="S24" i="2"/>
  <c r="U23" i="2"/>
  <c r="T23" i="2"/>
  <c r="S23" i="2"/>
  <c r="U22" i="2"/>
  <c r="T22" i="2"/>
  <c r="S22" i="2"/>
  <c r="AJ21" i="2"/>
  <c r="AI21" i="2"/>
  <c r="AB21" i="2"/>
  <c r="AA21" i="2"/>
  <c r="Z21" i="2"/>
  <c r="AJ20" i="2"/>
  <c r="AI20" i="2"/>
  <c r="U20" i="2"/>
  <c r="T20" i="2"/>
  <c r="S20" i="2"/>
  <c r="AB19" i="2"/>
  <c r="AA19" i="2"/>
  <c r="Z19" i="2"/>
  <c r="U18" i="2"/>
  <c r="T18" i="2"/>
  <c r="S18" i="2"/>
  <c r="U17" i="2"/>
  <c r="T17" i="2"/>
  <c r="S17" i="2"/>
  <c r="U16" i="2"/>
  <c r="T16" i="2"/>
  <c r="S16" i="2"/>
  <c r="U15" i="2"/>
  <c r="T15" i="2"/>
  <c r="S15" i="2"/>
  <c r="AI14" i="2"/>
  <c r="AB14" i="2"/>
  <c r="AA14" i="2"/>
  <c r="Z14" i="2"/>
  <c r="AB11" i="2"/>
  <c r="AA11" i="2"/>
  <c r="Z11" i="2"/>
  <c r="AI7" i="2"/>
  <c r="AB7" i="2"/>
  <c r="AA7" i="2"/>
  <c r="Z7" i="2"/>
  <c r="U6" i="2"/>
  <c r="T6" i="2"/>
  <c r="S6" i="2"/>
  <c r="AB5" i="2"/>
  <c r="AA5" i="2"/>
  <c r="Z5" i="2"/>
  <c r="AJ4" i="2"/>
  <c r="U4" i="2"/>
  <c r="T4" i="2"/>
  <c r="S4" i="2"/>
  <c r="AJ3" i="2"/>
  <c r="U3" i="2"/>
  <c r="T3" i="2"/>
  <c r="S3" i="2"/>
  <c r="Q409" i="8"/>
  <c r="Q404" i="8"/>
  <c r="Q399" i="8"/>
  <c r="Q394" i="8"/>
  <c r="Q389" i="8"/>
  <c r="Q384" i="8"/>
  <c r="Q379" i="8"/>
  <c r="Q374" i="8"/>
  <c r="Q369" i="8"/>
  <c r="Q364" i="8"/>
  <c r="Q359" i="8"/>
  <c r="Q354" i="8"/>
  <c r="N353" i="8"/>
  <c r="N352" i="8"/>
  <c r="N351" i="8"/>
  <c r="N350" i="8"/>
  <c r="Q349" i="8"/>
  <c r="N349" i="8"/>
  <c r="Q344" i="8"/>
  <c r="N343" i="8"/>
  <c r="N342" i="8"/>
  <c r="N341" i="8"/>
  <c r="N340" i="8"/>
  <c r="Q339" i="8"/>
  <c r="N339" i="8"/>
  <c r="Q334" i="8"/>
  <c r="Q329" i="8"/>
  <c r="Q324" i="8"/>
  <c r="N323" i="8"/>
  <c r="N322" i="8"/>
  <c r="N321" i="8"/>
  <c r="N320" i="8"/>
  <c r="Q319" i="8"/>
  <c r="N319" i="8"/>
  <c r="N318" i="8"/>
  <c r="N317" i="8"/>
  <c r="N316" i="8"/>
  <c r="N315" i="8"/>
  <c r="Q314" i="8"/>
  <c r="N314" i="8"/>
  <c r="N313" i="8"/>
  <c r="N312" i="8"/>
  <c r="N311" i="8"/>
  <c r="N310" i="8"/>
  <c r="Q309" i="8"/>
  <c r="N309" i="8"/>
  <c r="N308" i="8"/>
  <c r="N307" i="8"/>
  <c r="N306" i="8"/>
  <c r="N305" i="8"/>
  <c r="Q304" i="8"/>
  <c r="N304" i="8"/>
  <c r="Q299" i="8"/>
  <c r="Q294" i="8"/>
  <c r="Q288" i="8"/>
  <c r="Q259" i="8"/>
  <c r="Q255" i="8"/>
  <c r="Q251" i="8"/>
  <c r="Q247" i="8"/>
  <c r="Q242" i="8"/>
  <c r="Q237" i="8"/>
  <c r="Q232" i="8"/>
  <c r="Q227" i="8"/>
  <c r="Q222" i="8"/>
  <c r="Q217" i="8"/>
  <c r="Q212" i="8"/>
  <c r="Q207" i="8"/>
  <c r="Q202" i="8"/>
  <c r="Q197" i="8"/>
  <c r="Q192" i="8"/>
  <c r="Q187" i="8"/>
  <c r="Q182" i="8"/>
  <c r="Q177" i="8"/>
  <c r="Q172" i="8"/>
  <c r="Q167" i="8"/>
  <c r="Q162" i="8"/>
  <c r="Q157" i="8"/>
  <c r="E156" i="8"/>
  <c r="E155" i="8"/>
  <c r="E154" i="8"/>
  <c r="E153" i="8"/>
  <c r="Q152" i="8"/>
  <c r="E152" i="8"/>
  <c r="E151" i="8"/>
  <c r="E150" i="8"/>
  <c r="E149" i="8"/>
  <c r="E148" i="8"/>
  <c r="Q147" i="8"/>
  <c r="E147" i="8"/>
  <c r="E146" i="8"/>
  <c r="E145" i="8"/>
  <c r="E144" i="8"/>
  <c r="E143" i="8"/>
  <c r="Q142" i="8"/>
  <c r="E142" i="8"/>
  <c r="E141" i="8"/>
  <c r="E140" i="8"/>
  <c r="E139" i="8"/>
  <c r="E138" i="8"/>
  <c r="Q137" i="8"/>
  <c r="E137" i="8"/>
  <c r="E136" i="8"/>
  <c r="E135" i="8"/>
  <c r="E134" i="8"/>
  <c r="E133" i="8"/>
  <c r="Q132" i="8"/>
  <c r="E132" i="8"/>
  <c r="E131" i="8"/>
  <c r="E130" i="8"/>
  <c r="E129" i="8"/>
  <c r="E128" i="8"/>
  <c r="Q127" i="8"/>
  <c r="E127" i="8"/>
  <c r="E126" i="8"/>
  <c r="E125" i="8"/>
  <c r="E124" i="8"/>
  <c r="E123" i="8"/>
  <c r="Q122" i="8"/>
  <c r="E122" i="8"/>
  <c r="E121" i="8"/>
  <c r="E120" i="8"/>
  <c r="E119" i="8"/>
  <c r="E118" i="8"/>
  <c r="Q117" i="8"/>
  <c r="E117" i="8"/>
  <c r="E116" i="8"/>
  <c r="E115" i="8"/>
  <c r="E114" i="8"/>
  <c r="E113" i="8"/>
  <c r="Q112" i="8"/>
  <c r="E112" i="8"/>
  <c r="E111" i="8"/>
  <c r="E110" i="8"/>
  <c r="E109" i="8"/>
  <c r="E108" i="8"/>
  <c r="Q107" i="8"/>
  <c r="E107" i="8"/>
  <c r="E106" i="8"/>
  <c r="E105" i="8"/>
  <c r="E104" i="8"/>
  <c r="E103" i="8"/>
  <c r="Q102" i="8"/>
  <c r="E102" i="8"/>
  <c r="E101" i="8"/>
  <c r="E100" i="8"/>
  <c r="E99" i="8"/>
  <c r="E98" i="8"/>
  <c r="Q97" i="8"/>
  <c r="E97" i="8"/>
  <c r="E96" i="8"/>
  <c r="E95" i="8"/>
  <c r="E94" i="8"/>
  <c r="E93" i="8"/>
  <c r="Q92" i="8"/>
  <c r="E92" i="8"/>
  <c r="E91" i="8"/>
  <c r="E90" i="8"/>
  <c r="E89" i="8"/>
  <c r="E88" i="8"/>
  <c r="Q87" i="8"/>
  <c r="E87" i="8"/>
  <c r="E86" i="8"/>
  <c r="E85" i="8"/>
  <c r="E84" i="8"/>
  <c r="E83" i="8"/>
  <c r="Q82" i="8"/>
  <c r="E82" i="8"/>
  <c r="E81" i="8"/>
  <c r="E80" i="8"/>
  <c r="E79" i="8"/>
  <c r="E78" i="8"/>
  <c r="Q77" i="8"/>
  <c r="E77" i="8"/>
  <c r="E76" i="8"/>
  <c r="E75" i="8"/>
  <c r="E74" i="8"/>
  <c r="E73" i="8"/>
  <c r="Q72" i="8"/>
  <c r="E72" i="8"/>
  <c r="E71" i="8"/>
  <c r="E70" i="8"/>
  <c r="E69" i="8"/>
  <c r="E68" i="8"/>
  <c r="Q67" i="8"/>
  <c r="E67" i="8"/>
  <c r="E66" i="8"/>
  <c r="E65" i="8"/>
  <c r="E64" i="8"/>
  <c r="E63" i="8"/>
  <c r="Q62" i="8"/>
  <c r="E62" i="8"/>
  <c r="E61" i="8"/>
  <c r="E60" i="8"/>
  <c r="E59" i="8"/>
  <c r="E58" i="8"/>
  <c r="Q57" i="8"/>
  <c r="E57" i="8"/>
  <c r="E56" i="8"/>
  <c r="E55" i="8"/>
  <c r="E54" i="8"/>
  <c r="E53" i="8"/>
  <c r="Q52" i="8"/>
  <c r="E52" i="8"/>
  <c r="N51" i="8"/>
  <c r="E51" i="8"/>
  <c r="N50" i="8"/>
  <c r="E50" i="8"/>
  <c r="N49" i="8"/>
  <c r="E49" i="8"/>
  <c r="N48" i="8"/>
  <c r="E48" i="8"/>
  <c r="Q47" i="8"/>
  <c r="N47" i="8"/>
  <c r="E47" i="8"/>
  <c r="N46" i="8"/>
  <c r="E46" i="8"/>
  <c r="N45" i="8"/>
  <c r="E45" i="8"/>
  <c r="N44" i="8"/>
  <c r="E44" i="8"/>
  <c r="N43" i="8"/>
  <c r="E43" i="8"/>
  <c r="Q42" i="8"/>
  <c r="N42" i="8"/>
  <c r="E42" i="8"/>
  <c r="N41" i="8"/>
  <c r="E41" i="8"/>
  <c r="N40" i="8"/>
  <c r="E40" i="8"/>
  <c r="N39" i="8"/>
  <c r="E39" i="8"/>
  <c r="N38" i="8"/>
  <c r="E38" i="8"/>
  <c r="Q37" i="8"/>
  <c r="N37" i="8"/>
  <c r="E37" i="8"/>
  <c r="N36" i="8"/>
  <c r="E36" i="8"/>
  <c r="N35" i="8"/>
  <c r="E35" i="8"/>
  <c r="N34" i="8"/>
  <c r="E34" i="8"/>
  <c r="N33" i="8"/>
  <c r="E33" i="8"/>
  <c r="Q32" i="8"/>
  <c r="N32" i="8"/>
  <c r="E32" i="8"/>
  <c r="N31" i="8"/>
  <c r="E31" i="8"/>
  <c r="N30" i="8"/>
  <c r="E30" i="8"/>
  <c r="N29" i="8"/>
  <c r="E29" i="8"/>
  <c r="N28" i="8"/>
  <c r="E28" i="8"/>
  <c r="Q27" i="8"/>
  <c r="N27" i="8"/>
  <c r="E27" i="8"/>
  <c r="N26" i="8"/>
  <c r="E26" i="8"/>
  <c r="N25" i="8"/>
  <c r="E25" i="8"/>
  <c r="N24" i="8"/>
  <c r="E24" i="8"/>
  <c r="N23" i="8"/>
  <c r="E23" i="8"/>
  <c r="Q22" i="8"/>
  <c r="N22" i="8"/>
  <c r="E22" i="8"/>
  <c r="E21" i="8"/>
  <c r="E20" i="8"/>
  <c r="E19" i="8"/>
  <c r="E18" i="8"/>
  <c r="Q17" i="8"/>
  <c r="E17" i="8"/>
  <c r="E16" i="8"/>
  <c r="E15" i="8"/>
  <c r="E14" i="8"/>
  <c r="E13" i="8"/>
  <c r="Q12" i="8"/>
  <c r="E12" i="8"/>
  <c r="N11" i="8"/>
  <c r="E11" i="8"/>
  <c r="N10" i="8"/>
  <c r="E10" i="8"/>
  <c r="N9" i="8"/>
  <c r="E9" i="8"/>
  <c r="N8" i="8"/>
  <c r="E8" i="8"/>
  <c r="Q7" i="8"/>
  <c r="N7" i="8"/>
  <c r="E7" i="8"/>
  <c r="N6" i="8"/>
  <c r="E6" i="8"/>
  <c r="N5" i="8"/>
  <c r="E5" i="8"/>
  <c r="N4" i="8"/>
  <c r="E4" i="8"/>
  <c r="Q3" i="8"/>
  <c r="N3" i="8"/>
  <c r="E3" i="8"/>
  <c r="U644" i="4" l="1"/>
  <c r="V644" i="4"/>
  <c r="W644" i="4" s="1"/>
  <c r="U643" i="4"/>
  <c r="V643" i="4"/>
  <c r="W643" i="4" s="1"/>
  <c r="U642" i="4"/>
  <c r="V642" i="4"/>
  <c r="W642" i="4" s="1"/>
  <c r="U641" i="4"/>
  <c r="V641" i="4"/>
  <c r="W641" i="4" s="1"/>
  <c r="X640" i="4"/>
  <c r="T640" i="4"/>
  <c r="U639" i="4"/>
  <c r="V639" i="4"/>
  <c r="W639" i="4" s="1"/>
  <c r="U638" i="4"/>
  <c r="V638" i="4"/>
  <c r="W638" i="4" s="1"/>
  <c r="U637" i="4"/>
  <c r="V637" i="4"/>
  <c r="W637" i="4" s="1"/>
  <c r="U636" i="4"/>
  <c r="V636" i="4"/>
  <c r="W636" i="4" s="1"/>
  <c r="X635" i="4"/>
  <c r="T635" i="4"/>
  <c r="U634" i="4"/>
  <c r="V634" i="4"/>
  <c r="W634" i="4" s="1"/>
  <c r="U633" i="4"/>
  <c r="V633" i="4"/>
  <c r="W633" i="4" s="1"/>
  <c r="U632" i="4"/>
  <c r="V632" i="4"/>
  <c r="W632" i="4" s="1"/>
  <c r="U631" i="4"/>
  <c r="V631" i="4"/>
  <c r="W631" i="4" s="1"/>
  <c r="T630" i="4"/>
  <c r="X630" i="4"/>
  <c r="U629" i="4"/>
  <c r="V629" i="4"/>
  <c r="W629" i="4" s="1"/>
  <c r="U628" i="4"/>
  <c r="V628" i="4"/>
  <c r="W628" i="4" s="1"/>
  <c r="U627" i="4"/>
  <c r="V627" i="4"/>
  <c r="W627" i="4" s="1"/>
  <c r="U626" i="4"/>
  <c r="V626" i="4"/>
  <c r="W626" i="4" s="1"/>
  <c r="T625" i="4"/>
  <c r="X625" i="4"/>
  <c r="U624" i="4"/>
  <c r="V624" i="4"/>
  <c r="W624" i="4" s="1"/>
  <c r="U623" i="4"/>
  <c r="V623" i="4"/>
  <c r="W623" i="4" s="1"/>
  <c r="U622" i="4"/>
  <c r="V622" i="4"/>
  <c r="W622" i="4" s="1"/>
  <c r="U621" i="4"/>
  <c r="V621" i="4"/>
  <c r="W621" i="4" s="1"/>
  <c r="X620" i="4"/>
  <c r="T620" i="4"/>
  <c r="U619" i="4"/>
  <c r="V619" i="4"/>
  <c r="W619" i="4" s="1"/>
  <c r="U618" i="4"/>
  <c r="V618" i="4"/>
  <c r="W618" i="4" s="1"/>
  <c r="U617" i="4"/>
  <c r="V617" i="4"/>
  <c r="W617" i="4" s="1"/>
  <c r="U616" i="4"/>
  <c r="V616" i="4"/>
  <c r="W616" i="4" s="1"/>
  <c r="X615" i="4"/>
  <c r="T615" i="4"/>
  <c r="U609" i="4"/>
  <c r="V609" i="4"/>
  <c r="W609" i="4" s="1"/>
  <c r="U608" i="4"/>
  <c r="V608" i="4"/>
  <c r="W608" i="4" s="1"/>
  <c r="U607" i="4"/>
  <c r="V607" i="4"/>
  <c r="W607" i="4" s="1"/>
  <c r="U606" i="4"/>
  <c r="V606" i="4"/>
  <c r="W606" i="4" s="1"/>
  <c r="X605" i="4"/>
  <c r="T605" i="4"/>
  <c r="U604" i="4"/>
  <c r="V604" i="4"/>
  <c r="W604" i="4" s="1"/>
  <c r="U603" i="4"/>
  <c r="V603" i="4"/>
  <c r="W603" i="4" s="1"/>
  <c r="U602" i="4"/>
  <c r="V602" i="4"/>
  <c r="W602" i="4" s="1"/>
  <c r="U601" i="4"/>
  <c r="V601" i="4"/>
  <c r="W601" i="4" s="1"/>
  <c r="T600" i="4"/>
  <c r="X600" i="4"/>
  <c r="U599" i="4"/>
  <c r="V599" i="4"/>
  <c r="W599" i="4" s="1"/>
  <c r="U598" i="4"/>
  <c r="V598" i="4"/>
  <c r="W598" i="4" s="1"/>
  <c r="U597" i="4"/>
  <c r="V597" i="4"/>
  <c r="W597" i="4" s="1"/>
  <c r="U596" i="4"/>
  <c r="V596" i="4"/>
  <c r="W596" i="4" s="1"/>
  <c r="T595" i="4"/>
  <c r="X595" i="4"/>
  <c r="U594" i="4"/>
  <c r="V594" i="4"/>
  <c r="W594" i="4" s="1"/>
  <c r="U593" i="4"/>
  <c r="V593" i="4"/>
  <c r="W593" i="4" s="1"/>
  <c r="U592" i="4"/>
  <c r="V592" i="4"/>
  <c r="W592" i="4" s="1"/>
  <c r="X591" i="4"/>
  <c r="T591" i="4"/>
  <c r="U590" i="4"/>
  <c r="V590" i="4"/>
  <c r="W590" i="4" s="1"/>
  <c r="U589" i="4"/>
  <c r="V589" i="4"/>
  <c r="W589" i="4" s="1"/>
  <c r="U588" i="4"/>
  <c r="V588" i="4"/>
  <c r="W588" i="4" s="1"/>
  <c r="X587" i="4"/>
  <c r="T587" i="4"/>
  <c r="U586" i="4"/>
  <c r="V586" i="4"/>
  <c r="W586" i="4" s="1"/>
  <c r="U585" i="4"/>
  <c r="V585" i="4"/>
  <c r="W585" i="4" s="1"/>
  <c r="U584" i="4"/>
  <c r="V584" i="4"/>
  <c r="U583" i="4"/>
  <c r="V583" i="4"/>
  <c r="W583" i="4" s="1"/>
  <c r="X582" i="4"/>
  <c r="T582" i="4"/>
  <c r="U581" i="4"/>
  <c r="V581" i="4"/>
  <c r="W581" i="4" s="1"/>
  <c r="U580" i="4"/>
  <c r="V580" i="4"/>
  <c r="W580" i="4" s="1"/>
  <c r="U579" i="4"/>
  <c r="V579" i="4"/>
  <c r="W579" i="4" s="1"/>
  <c r="T578" i="4"/>
  <c r="X578" i="4"/>
  <c r="U577" i="4"/>
  <c r="V577" i="4"/>
  <c r="W577" i="4" s="1"/>
  <c r="U576" i="4"/>
  <c r="V576" i="4"/>
  <c r="W576" i="4" s="1"/>
  <c r="U575" i="4"/>
  <c r="V575" i="4"/>
  <c r="W575" i="4" s="1"/>
  <c r="U574" i="4"/>
  <c r="V574" i="4"/>
  <c r="W574" i="4" s="1"/>
  <c r="X573" i="4"/>
  <c r="T573" i="4"/>
  <c r="U572" i="4"/>
  <c r="V572" i="4"/>
  <c r="W572" i="4" s="1"/>
  <c r="U571" i="4"/>
  <c r="V571" i="4"/>
  <c r="W571" i="4" s="1"/>
  <c r="U570" i="4"/>
  <c r="V570" i="4"/>
  <c r="W570" i="4" s="1"/>
  <c r="U569" i="4"/>
  <c r="V569" i="4"/>
  <c r="W569" i="4" s="1"/>
  <c r="X568" i="4"/>
  <c r="T568" i="4"/>
  <c r="U567" i="4"/>
  <c r="V567" i="4"/>
  <c r="W567" i="4" s="1"/>
  <c r="U566" i="4"/>
  <c r="V566" i="4"/>
  <c r="W566" i="4" s="1"/>
  <c r="U565" i="4"/>
  <c r="V565" i="4"/>
  <c r="W565" i="4" s="1"/>
  <c r="U564" i="4"/>
  <c r="V564" i="4"/>
  <c r="W564" i="4" s="1"/>
  <c r="T563" i="4"/>
  <c r="X563" i="4"/>
  <c r="U562" i="4"/>
  <c r="V562" i="4"/>
  <c r="W562" i="4" s="1"/>
  <c r="U561" i="4"/>
  <c r="V561" i="4"/>
  <c r="W561" i="4" s="1"/>
  <c r="U560" i="4"/>
  <c r="V560" i="4"/>
  <c r="W560" i="4" s="1"/>
  <c r="U559" i="4"/>
  <c r="V559" i="4"/>
  <c r="W559" i="4" s="1"/>
  <c r="X558" i="4"/>
  <c r="T558" i="4"/>
  <c r="U557" i="4"/>
  <c r="V557" i="4"/>
  <c r="W557" i="4" s="1"/>
  <c r="U556" i="4"/>
  <c r="V556" i="4"/>
  <c r="W556" i="4" s="1"/>
  <c r="U555" i="4"/>
  <c r="V555" i="4"/>
  <c r="W555" i="4" s="1"/>
  <c r="U554" i="4"/>
  <c r="V554" i="4"/>
  <c r="W554" i="4" s="1"/>
  <c r="T553" i="4"/>
  <c r="X553" i="4"/>
  <c r="U552" i="4"/>
  <c r="V552" i="4"/>
  <c r="W552" i="4" s="1"/>
  <c r="U551" i="4"/>
  <c r="V551" i="4"/>
  <c r="W551" i="4" s="1"/>
  <c r="U550" i="4"/>
  <c r="V550" i="4"/>
  <c r="W550" i="4" s="1"/>
  <c r="U549" i="4"/>
  <c r="V549" i="4"/>
  <c r="W549" i="4" s="1"/>
  <c r="X548" i="4"/>
  <c r="T548" i="4"/>
  <c r="U547" i="4"/>
  <c r="V547" i="4"/>
  <c r="W547" i="4" s="1"/>
  <c r="U546" i="4"/>
  <c r="V546" i="4"/>
  <c r="W546" i="4" s="1"/>
  <c r="U545" i="4"/>
  <c r="V545" i="4"/>
  <c r="W545" i="4" s="1"/>
  <c r="U544" i="4"/>
  <c r="V544" i="4"/>
  <c r="W544" i="4" s="1"/>
  <c r="T543" i="4"/>
  <c r="X543" i="4"/>
  <c r="U542" i="4"/>
  <c r="V542" i="4"/>
  <c r="W542" i="4" s="1"/>
  <c r="U541" i="4"/>
  <c r="V541" i="4"/>
  <c r="W541" i="4" s="1"/>
  <c r="U540" i="4"/>
  <c r="V540" i="4"/>
  <c r="W540" i="4" s="1"/>
  <c r="U539" i="4"/>
  <c r="V539" i="4"/>
  <c r="W539" i="4" s="1"/>
  <c r="T538" i="4"/>
  <c r="X538" i="4"/>
  <c r="V537" i="4"/>
  <c r="U537" i="4"/>
  <c r="V536" i="4"/>
  <c r="U536" i="4"/>
  <c r="V535" i="4"/>
  <c r="U535" i="4"/>
  <c r="V534" i="4"/>
  <c r="U534" i="4"/>
  <c r="X533" i="4"/>
  <c r="T533" i="4"/>
  <c r="V532" i="4"/>
  <c r="U532" i="4"/>
  <c r="V531" i="4"/>
  <c r="U531" i="4"/>
  <c r="U530" i="4"/>
  <c r="V530" i="4"/>
  <c r="W530" i="4" s="1"/>
  <c r="V529" i="4"/>
  <c r="U529" i="4"/>
  <c r="X528" i="4"/>
  <c r="T528" i="4"/>
  <c r="V527" i="4"/>
  <c r="U527" i="4"/>
  <c r="V526" i="4"/>
  <c r="U526" i="4"/>
  <c r="U525" i="4"/>
  <c r="V525" i="4"/>
  <c r="W525" i="4" s="1"/>
  <c r="V524" i="4"/>
  <c r="U524" i="4"/>
  <c r="T523" i="4"/>
  <c r="X523" i="4"/>
  <c r="V522" i="4"/>
  <c r="U522" i="4"/>
  <c r="V521" i="4"/>
  <c r="U521" i="4"/>
  <c r="V520" i="4"/>
  <c r="U520" i="4"/>
  <c r="V519" i="4"/>
  <c r="U519" i="4"/>
  <c r="T518" i="4"/>
  <c r="X518" i="4"/>
  <c r="V517" i="4"/>
  <c r="U517" i="4"/>
  <c r="V516" i="4"/>
  <c r="U516" i="4"/>
  <c r="V515" i="4"/>
  <c r="U515" i="4"/>
  <c r="U514" i="4"/>
  <c r="V514" i="4"/>
  <c r="W514" i="4" s="1"/>
  <c r="X513" i="4"/>
  <c r="T513" i="4"/>
  <c r="U512" i="4"/>
  <c r="V512" i="4"/>
  <c r="W512" i="4" s="1"/>
  <c r="V511" i="4"/>
  <c r="U511" i="4"/>
  <c r="V510" i="4"/>
  <c r="U510" i="4"/>
  <c r="V509" i="4"/>
  <c r="U509" i="4"/>
  <c r="T508" i="4"/>
  <c r="X508" i="4"/>
  <c r="U507" i="4"/>
  <c r="V507" i="4"/>
  <c r="W507" i="4" s="1"/>
  <c r="U506" i="4"/>
  <c r="V506" i="4"/>
  <c r="W506" i="4" s="1"/>
  <c r="U505" i="4"/>
  <c r="V505" i="4"/>
  <c r="W505" i="4" s="1"/>
  <c r="U504" i="4"/>
  <c r="V504" i="4"/>
  <c r="W504" i="4" s="1"/>
  <c r="T503" i="4"/>
  <c r="X503" i="4"/>
  <c r="U502" i="4"/>
  <c r="V502" i="4"/>
  <c r="W502" i="4" s="1"/>
  <c r="U501" i="4"/>
  <c r="V501" i="4"/>
  <c r="W501" i="4" s="1"/>
  <c r="U500" i="4"/>
  <c r="V500" i="4"/>
  <c r="W500" i="4" s="1"/>
  <c r="U499" i="4"/>
  <c r="V499" i="4"/>
  <c r="W499" i="4" s="1"/>
  <c r="T498" i="4"/>
  <c r="X498" i="4"/>
  <c r="T494" i="4"/>
  <c r="Y494" i="4" s="1"/>
  <c r="X494" i="4"/>
  <c r="U483" i="4"/>
  <c r="V483" i="4"/>
  <c r="W483" i="4" s="1"/>
  <c r="U482" i="4"/>
  <c r="V482" i="4"/>
  <c r="W482" i="4" s="1"/>
  <c r="U481" i="4"/>
  <c r="V481" i="4"/>
  <c r="W481" i="4" s="1"/>
  <c r="U480" i="4"/>
  <c r="V480" i="4"/>
  <c r="W480" i="4" s="1"/>
  <c r="X479" i="4"/>
  <c r="T479" i="4"/>
  <c r="U478" i="4"/>
  <c r="V478" i="4"/>
  <c r="W478" i="4" s="1"/>
  <c r="U477" i="4"/>
  <c r="V477" i="4"/>
  <c r="W477" i="4" s="1"/>
  <c r="U476" i="4"/>
  <c r="V476" i="4"/>
  <c r="W476" i="4" s="1"/>
  <c r="U475" i="4"/>
  <c r="V475" i="4"/>
  <c r="W475" i="4" s="1"/>
  <c r="X474" i="4"/>
  <c r="T474" i="4"/>
  <c r="U473" i="4"/>
  <c r="V473" i="4"/>
  <c r="U472" i="4"/>
  <c r="V472" i="4"/>
  <c r="U471" i="4"/>
  <c r="V471" i="4"/>
  <c r="W471" i="4" s="1"/>
  <c r="U470" i="4"/>
  <c r="V470" i="4"/>
  <c r="W470" i="4" s="1"/>
  <c r="T469" i="4"/>
  <c r="X469" i="4"/>
  <c r="U468" i="4"/>
  <c r="V468" i="4"/>
  <c r="W468" i="4" s="1"/>
  <c r="U467" i="4"/>
  <c r="V467" i="4"/>
  <c r="W467" i="4" s="1"/>
  <c r="U466" i="4"/>
  <c r="V466" i="4"/>
  <c r="W466" i="4" s="1"/>
  <c r="U465" i="4"/>
  <c r="V465" i="4"/>
  <c r="W465" i="4" s="1"/>
  <c r="T464" i="4"/>
  <c r="X464" i="4"/>
  <c r="U463" i="4"/>
  <c r="V463" i="4"/>
  <c r="W463" i="4" s="1"/>
  <c r="U462" i="4"/>
  <c r="V462" i="4"/>
  <c r="W462" i="4" s="1"/>
  <c r="U461" i="4"/>
  <c r="V461" i="4"/>
  <c r="W461" i="4" s="1"/>
  <c r="U460" i="4"/>
  <c r="V460" i="4"/>
  <c r="W460" i="4" s="1"/>
  <c r="T459" i="4"/>
  <c r="X459" i="4"/>
  <c r="U458" i="4"/>
  <c r="V458" i="4"/>
  <c r="W458" i="4" s="1"/>
  <c r="U457" i="4"/>
  <c r="V457" i="4"/>
  <c r="W457" i="4" s="1"/>
  <c r="U456" i="4"/>
  <c r="V456" i="4"/>
  <c r="W456" i="4" s="1"/>
  <c r="U455" i="4"/>
  <c r="V455" i="4"/>
  <c r="W455" i="4" s="1"/>
  <c r="X454" i="4"/>
  <c r="T454" i="4"/>
  <c r="V453" i="4"/>
  <c r="U453" i="4"/>
  <c r="U452" i="4"/>
  <c r="V452" i="4"/>
  <c r="W452" i="4" s="1"/>
  <c r="U451" i="4"/>
  <c r="V451" i="4"/>
  <c r="W451" i="4" s="1"/>
  <c r="U450" i="4"/>
  <c r="V450" i="4"/>
  <c r="W450" i="4" s="1"/>
  <c r="X449" i="4"/>
  <c r="T449" i="4"/>
  <c r="V448" i="4"/>
  <c r="U448" i="4"/>
  <c r="V447" i="4"/>
  <c r="U447" i="4"/>
  <c r="V446" i="4"/>
  <c r="U446" i="4"/>
  <c r="V445" i="4"/>
  <c r="U445" i="4"/>
  <c r="X444" i="4"/>
  <c r="T444" i="4"/>
  <c r="V443" i="4"/>
  <c r="U443" i="4"/>
  <c r="U442" i="4"/>
  <c r="V442" i="4"/>
  <c r="W442" i="4" s="1"/>
  <c r="U441" i="4"/>
  <c r="V441" i="4"/>
  <c r="W441" i="4" s="1"/>
  <c r="U440" i="4"/>
  <c r="V440" i="4"/>
  <c r="W440" i="4" s="1"/>
  <c r="T439" i="4"/>
  <c r="X439" i="4"/>
  <c r="V438" i="4"/>
  <c r="U438" i="4"/>
  <c r="V437" i="4"/>
  <c r="U437" i="4"/>
  <c r="V436" i="4"/>
  <c r="U436" i="4"/>
  <c r="V435" i="4"/>
  <c r="U435" i="4"/>
  <c r="T434" i="4"/>
  <c r="X434" i="4"/>
  <c r="V433" i="4"/>
  <c r="U433" i="4"/>
  <c r="U432" i="4"/>
  <c r="V432" i="4"/>
  <c r="W432" i="4" s="1"/>
  <c r="V431" i="4"/>
  <c r="U431" i="4"/>
  <c r="U430" i="4"/>
  <c r="V430" i="4"/>
  <c r="W430" i="4" s="1"/>
  <c r="X429" i="4"/>
  <c r="T429" i="4"/>
  <c r="V428" i="4"/>
  <c r="U428" i="4"/>
  <c r="U427" i="4"/>
  <c r="V427" i="4"/>
  <c r="W427" i="4" s="1"/>
  <c r="U426" i="4"/>
  <c r="V426" i="4"/>
  <c r="W426" i="4" s="1"/>
  <c r="T425" i="4"/>
  <c r="X425" i="4"/>
  <c r="V424" i="4"/>
  <c r="U424" i="4"/>
  <c r="U423" i="4"/>
  <c r="V423" i="4"/>
  <c r="W423" i="4" s="1"/>
  <c r="V422" i="4"/>
  <c r="U422" i="4"/>
  <c r="X421" i="4"/>
  <c r="T421" i="4"/>
  <c r="U420" i="4"/>
  <c r="V420" i="4"/>
  <c r="W420" i="4" s="1"/>
  <c r="U419" i="4"/>
  <c r="V419" i="4"/>
  <c r="W419" i="4" s="1"/>
  <c r="U418" i="4"/>
  <c r="V418" i="4"/>
  <c r="W418" i="4" s="1"/>
  <c r="T417" i="4"/>
  <c r="X417" i="4"/>
  <c r="U416" i="4"/>
  <c r="V416" i="4"/>
  <c r="W416" i="4" s="1"/>
  <c r="V415" i="4"/>
  <c r="U415" i="4"/>
  <c r="V414" i="4"/>
  <c r="U414" i="4"/>
  <c r="U413" i="4"/>
  <c r="V413" i="4"/>
  <c r="W413" i="4" s="1"/>
  <c r="T412" i="4"/>
  <c r="X412" i="4"/>
  <c r="V411" i="4"/>
  <c r="U411" i="4"/>
  <c r="V410" i="4"/>
  <c r="U410" i="4"/>
  <c r="U409" i="4"/>
  <c r="V409" i="4"/>
  <c r="W409" i="4" s="1"/>
  <c r="V408" i="4"/>
  <c r="U408" i="4"/>
  <c r="X407" i="4"/>
  <c r="T407" i="4"/>
  <c r="U406" i="4"/>
  <c r="V406" i="4"/>
  <c r="W406" i="4" s="1"/>
  <c r="U405" i="4"/>
  <c r="V405" i="4"/>
  <c r="W405" i="4" s="1"/>
  <c r="U404" i="4"/>
  <c r="V404" i="4"/>
  <c r="W404" i="4" s="1"/>
  <c r="U403" i="4"/>
  <c r="V403" i="4"/>
  <c r="W403" i="4" s="1"/>
  <c r="T402" i="4"/>
  <c r="X402" i="4"/>
  <c r="U401" i="4"/>
  <c r="V401" i="4"/>
  <c r="W401" i="4" s="1"/>
  <c r="U400" i="4"/>
  <c r="V400" i="4"/>
  <c r="W400" i="4" s="1"/>
  <c r="U399" i="4"/>
  <c r="V399" i="4"/>
  <c r="W399" i="4" s="1"/>
  <c r="U398" i="4"/>
  <c r="V398" i="4"/>
  <c r="W398" i="4" s="1"/>
  <c r="X397" i="4"/>
  <c r="T397" i="4"/>
  <c r="V396" i="4"/>
  <c r="U396" i="4"/>
  <c r="U395" i="4"/>
  <c r="V395" i="4"/>
  <c r="W395" i="4" s="1"/>
  <c r="V394" i="4"/>
  <c r="U394" i="4"/>
  <c r="U393" i="4"/>
  <c r="V393" i="4"/>
  <c r="W393" i="4" s="1"/>
  <c r="X392" i="4"/>
  <c r="T392" i="4"/>
  <c r="U391" i="4"/>
  <c r="V391" i="4"/>
  <c r="W391" i="4" s="1"/>
  <c r="V390" i="4"/>
  <c r="U390" i="4"/>
  <c r="U389" i="4"/>
  <c r="V389" i="4"/>
  <c r="W389" i="4" s="1"/>
  <c r="U388" i="4"/>
  <c r="V388" i="4"/>
  <c r="W388" i="4" s="1"/>
  <c r="X387" i="4"/>
  <c r="T387" i="4"/>
  <c r="V386" i="4"/>
  <c r="U386" i="4"/>
  <c r="U385" i="4"/>
  <c r="V385" i="4"/>
  <c r="W385" i="4" s="1"/>
  <c r="U384" i="4"/>
  <c r="V384" i="4"/>
  <c r="W384" i="4" s="1"/>
  <c r="V383" i="4"/>
  <c r="U383" i="4"/>
  <c r="X382" i="4"/>
  <c r="T382" i="4"/>
  <c r="V381" i="4"/>
  <c r="U381" i="4"/>
  <c r="U380" i="4"/>
  <c r="V380" i="4"/>
  <c r="W380" i="4" s="1"/>
  <c r="V379" i="4"/>
  <c r="U379" i="4"/>
  <c r="U378" i="4"/>
  <c r="V378" i="4"/>
  <c r="W378" i="4" s="1"/>
  <c r="T377" i="4"/>
  <c r="X377" i="4"/>
  <c r="U376" i="4"/>
  <c r="V376" i="4"/>
  <c r="W376" i="4" s="1"/>
  <c r="U375" i="4"/>
  <c r="V375" i="4"/>
  <c r="W375" i="4" s="1"/>
  <c r="V374" i="4"/>
  <c r="U374" i="4"/>
  <c r="V373" i="4"/>
  <c r="U373" i="4"/>
  <c r="X372" i="4"/>
  <c r="T372" i="4"/>
  <c r="U371" i="4"/>
  <c r="V371" i="4"/>
  <c r="W371" i="4" s="1"/>
  <c r="U370" i="4"/>
  <c r="V370" i="4"/>
  <c r="W370" i="4" s="1"/>
  <c r="U369" i="4"/>
  <c r="V369" i="4"/>
  <c r="W369" i="4" s="1"/>
  <c r="U368" i="4"/>
  <c r="V368" i="4"/>
  <c r="W368" i="4" s="1"/>
  <c r="X367" i="4"/>
  <c r="T367" i="4"/>
  <c r="U366" i="4"/>
  <c r="V366" i="4"/>
  <c r="W366" i="4" s="1"/>
  <c r="U365" i="4"/>
  <c r="V365" i="4"/>
  <c r="W365" i="4" s="1"/>
  <c r="U364" i="4"/>
  <c r="V364" i="4"/>
  <c r="W364" i="4" s="1"/>
  <c r="U363" i="4"/>
  <c r="V363" i="4"/>
  <c r="W363" i="4" s="1"/>
  <c r="T362" i="4"/>
  <c r="X362" i="4"/>
  <c r="V361" i="4"/>
  <c r="U361" i="4"/>
  <c r="U360" i="4"/>
  <c r="V360" i="4"/>
  <c r="W360" i="4" s="1"/>
  <c r="U359" i="4"/>
  <c r="V359" i="4"/>
  <c r="W359" i="4" s="1"/>
  <c r="U358" i="4"/>
  <c r="V358" i="4"/>
  <c r="W358" i="4" s="1"/>
  <c r="X357" i="4"/>
  <c r="T357" i="4"/>
  <c r="U356" i="4"/>
  <c r="V356" i="4"/>
  <c r="W356" i="4" s="1"/>
  <c r="V355" i="4"/>
  <c r="U355" i="4"/>
  <c r="U354" i="4"/>
  <c r="V354" i="4"/>
  <c r="W354" i="4" s="1"/>
  <c r="V353" i="4"/>
  <c r="U353" i="4"/>
  <c r="T352" i="4"/>
  <c r="X352" i="4"/>
  <c r="V351" i="4"/>
  <c r="U351" i="4"/>
  <c r="U350" i="4"/>
  <c r="V350" i="4"/>
  <c r="W350" i="4" s="1"/>
  <c r="U349" i="4"/>
  <c r="V349" i="4"/>
  <c r="W349" i="4" s="1"/>
  <c r="U348" i="4"/>
  <c r="V348" i="4"/>
  <c r="W348" i="4" s="1"/>
  <c r="T347" i="4"/>
  <c r="X347" i="4"/>
  <c r="U346" i="4"/>
  <c r="V346" i="4"/>
  <c r="W346" i="4" s="1"/>
  <c r="V345" i="4"/>
  <c r="U345" i="4"/>
  <c r="U344" i="4"/>
  <c r="V344" i="4"/>
  <c r="W344" i="4" s="1"/>
  <c r="V343" i="4"/>
  <c r="U343" i="4"/>
  <c r="X342" i="4"/>
  <c r="T342" i="4"/>
  <c r="V341" i="4"/>
  <c r="U341" i="4"/>
  <c r="U340" i="4"/>
  <c r="V340" i="4"/>
  <c r="W340" i="4" s="1"/>
  <c r="U339" i="4"/>
  <c r="V339" i="4"/>
  <c r="W339" i="4" s="1"/>
  <c r="V338" i="4"/>
  <c r="U338" i="4"/>
  <c r="T337" i="4"/>
  <c r="X337" i="4"/>
  <c r="V336" i="4"/>
  <c r="U336" i="4"/>
  <c r="U335" i="4"/>
  <c r="V335" i="4"/>
  <c r="W335" i="4" s="1"/>
  <c r="V334" i="4"/>
  <c r="U334" i="4"/>
  <c r="V333" i="4"/>
  <c r="U333" i="4"/>
  <c r="X332" i="4"/>
  <c r="T332" i="4"/>
  <c r="V331" i="4"/>
  <c r="U331" i="4"/>
  <c r="U330" i="4"/>
  <c r="V330" i="4"/>
  <c r="W330" i="4" s="1"/>
  <c r="U329" i="4"/>
  <c r="V329" i="4"/>
  <c r="W329" i="4" s="1"/>
  <c r="V328" i="4"/>
  <c r="U328" i="4"/>
  <c r="T327" i="4"/>
  <c r="X327" i="4"/>
  <c r="V326" i="4"/>
  <c r="U326" i="4"/>
  <c r="U325" i="4"/>
  <c r="V325" i="4"/>
  <c r="W325" i="4" s="1"/>
  <c r="V324" i="4"/>
  <c r="U324" i="4"/>
  <c r="U323" i="4"/>
  <c r="V323" i="4"/>
  <c r="W323" i="4" s="1"/>
  <c r="X322" i="4"/>
  <c r="T322" i="4"/>
  <c r="U321" i="4"/>
  <c r="V321" i="4"/>
  <c r="W321" i="4" s="1"/>
  <c r="U320" i="4"/>
  <c r="V320" i="4"/>
  <c r="W320" i="4" s="1"/>
  <c r="V319" i="4"/>
  <c r="U319" i="4"/>
  <c r="V318" i="4"/>
  <c r="U318" i="4"/>
  <c r="X317" i="4"/>
  <c r="T317" i="4"/>
  <c r="V316" i="4"/>
  <c r="U316" i="4"/>
  <c r="V315" i="4"/>
  <c r="U315" i="4"/>
  <c r="V314" i="4"/>
  <c r="U314" i="4"/>
  <c r="V313" i="4"/>
  <c r="U313" i="4"/>
  <c r="X312" i="4"/>
  <c r="T312" i="4"/>
  <c r="U311" i="4"/>
  <c r="V311" i="4"/>
  <c r="W311" i="4" s="1"/>
  <c r="V310" i="4"/>
  <c r="U310" i="4"/>
  <c r="U309" i="4"/>
  <c r="V309" i="4"/>
  <c r="W309" i="4" s="1"/>
  <c r="V308" i="4"/>
  <c r="U308" i="4"/>
  <c r="T307" i="4"/>
  <c r="X307" i="4"/>
  <c r="U306" i="4"/>
  <c r="V306" i="4"/>
  <c r="W306" i="4" s="1"/>
  <c r="V305" i="4"/>
  <c r="U305" i="4"/>
  <c r="V304" i="4"/>
  <c r="U304" i="4"/>
  <c r="T303" i="4"/>
  <c r="X303" i="4"/>
  <c r="U302" i="4"/>
  <c r="V302" i="4"/>
  <c r="W302" i="4" s="1"/>
  <c r="V301" i="4"/>
  <c r="U301" i="4"/>
  <c r="U300" i="4"/>
  <c r="V300" i="4"/>
  <c r="W300" i="4" s="1"/>
  <c r="U299" i="4"/>
  <c r="V299" i="4"/>
  <c r="W299" i="4" s="1"/>
  <c r="X298" i="4"/>
  <c r="T298" i="4"/>
  <c r="V297" i="4"/>
  <c r="U297" i="4"/>
  <c r="U296" i="4"/>
  <c r="V296" i="4"/>
  <c r="W296" i="4" s="1"/>
  <c r="V295" i="4"/>
  <c r="U295" i="4"/>
  <c r="U294" i="4"/>
  <c r="V294" i="4"/>
  <c r="W294" i="4" s="1"/>
  <c r="X293" i="4"/>
  <c r="T293" i="4"/>
  <c r="V292" i="4"/>
  <c r="U292" i="4"/>
  <c r="V291" i="4"/>
  <c r="U291" i="4"/>
  <c r="U290" i="4"/>
  <c r="V290" i="4"/>
  <c r="W290" i="4" s="1"/>
  <c r="V289" i="4"/>
  <c r="U289" i="4"/>
  <c r="T288" i="4"/>
  <c r="X288" i="4"/>
  <c r="U287" i="4"/>
  <c r="V287" i="4"/>
  <c r="W287" i="4" s="1"/>
  <c r="U286" i="4"/>
  <c r="V286" i="4"/>
  <c r="W286" i="4" s="1"/>
  <c r="U285" i="4"/>
  <c r="V285" i="4"/>
  <c r="W285" i="4" s="1"/>
  <c r="V284" i="4"/>
  <c r="U284" i="4"/>
  <c r="X283" i="4"/>
  <c r="T283" i="4"/>
  <c r="V282" i="4"/>
  <c r="U282" i="4"/>
  <c r="U281" i="4"/>
  <c r="V281" i="4"/>
  <c r="W281" i="4" s="1"/>
  <c r="U280" i="4"/>
  <c r="V280" i="4"/>
  <c r="W280" i="4" s="1"/>
  <c r="V279" i="4"/>
  <c r="U279" i="4"/>
  <c r="T278" i="4"/>
  <c r="X278" i="4"/>
  <c r="V277" i="4"/>
  <c r="U277" i="4"/>
  <c r="U276" i="4"/>
  <c r="V276" i="4"/>
  <c r="W276" i="4" s="1"/>
  <c r="V275" i="4"/>
  <c r="U275" i="4"/>
  <c r="U274" i="4"/>
  <c r="V274" i="4"/>
  <c r="W274" i="4" s="1"/>
  <c r="X273" i="4"/>
  <c r="T273" i="4"/>
  <c r="U272" i="4"/>
  <c r="V272" i="4"/>
  <c r="W272" i="4" s="1"/>
  <c r="U271" i="4"/>
  <c r="V271" i="4"/>
  <c r="W271" i="4" s="1"/>
  <c r="U270" i="4"/>
  <c r="V270" i="4"/>
  <c r="W270" i="4" s="1"/>
  <c r="V269" i="4"/>
  <c r="U269" i="4"/>
  <c r="T268" i="4"/>
  <c r="X268" i="4"/>
  <c r="U267" i="4"/>
  <c r="V267" i="4"/>
  <c r="W267" i="4" s="1"/>
  <c r="V266" i="4"/>
  <c r="U266" i="4"/>
  <c r="V265" i="4"/>
  <c r="U265" i="4"/>
  <c r="U264" i="4"/>
  <c r="V264" i="4"/>
  <c r="W264" i="4" s="1"/>
  <c r="X263" i="4"/>
  <c r="T263" i="4"/>
  <c r="U262" i="4"/>
  <c r="V262" i="4"/>
  <c r="W262" i="4" s="1"/>
  <c r="U261" i="4"/>
  <c r="V261" i="4"/>
  <c r="W261" i="4" s="1"/>
  <c r="U260" i="4"/>
  <c r="V260" i="4"/>
  <c r="W260" i="4" s="1"/>
  <c r="U259" i="4"/>
  <c r="V259" i="4"/>
  <c r="W259" i="4" s="1"/>
  <c r="X258" i="4"/>
  <c r="T258" i="4"/>
  <c r="V257" i="4"/>
  <c r="U257" i="4"/>
  <c r="U256" i="4"/>
  <c r="V256" i="4"/>
  <c r="W256" i="4" s="1"/>
  <c r="V255" i="4"/>
  <c r="U255" i="4"/>
  <c r="U254" i="4"/>
  <c r="V254" i="4"/>
  <c r="W254" i="4" s="1"/>
  <c r="T253" i="4"/>
  <c r="X253" i="4"/>
  <c r="U252" i="4"/>
  <c r="V252" i="4"/>
  <c r="W252" i="4" s="1"/>
  <c r="V251" i="4"/>
  <c r="U251" i="4"/>
  <c r="U250" i="4"/>
  <c r="V250" i="4"/>
  <c r="W250" i="4" s="1"/>
  <c r="U249" i="4"/>
  <c r="V249" i="4"/>
  <c r="W249" i="4" s="1"/>
  <c r="X248" i="4"/>
  <c r="T248" i="4"/>
  <c r="V247" i="4"/>
  <c r="U247" i="4"/>
  <c r="V246" i="4"/>
  <c r="U246" i="4"/>
  <c r="V245" i="4"/>
  <c r="U245" i="4"/>
  <c r="V244" i="4"/>
  <c r="U244" i="4"/>
  <c r="X243" i="4"/>
  <c r="T243" i="4"/>
  <c r="U242" i="4"/>
  <c r="V242" i="4"/>
  <c r="W242" i="4" s="1"/>
  <c r="U241" i="4"/>
  <c r="V241" i="4"/>
  <c r="W241" i="4" s="1"/>
  <c r="U240" i="4"/>
  <c r="V240" i="4"/>
  <c r="W240" i="4" s="1"/>
  <c r="V239" i="4"/>
  <c r="U239" i="4"/>
  <c r="T238" i="4"/>
  <c r="X238" i="4"/>
  <c r="U237" i="4"/>
  <c r="V237" i="4"/>
  <c r="W237" i="4" s="1"/>
  <c r="U236" i="4"/>
  <c r="V236" i="4"/>
  <c r="W236" i="4" s="1"/>
  <c r="U235" i="4"/>
  <c r="V235" i="4"/>
  <c r="W235" i="4" s="1"/>
  <c r="U234" i="4"/>
  <c r="V234" i="4"/>
  <c r="W234" i="4" s="1"/>
  <c r="T233" i="4"/>
  <c r="X233" i="4"/>
  <c r="V232" i="4"/>
  <c r="U232" i="4"/>
  <c r="V231" i="4"/>
  <c r="U231" i="4"/>
  <c r="V230" i="4"/>
  <c r="U230" i="4"/>
  <c r="V229" i="4"/>
  <c r="U229" i="4"/>
  <c r="T228" i="4"/>
  <c r="X228" i="4"/>
  <c r="U227" i="4"/>
  <c r="V227" i="4"/>
  <c r="W227" i="4" s="1"/>
  <c r="U226" i="4"/>
  <c r="V226" i="4"/>
  <c r="W226" i="4" s="1"/>
  <c r="U225" i="4"/>
  <c r="V225" i="4"/>
  <c r="W225" i="4" s="1"/>
  <c r="U224" i="4"/>
  <c r="V224" i="4"/>
  <c r="W224" i="4" s="1"/>
  <c r="X223" i="4"/>
  <c r="T223" i="4"/>
  <c r="U222" i="4"/>
  <c r="V222" i="4"/>
  <c r="W222" i="4" s="1"/>
  <c r="U221" i="4"/>
  <c r="V221" i="4"/>
  <c r="W221" i="4" s="1"/>
  <c r="U220" i="4"/>
  <c r="V220" i="4"/>
  <c r="W220" i="4" s="1"/>
  <c r="U219" i="4"/>
  <c r="V219" i="4"/>
  <c r="W219" i="4" s="1"/>
  <c r="T218" i="4"/>
  <c r="X218" i="4"/>
  <c r="U217" i="4"/>
  <c r="V217" i="4"/>
  <c r="W217" i="4" s="1"/>
  <c r="U216" i="4"/>
  <c r="V216" i="4"/>
  <c r="W216" i="4" s="1"/>
  <c r="U215" i="4"/>
  <c r="V215" i="4"/>
  <c r="W215" i="4" s="1"/>
  <c r="U214" i="4"/>
  <c r="V214" i="4"/>
  <c r="W214" i="4" s="1"/>
  <c r="X213" i="4"/>
  <c r="T213" i="4"/>
  <c r="V212" i="4"/>
  <c r="U212" i="4"/>
  <c r="U211" i="4"/>
  <c r="V211" i="4"/>
  <c r="W211" i="4" s="1"/>
  <c r="U210" i="4"/>
  <c r="V210" i="4"/>
  <c r="W210" i="4" s="1"/>
  <c r="V209" i="4"/>
  <c r="U209" i="4"/>
  <c r="T208" i="4"/>
  <c r="X208" i="4"/>
  <c r="U207" i="4"/>
  <c r="V207" i="4"/>
  <c r="W207" i="4" s="1"/>
  <c r="V206" i="4"/>
  <c r="U206" i="4"/>
  <c r="V205" i="4"/>
  <c r="U205" i="4"/>
  <c r="U204" i="4"/>
  <c r="V204" i="4"/>
  <c r="W204" i="4" s="1"/>
  <c r="X203" i="4"/>
  <c r="T203" i="4"/>
  <c r="U202" i="4"/>
  <c r="V202" i="4"/>
  <c r="W202" i="4" s="1"/>
  <c r="V201" i="4"/>
  <c r="U201" i="4"/>
  <c r="U200" i="4"/>
  <c r="V200" i="4"/>
  <c r="W200" i="4" s="1"/>
  <c r="V199" i="4"/>
  <c r="U199" i="4"/>
  <c r="X198" i="4"/>
  <c r="T198" i="4"/>
  <c r="V197" i="4"/>
  <c r="U197" i="4"/>
  <c r="V196" i="4"/>
  <c r="U196" i="4"/>
  <c r="U195" i="4"/>
  <c r="V195" i="4"/>
  <c r="W195" i="4" s="1"/>
  <c r="V194" i="4"/>
  <c r="U194" i="4"/>
  <c r="X193" i="4"/>
  <c r="T193" i="4"/>
  <c r="V192" i="4"/>
  <c r="U192" i="4"/>
  <c r="V191" i="4"/>
  <c r="U191" i="4"/>
  <c r="V190" i="4"/>
  <c r="U190" i="4"/>
  <c r="U189" i="4"/>
  <c r="V189" i="4"/>
  <c r="W189" i="4" s="1"/>
  <c r="X188" i="4"/>
  <c r="T188" i="4"/>
  <c r="U187" i="4"/>
  <c r="V187" i="4"/>
  <c r="W187" i="4" s="1"/>
  <c r="V186" i="4"/>
  <c r="U186" i="4"/>
  <c r="U185" i="4"/>
  <c r="V185" i="4"/>
  <c r="W185" i="4" s="1"/>
  <c r="U184" i="4"/>
  <c r="V184" i="4"/>
  <c r="W184" i="4" s="1"/>
  <c r="T183" i="4"/>
  <c r="X183" i="4"/>
  <c r="U182" i="4"/>
  <c r="V182" i="4"/>
  <c r="W182" i="4" s="1"/>
  <c r="U181" i="4"/>
  <c r="V181" i="4"/>
  <c r="W181" i="4" s="1"/>
  <c r="V180" i="4"/>
  <c r="U180" i="4"/>
  <c r="V179" i="4"/>
  <c r="U179" i="4"/>
  <c r="T178" i="4"/>
  <c r="X178" i="4"/>
  <c r="V177" i="4"/>
  <c r="U177" i="4"/>
  <c r="V176" i="4"/>
  <c r="U176" i="4"/>
  <c r="U175" i="4"/>
  <c r="V175" i="4"/>
  <c r="W175" i="4" s="1"/>
  <c r="V174" i="4"/>
  <c r="U174" i="4"/>
  <c r="T173" i="4"/>
  <c r="X173" i="4"/>
  <c r="U172" i="4"/>
  <c r="V172" i="4"/>
  <c r="W172" i="4" s="1"/>
  <c r="U171" i="4"/>
  <c r="V171" i="4"/>
  <c r="W171" i="4" s="1"/>
  <c r="V170" i="4"/>
  <c r="U170" i="4"/>
  <c r="U169" i="4"/>
  <c r="V169" i="4"/>
  <c r="W169" i="4" s="1"/>
  <c r="T168" i="4"/>
  <c r="X168" i="4"/>
  <c r="U167" i="4"/>
  <c r="V167" i="4"/>
  <c r="W167" i="4" s="1"/>
  <c r="U166" i="4"/>
  <c r="V166" i="4"/>
  <c r="W166" i="4" s="1"/>
  <c r="V165" i="4"/>
  <c r="U165" i="4"/>
  <c r="U164" i="4"/>
  <c r="V164" i="4"/>
  <c r="X163" i="4"/>
  <c r="T163" i="4"/>
  <c r="V162" i="4"/>
  <c r="U162" i="4"/>
  <c r="V161" i="4"/>
  <c r="U161" i="4"/>
  <c r="T160" i="4"/>
  <c r="X160" i="4"/>
  <c r="U159" i="4"/>
  <c r="V159" i="4"/>
  <c r="W159" i="4" s="1"/>
  <c r="U158" i="4"/>
  <c r="V158" i="4"/>
  <c r="W158" i="4" s="1"/>
  <c r="V157" i="4"/>
  <c r="U157" i="4"/>
  <c r="V156" i="4"/>
  <c r="U156" i="4"/>
  <c r="X155" i="4"/>
  <c r="T155" i="4"/>
  <c r="V154" i="4"/>
  <c r="U154" i="4"/>
  <c r="V153" i="4"/>
  <c r="U153" i="4"/>
  <c r="V152" i="4"/>
  <c r="U152" i="4"/>
  <c r="V151" i="4"/>
  <c r="U151" i="4"/>
  <c r="X150" i="4"/>
  <c r="T150" i="4"/>
  <c r="V149" i="4"/>
  <c r="U149" i="4"/>
  <c r="V148" i="4"/>
  <c r="U148" i="4"/>
  <c r="V147" i="4"/>
  <c r="U147" i="4"/>
  <c r="V146" i="4"/>
  <c r="U146" i="4"/>
  <c r="T145" i="4"/>
  <c r="X145" i="4"/>
  <c r="U144" i="4"/>
  <c r="V144" i="4"/>
  <c r="W144" i="4" s="1"/>
  <c r="V143" i="4"/>
  <c r="U143" i="4"/>
  <c r="V142" i="4"/>
  <c r="U142" i="4"/>
  <c r="U141" i="4"/>
  <c r="V141" i="4"/>
  <c r="W141" i="4" s="1"/>
  <c r="T140" i="4"/>
  <c r="X140" i="4"/>
  <c r="V139" i="4"/>
  <c r="U139" i="4"/>
  <c r="U138" i="4"/>
  <c r="V138" i="4"/>
  <c r="W138" i="4" s="1"/>
  <c r="U137" i="4"/>
  <c r="V137" i="4"/>
  <c r="W137" i="4" s="1"/>
  <c r="U136" i="4"/>
  <c r="V136" i="4"/>
  <c r="W136" i="4" s="1"/>
  <c r="T135" i="4"/>
  <c r="X135" i="4"/>
  <c r="U134" i="4"/>
  <c r="V134" i="4"/>
  <c r="W134" i="4" s="1"/>
  <c r="V133" i="4"/>
  <c r="U133" i="4"/>
  <c r="V132" i="4"/>
  <c r="U132" i="4"/>
  <c r="U131" i="4"/>
  <c r="V131" i="4"/>
  <c r="W131" i="4" s="1"/>
  <c r="T130" i="4"/>
  <c r="X130" i="4"/>
  <c r="V129" i="4"/>
  <c r="U129" i="4"/>
  <c r="U128" i="4"/>
  <c r="V128" i="4"/>
  <c r="W128" i="4" s="1"/>
  <c r="V127" i="4"/>
  <c r="U127" i="4"/>
  <c r="U126" i="4"/>
  <c r="V126" i="4"/>
  <c r="W126" i="4" s="1"/>
  <c r="T125" i="4"/>
  <c r="X125" i="4"/>
  <c r="U124" i="4"/>
  <c r="V124" i="4"/>
  <c r="W124" i="4" s="1"/>
  <c r="U123" i="4"/>
  <c r="V123" i="4"/>
  <c r="W123" i="4" s="1"/>
  <c r="U122" i="4"/>
  <c r="V122" i="4"/>
  <c r="U121" i="4"/>
  <c r="V121" i="4"/>
  <c r="W121" i="4" s="1"/>
  <c r="X120" i="4"/>
  <c r="T120" i="4"/>
  <c r="U119" i="4"/>
  <c r="V119" i="4"/>
  <c r="W119" i="4" s="1"/>
  <c r="U118" i="4"/>
  <c r="V118" i="4"/>
  <c r="W118" i="4" s="1"/>
  <c r="U117" i="4"/>
  <c r="V117" i="4"/>
  <c r="W117" i="4" s="1"/>
  <c r="U116" i="4"/>
  <c r="V116" i="4"/>
  <c r="W116" i="4" s="1"/>
  <c r="X115" i="4"/>
  <c r="T115" i="4"/>
  <c r="U114" i="4"/>
  <c r="V114" i="4"/>
  <c r="W114" i="4" s="1"/>
  <c r="U113" i="4"/>
  <c r="V113" i="4"/>
  <c r="W113" i="4" s="1"/>
  <c r="U112" i="4"/>
  <c r="V112" i="4"/>
  <c r="W112" i="4" s="1"/>
  <c r="U111" i="4"/>
  <c r="V111" i="4"/>
  <c r="W111" i="4" s="1"/>
  <c r="T110" i="4"/>
  <c r="X110" i="4"/>
  <c r="U109" i="4"/>
  <c r="V109" i="4"/>
  <c r="U108" i="4"/>
  <c r="V108" i="4"/>
  <c r="W108" i="4" s="1"/>
  <c r="U107" i="4"/>
  <c r="V107" i="4"/>
  <c r="W107" i="4" s="1"/>
  <c r="U106" i="4"/>
  <c r="V106" i="4"/>
  <c r="W106" i="4" s="1"/>
  <c r="X105" i="4"/>
  <c r="T105" i="4"/>
  <c r="U104" i="4"/>
  <c r="V104" i="4"/>
  <c r="W104" i="4" s="1"/>
  <c r="V103" i="4"/>
  <c r="U103" i="4"/>
  <c r="U102" i="4"/>
  <c r="V102" i="4"/>
  <c r="W102" i="4" s="1"/>
  <c r="V101" i="4"/>
  <c r="U101" i="4"/>
  <c r="T100" i="4"/>
  <c r="X100" i="4"/>
  <c r="V99" i="4"/>
  <c r="U99" i="4"/>
  <c r="U98" i="4"/>
  <c r="V98" i="4"/>
  <c r="W98" i="4" s="1"/>
  <c r="V97" i="4"/>
  <c r="U97" i="4"/>
  <c r="V96" i="4"/>
  <c r="U96" i="4"/>
  <c r="T95" i="4"/>
  <c r="X95" i="4"/>
  <c r="V94" i="4"/>
  <c r="U94" i="4"/>
  <c r="U93" i="4"/>
  <c r="V93" i="4"/>
  <c r="W93" i="4" s="1"/>
  <c r="V92" i="4"/>
  <c r="U92" i="4"/>
  <c r="V91" i="4"/>
  <c r="U91" i="4"/>
  <c r="T90" i="4"/>
  <c r="X90" i="4"/>
  <c r="U89" i="4"/>
  <c r="V89" i="4"/>
  <c r="W89" i="4" s="1"/>
  <c r="U88" i="4"/>
  <c r="V88" i="4"/>
  <c r="W88" i="4" s="1"/>
  <c r="U87" i="4"/>
  <c r="V87" i="4"/>
  <c r="W87" i="4" s="1"/>
  <c r="V86" i="4"/>
  <c r="U86" i="4"/>
  <c r="T85" i="4"/>
  <c r="X85" i="4"/>
  <c r="V84" i="4"/>
  <c r="U84" i="4"/>
  <c r="U83" i="4"/>
  <c r="V83" i="4"/>
  <c r="W83" i="4" s="1"/>
  <c r="U82" i="4"/>
  <c r="V82" i="4"/>
  <c r="W82" i="4" s="1"/>
  <c r="U81" i="4"/>
  <c r="V81" i="4"/>
  <c r="W81" i="4" s="1"/>
  <c r="X80" i="4"/>
  <c r="T80" i="4"/>
  <c r="V79" i="4"/>
  <c r="U79" i="4"/>
  <c r="U78" i="4"/>
  <c r="V78" i="4"/>
  <c r="W78" i="4" s="1"/>
  <c r="U77" i="4"/>
  <c r="V77" i="4"/>
  <c r="W77" i="4" s="1"/>
  <c r="U76" i="4"/>
  <c r="V76" i="4"/>
  <c r="W76" i="4" s="1"/>
  <c r="T75" i="4"/>
  <c r="X75" i="4"/>
  <c r="U74" i="4"/>
  <c r="V74" i="4"/>
  <c r="W74" i="4" s="1"/>
  <c r="U73" i="4"/>
  <c r="V73" i="4"/>
  <c r="W73" i="4" s="1"/>
  <c r="U72" i="4"/>
  <c r="V72" i="4"/>
  <c r="W72" i="4" s="1"/>
  <c r="U71" i="4"/>
  <c r="V71" i="4"/>
  <c r="W71" i="4" s="1"/>
  <c r="X70" i="4"/>
  <c r="T70" i="4"/>
  <c r="U69" i="4"/>
  <c r="V69" i="4"/>
  <c r="W69" i="4" s="1"/>
  <c r="U68" i="4"/>
  <c r="V68" i="4"/>
  <c r="W68" i="4" s="1"/>
  <c r="U67" i="4"/>
  <c r="V67" i="4"/>
  <c r="W67" i="4" s="1"/>
  <c r="U66" i="4"/>
  <c r="V66" i="4"/>
  <c r="W66" i="4" s="1"/>
  <c r="T65" i="4"/>
  <c r="X65" i="4"/>
  <c r="U64" i="4"/>
  <c r="V64" i="4"/>
  <c r="W64" i="4" s="1"/>
  <c r="U63" i="4"/>
  <c r="V63" i="4"/>
  <c r="W63" i="4" s="1"/>
  <c r="U62" i="4"/>
  <c r="V62" i="4"/>
  <c r="W62" i="4" s="1"/>
  <c r="U61" i="4"/>
  <c r="V61" i="4"/>
  <c r="W61" i="4" s="1"/>
  <c r="X60" i="4"/>
  <c r="T60" i="4"/>
  <c r="U59" i="4"/>
  <c r="V59" i="4"/>
  <c r="W59" i="4" s="1"/>
  <c r="U58" i="4"/>
  <c r="V58" i="4"/>
  <c r="W58" i="4" s="1"/>
  <c r="U57" i="4"/>
  <c r="V57" i="4"/>
  <c r="W57" i="4" s="1"/>
  <c r="U56" i="4"/>
  <c r="V56" i="4"/>
  <c r="W56" i="4" s="1"/>
  <c r="T55" i="4"/>
  <c r="X55" i="4"/>
  <c r="U54" i="4"/>
  <c r="V54" i="4"/>
  <c r="W54" i="4" s="1"/>
  <c r="U53" i="4"/>
  <c r="V53" i="4"/>
  <c r="W53" i="4" s="1"/>
  <c r="U52" i="4"/>
  <c r="V52" i="4"/>
  <c r="W52" i="4" s="1"/>
  <c r="U51" i="4"/>
  <c r="V51" i="4"/>
  <c r="W51" i="4" s="1"/>
  <c r="X50" i="4"/>
  <c r="T50" i="4"/>
  <c r="U49" i="4"/>
  <c r="V49" i="4"/>
  <c r="W49" i="4" s="1"/>
  <c r="U48" i="4"/>
  <c r="V48" i="4"/>
  <c r="W48" i="4" s="1"/>
  <c r="U47" i="4"/>
  <c r="V47" i="4"/>
  <c r="W47" i="4" s="1"/>
  <c r="U46" i="4"/>
  <c r="V46" i="4"/>
  <c r="W46" i="4" s="1"/>
  <c r="X45" i="4"/>
  <c r="T45" i="4"/>
  <c r="U44" i="4"/>
  <c r="V44" i="4"/>
  <c r="W44" i="4" s="1"/>
  <c r="U43" i="4"/>
  <c r="V43" i="4"/>
  <c r="W43" i="4" s="1"/>
  <c r="U42" i="4"/>
  <c r="V42" i="4"/>
  <c r="W42" i="4" s="1"/>
  <c r="U41" i="4"/>
  <c r="V41" i="4"/>
  <c r="W41" i="4" s="1"/>
  <c r="X40" i="4"/>
  <c r="T40" i="4"/>
  <c r="U39" i="4"/>
  <c r="V39" i="4"/>
  <c r="W39" i="4" s="1"/>
  <c r="U38" i="4"/>
  <c r="V38" i="4"/>
  <c r="W38" i="4" s="1"/>
  <c r="U37" i="4"/>
  <c r="V37" i="4"/>
  <c r="W37" i="4" s="1"/>
  <c r="U36" i="4"/>
  <c r="V36" i="4"/>
  <c r="W36" i="4" s="1"/>
  <c r="X35" i="4"/>
  <c r="T35" i="4"/>
  <c r="U34" i="4"/>
  <c r="V34" i="4"/>
  <c r="W34" i="4" s="1"/>
  <c r="U33" i="4"/>
  <c r="V33" i="4"/>
  <c r="W33" i="4" s="1"/>
  <c r="U32" i="4"/>
  <c r="V32" i="4"/>
  <c r="W32" i="4" s="1"/>
  <c r="U31" i="4"/>
  <c r="V31" i="4"/>
  <c r="W31" i="4" s="1"/>
  <c r="X30" i="4"/>
  <c r="T30" i="4"/>
  <c r="U29" i="4"/>
  <c r="V29" i="4"/>
  <c r="W29" i="4" s="1"/>
  <c r="U28" i="4"/>
  <c r="V28" i="4"/>
  <c r="U27" i="4"/>
  <c r="V27" i="4"/>
  <c r="W27" i="4" s="1"/>
  <c r="U26" i="4"/>
  <c r="V26" i="4"/>
  <c r="W26" i="4" s="1"/>
  <c r="T25" i="4"/>
  <c r="X25" i="4"/>
  <c r="U24" i="4"/>
  <c r="V24" i="4"/>
  <c r="W24" i="4" s="1"/>
  <c r="U23" i="4"/>
  <c r="V23" i="4"/>
  <c r="W23" i="4" s="1"/>
  <c r="U22" i="4"/>
  <c r="V22" i="4"/>
  <c r="W22" i="4" s="1"/>
  <c r="U21" i="4"/>
  <c r="V21" i="4"/>
  <c r="W21" i="4" s="1"/>
  <c r="T20" i="4"/>
  <c r="X20" i="4"/>
  <c r="U19" i="4"/>
  <c r="V19" i="4"/>
  <c r="W19" i="4" s="1"/>
  <c r="U18" i="4"/>
  <c r="V18" i="4"/>
  <c r="W18" i="4" s="1"/>
  <c r="U17" i="4"/>
  <c r="V17" i="4"/>
  <c r="W17" i="4" s="1"/>
  <c r="U16" i="4"/>
  <c r="V16" i="4"/>
  <c r="W16" i="4" s="1"/>
  <c r="U15" i="4"/>
  <c r="V15" i="4"/>
  <c r="W15" i="4" s="1"/>
  <c r="T14" i="4"/>
  <c r="X14" i="4"/>
  <c r="U13" i="4"/>
  <c r="V13" i="4"/>
  <c r="W13" i="4" s="1"/>
  <c r="U12" i="4"/>
  <c r="V12" i="4"/>
  <c r="W12" i="4" s="1"/>
  <c r="U11" i="4"/>
  <c r="V11" i="4"/>
  <c r="W11" i="4" s="1"/>
  <c r="U10" i="4"/>
  <c r="V10" i="4"/>
  <c r="W10" i="4" s="1"/>
  <c r="U9" i="4"/>
  <c r="V9" i="4"/>
  <c r="W9" i="4" s="1"/>
  <c r="T8" i="4"/>
  <c r="X8" i="4"/>
  <c r="U7" i="4"/>
  <c r="V7" i="4"/>
  <c r="W7" i="4" s="1"/>
  <c r="U6" i="4"/>
  <c r="V6" i="4"/>
  <c r="W6" i="4" s="1"/>
  <c r="U5" i="4"/>
  <c r="V5" i="4"/>
  <c r="W5" i="4" s="1"/>
  <c r="U4" i="4"/>
  <c r="V4" i="4"/>
  <c r="W4" i="4" s="1"/>
  <c r="T3" i="4"/>
  <c r="X3" i="4"/>
  <c r="U325" i="10"/>
  <c r="U307" i="10"/>
  <c r="U300" i="10"/>
  <c r="U288" i="10"/>
  <c r="U276" i="10"/>
  <c r="V251" i="10"/>
  <c r="V250" i="10"/>
  <c r="U250" i="10" s="1"/>
  <c r="U238" i="10"/>
  <c r="U232" i="10"/>
  <c r="U225" i="10"/>
  <c r="U212" i="10"/>
  <c r="U205" i="10"/>
  <c r="U177" i="10"/>
  <c r="U171" i="10"/>
  <c r="U153" i="10"/>
  <c r="U135" i="10"/>
  <c r="U129" i="10"/>
  <c r="U513" i="10"/>
  <c r="U495" i="10"/>
  <c r="U463" i="10"/>
  <c r="U451" i="10"/>
  <c r="U445" i="10"/>
  <c r="U427" i="10"/>
  <c r="U397" i="10"/>
  <c r="V258" i="10"/>
  <c r="V257" i="10"/>
  <c r="U257" i="10" s="1"/>
  <c r="U439" i="10"/>
  <c r="U433" i="10"/>
  <c r="U421" i="10"/>
  <c r="U415" i="10"/>
  <c r="U409" i="10"/>
  <c r="U403" i="10"/>
  <c r="U335" i="10"/>
  <c r="U244" i="10"/>
  <c r="U84" i="10"/>
  <c r="U71" i="10"/>
  <c r="U28" i="10"/>
  <c r="V24" i="10"/>
  <c r="U23" i="10" s="1"/>
  <c r="U13" i="10"/>
  <c r="U8" i="10"/>
  <c r="U3" i="10"/>
  <c r="V614" i="4"/>
  <c r="U614" i="4"/>
  <c r="V613" i="4"/>
  <c r="U613" i="4"/>
  <c r="U612" i="4"/>
  <c r="V612" i="4"/>
  <c r="U611" i="4"/>
  <c r="V611" i="4"/>
  <c r="W611" i="4" s="1"/>
  <c r="X610" i="4"/>
  <c r="T610" i="4"/>
  <c r="W109" i="4" l="1"/>
  <c r="W613" i="4"/>
  <c r="W146" i="4"/>
  <c r="W536" i="4"/>
  <c r="W535" i="4"/>
  <c r="W534" i="4"/>
  <c r="W532" i="4"/>
  <c r="W527" i="4"/>
  <c r="W520" i="4"/>
  <c r="W516" i="4"/>
  <c r="W510" i="4"/>
  <c r="W473" i="4"/>
  <c r="W122" i="4"/>
  <c r="W176" i="4"/>
  <c r="W162" i="4"/>
  <c r="W156" i="4"/>
  <c r="W154" i="4"/>
  <c r="W152" i="4"/>
  <c r="W149" i="4"/>
  <c r="W147" i="4"/>
  <c r="U640" i="4"/>
  <c r="Z640" i="4" s="1"/>
  <c r="V640" i="4"/>
  <c r="Y640" i="4"/>
  <c r="U635" i="4"/>
  <c r="Z635" i="4" s="1"/>
  <c r="V635" i="4"/>
  <c r="Y635" i="4"/>
  <c r="U630" i="4"/>
  <c r="Z630" i="4" s="1"/>
  <c r="V630" i="4"/>
  <c r="Y630" i="4"/>
  <c r="U625" i="4"/>
  <c r="Z625" i="4" s="1"/>
  <c r="V625" i="4"/>
  <c r="Y625" i="4"/>
  <c r="U620" i="4"/>
  <c r="Z620" i="4" s="1"/>
  <c r="V620" i="4"/>
  <c r="Y620" i="4"/>
  <c r="U615" i="4"/>
  <c r="Z615" i="4" s="1"/>
  <c r="V615" i="4"/>
  <c r="Y615" i="4"/>
  <c r="U605" i="4"/>
  <c r="Z605" i="4" s="1"/>
  <c r="V605" i="4"/>
  <c r="Y605" i="4"/>
  <c r="U600" i="4"/>
  <c r="Z600" i="4" s="1"/>
  <c r="V600" i="4"/>
  <c r="Y600" i="4"/>
  <c r="U595" i="4"/>
  <c r="Z595" i="4" s="1"/>
  <c r="V595" i="4"/>
  <c r="Y595" i="4"/>
  <c r="U591" i="4"/>
  <c r="Z591" i="4" s="1"/>
  <c r="V591" i="4"/>
  <c r="Y591" i="4"/>
  <c r="U587" i="4"/>
  <c r="Z587" i="4" s="1"/>
  <c r="V587" i="4"/>
  <c r="Y587" i="4"/>
  <c r="U582" i="4"/>
  <c r="Z582" i="4" s="1"/>
  <c r="V582" i="4"/>
  <c r="Y582" i="4"/>
  <c r="U578" i="4"/>
  <c r="Z578" i="4" s="1"/>
  <c r="V578" i="4"/>
  <c r="Y578" i="4"/>
  <c r="U573" i="4"/>
  <c r="Z573" i="4" s="1"/>
  <c r="V573" i="4"/>
  <c r="Y573" i="4"/>
  <c r="U568" i="4"/>
  <c r="Z568" i="4" s="1"/>
  <c r="V568" i="4"/>
  <c r="Y568" i="4"/>
  <c r="U563" i="4"/>
  <c r="Z563" i="4" s="1"/>
  <c r="V563" i="4"/>
  <c r="Y563" i="4"/>
  <c r="U558" i="4"/>
  <c r="Z558" i="4" s="1"/>
  <c r="V558" i="4"/>
  <c r="Y558" i="4"/>
  <c r="U553" i="4"/>
  <c r="Z553" i="4" s="1"/>
  <c r="V553" i="4"/>
  <c r="Y553" i="4"/>
  <c r="U548" i="4"/>
  <c r="Z548" i="4" s="1"/>
  <c r="V548" i="4"/>
  <c r="Y548" i="4"/>
  <c r="U543" i="4"/>
  <c r="Z543" i="4" s="1"/>
  <c r="V543" i="4"/>
  <c r="Y543" i="4"/>
  <c r="U538" i="4"/>
  <c r="Z538" i="4" s="1"/>
  <c r="V538" i="4"/>
  <c r="Y538" i="4"/>
  <c r="U533" i="4"/>
  <c r="Z533" i="4" s="1"/>
  <c r="V533" i="4"/>
  <c r="Y533" i="4"/>
  <c r="V528" i="4"/>
  <c r="Y528" i="4"/>
  <c r="U528" i="4"/>
  <c r="Z528" i="4" s="1"/>
  <c r="V523" i="4"/>
  <c r="Y523" i="4"/>
  <c r="U523" i="4"/>
  <c r="Z523" i="4" s="1"/>
  <c r="U518" i="4"/>
  <c r="Z518" i="4" s="1"/>
  <c r="V518" i="4"/>
  <c r="Y518" i="4"/>
  <c r="U513" i="4"/>
  <c r="Z513" i="4" s="1"/>
  <c r="V513" i="4"/>
  <c r="Y513" i="4"/>
  <c r="U508" i="4"/>
  <c r="Z508" i="4" s="1"/>
  <c r="V508" i="4"/>
  <c r="Y508" i="4"/>
  <c r="U503" i="4"/>
  <c r="Z503" i="4" s="1"/>
  <c r="V503" i="4"/>
  <c r="Y503" i="4"/>
  <c r="U498" i="4"/>
  <c r="V498" i="4"/>
  <c r="Y498" i="4"/>
  <c r="U479" i="4"/>
  <c r="Z479" i="4" s="1"/>
  <c r="V479" i="4"/>
  <c r="Y479" i="4"/>
  <c r="U474" i="4"/>
  <c r="Z474" i="4" s="1"/>
  <c r="V474" i="4"/>
  <c r="Y474" i="4"/>
  <c r="U469" i="4"/>
  <c r="Z469" i="4" s="1"/>
  <c r="V469" i="4"/>
  <c r="Y469" i="4"/>
  <c r="U464" i="4"/>
  <c r="Z464" i="4" s="1"/>
  <c r="V464" i="4"/>
  <c r="Y464" i="4"/>
  <c r="U459" i="4"/>
  <c r="Z459" i="4" s="1"/>
  <c r="V459" i="4"/>
  <c r="Y459" i="4"/>
  <c r="U454" i="4"/>
  <c r="Z454" i="4" s="1"/>
  <c r="V454" i="4"/>
  <c r="Y454" i="4"/>
  <c r="U449" i="4"/>
  <c r="Z449" i="4" s="1"/>
  <c r="V449" i="4"/>
  <c r="Y449" i="4"/>
  <c r="U444" i="4"/>
  <c r="Z444" i="4" s="1"/>
  <c r="V444" i="4"/>
  <c r="Y444" i="4"/>
  <c r="V439" i="4"/>
  <c r="Y439" i="4"/>
  <c r="U439" i="4"/>
  <c r="Z439" i="4" s="1"/>
  <c r="V434" i="4"/>
  <c r="Y434" i="4"/>
  <c r="U434" i="4"/>
  <c r="Z434" i="4" s="1"/>
  <c r="U429" i="4"/>
  <c r="Z429" i="4" s="1"/>
  <c r="V429" i="4"/>
  <c r="Y429" i="4"/>
  <c r="Y425" i="4"/>
  <c r="U425" i="4"/>
  <c r="Z425" i="4" s="1"/>
  <c r="V425" i="4"/>
  <c r="U421" i="4"/>
  <c r="Z421" i="4" s="1"/>
  <c r="V421" i="4"/>
  <c r="Y421" i="4"/>
  <c r="U417" i="4"/>
  <c r="Z417" i="4" s="1"/>
  <c r="V417" i="4"/>
  <c r="Y417" i="4"/>
  <c r="V412" i="4"/>
  <c r="Y412" i="4"/>
  <c r="U412" i="4"/>
  <c r="Z412" i="4" s="1"/>
  <c r="U407" i="4"/>
  <c r="Z407" i="4" s="1"/>
  <c r="V407" i="4"/>
  <c r="Y407" i="4"/>
  <c r="U402" i="4"/>
  <c r="Z402" i="4" s="1"/>
  <c r="V402" i="4"/>
  <c r="Y402" i="4"/>
  <c r="Y397" i="4"/>
  <c r="U397" i="4"/>
  <c r="Z397" i="4" s="1"/>
  <c r="V397" i="4"/>
  <c r="Y392" i="4"/>
  <c r="U392" i="4"/>
  <c r="Z392" i="4" s="1"/>
  <c r="V392" i="4"/>
  <c r="V387" i="4"/>
  <c r="Y387" i="4"/>
  <c r="U387" i="4"/>
  <c r="Z387" i="4" s="1"/>
  <c r="V382" i="4"/>
  <c r="U382" i="4"/>
  <c r="Z382" i="4" s="1"/>
  <c r="Y382" i="4"/>
  <c r="U377" i="4"/>
  <c r="Z377" i="4" s="1"/>
  <c r="V377" i="4"/>
  <c r="Y377" i="4"/>
  <c r="Y372" i="4"/>
  <c r="U372" i="4"/>
  <c r="Z372" i="4" s="1"/>
  <c r="V372" i="4"/>
  <c r="U367" i="4"/>
  <c r="Z367" i="4" s="1"/>
  <c r="V367" i="4"/>
  <c r="Y367" i="4"/>
  <c r="U362" i="4"/>
  <c r="Z362" i="4" s="1"/>
  <c r="Y362" i="4"/>
  <c r="V362" i="4"/>
  <c r="V357" i="4"/>
  <c r="U357" i="4"/>
  <c r="Z357" i="4" s="1"/>
  <c r="Y357" i="4"/>
  <c r="U352" i="4"/>
  <c r="Z352" i="4" s="1"/>
  <c r="V352" i="4"/>
  <c r="Y352" i="4"/>
  <c r="U347" i="4"/>
  <c r="Z347" i="4" s="1"/>
  <c r="V347" i="4"/>
  <c r="Y347" i="4"/>
  <c r="U342" i="4"/>
  <c r="Z342" i="4" s="1"/>
  <c r="V342" i="4"/>
  <c r="Y342" i="4"/>
  <c r="U337" i="4"/>
  <c r="Z337" i="4" s="1"/>
  <c r="V337" i="4"/>
  <c r="Y337" i="4"/>
  <c r="V332" i="4"/>
  <c r="U332" i="4"/>
  <c r="Z332" i="4" s="1"/>
  <c r="Y332" i="4"/>
  <c r="U327" i="4"/>
  <c r="Z327" i="4" s="1"/>
  <c r="V327" i="4"/>
  <c r="Y327" i="4"/>
  <c r="Y322" i="4"/>
  <c r="U322" i="4"/>
  <c r="Z322" i="4" s="1"/>
  <c r="V322" i="4"/>
  <c r="V317" i="4"/>
  <c r="Y317" i="4"/>
  <c r="U317" i="4"/>
  <c r="Z317" i="4" s="1"/>
  <c r="U312" i="4"/>
  <c r="Z312" i="4" s="1"/>
  <c r="V312" i="4"/>
  <c r="Y312" i="4"/>
  <c r="U307" i="4"/>
  <c r="Z307" i="4" s="1"/>
  <c r="V307" i="4"/>
  <c r="Y307" i="4"/>
  <c r="V303" i="4"/>
  <c r="Y303" i="4"/>
  <c r="U303" i="4"/>
  <c r="Z303" i="4" s="1"/>
  <c r="U298" i="4"/>
  <c r="Z298" i="4" s="1"/>
  <c r="V298" i="4"/>
  <c r="Y298" i="4"/>
  <c r="V293" i="4"/>
  <c r="U293" i="4"/>
  <c r="Z293" i="4" s="1"/>
  <c r="Y293" i="4"/>
  <c r="Y288" i="4"/>
  <c r="U288" i="4"/>
  <c r="Z288" i="4" s="1"/>
  <c r="V288" i="4"/>
  <c r="V283" i="4"/>
  <c r="U283" i="4"/>
  <c r="Z283" i="4" s="1"/>
  <c r="Y283" i="4"/>
  <c r="V278" i="4"/>
  <c r="U278" i="4"/>
  <c r="Z278" i="4" s="1"/>
  <c r="Y278" i="4"/>
  <c r="U273" i="4"/>
  <c r="Z273" i="4" s="1"/>
  <c r="V273" i="4"/>
  <c r="Y273" i="4"/>
  <c r="U268" i="4"/>
  <c r="Z268" i="4" s="1"/>
  <c r="V268" i="4"/>
  <c r="Y268" i="4"/>
  <c r="U263" i="4"/>
  <c r="Z263" i="4" s="1"/>
  <c r="V263" i="4"/>
  <c r="Y263" i="4"/>
  <c r="V258" i="4"/>
  <c r="U258" i="4"/>
  <c r="Z258" i="4" s="1"/>
  <c r="Y258" i="4"/>
  <c r="V253" i="4"/>
  <c r="U253" i="4"/>
  <c r="Z253" i="4" s="1"/>
  <c r="Y253" i="4"/>
  <c r="V248" i="4"/>
  <c r="Y248" i="4"/>
  <c r="U248" i="4"/>
  <c r="Z248" i="4" s="1"/>
  <c r="V243" i="4"/>
  <c r="U243" i="4"/>
  <c r="Z243" i="4" s="1"/>
  <c r="Y243" i="4"/>
  <c r="U238" i="4"/>
  <c r="Z238" i="4" s="1"/>
  <c r="V238" i="4"/>
  <c r="Y238" i="4"/>
  <c r="U233" i="4"/>
  <c r="Z233" i="4" s="1"/>
  <c r="V233" i="4"/>
  <c r="Y233" i="4"/>
  <c r="U228" i="4"/>
  <c r="Z228" i="4" s="1"/>
  <c r="V228" i="4"/>
  <c r="Y228" i="4"/>
  <c r="U223" i="4"/>
  <c r="Z223" i="4" s="1"/>
  <c r="V223" i="4"/>
  <c r="Y223" i="4"/>
  <c r="U218" i="4"/>
  <c r="Z218" i="4" s="1"/>
  <c r="V218" i="4"/>
  <c r="Y218" i="4"/>
  <c r="U213" i="4"/>
  <c r="Z213" i="4" s="1"/>
  <c r="V213" i="4"/>
  <c r="Y213" i="4"/>
  <c r="U208" i="4"/>
  <c r="Z208" i="4" s="1"/>
  <c r="V208" i="4"/>
  <c r="Y208" i="4"/>
  <c r="U203" i="4"/>
  <c r="Z203" i="4" s="1"/>
  <c r="V203" i="4"/>
  <c r="Y203" i="4"/>
  <c r="V198" i="4"/>
  <c r="U198" i="4"/>
  <c r="Z198" i="4" s="1"/>
  <c r="Y198" i="4"/>
  <c r="V193" i="4"/>
  <c r="U193" i="4"/>
  <c r="Z193" i="4" s="1"/>
  <c r="Y193" i="4"/>
  <c r="U188" i="4"/>
  <c r="Z188" i="4" s="1"/>
  <c r="V188" i="4"/>
  <c r="Y188" i="4"/>
  <c r="V183" i="4"/>
  <c r="U183" i="4"/>
  <c r="Z183" i="4" s="1"/>
  <c r="Y183" i="4"/>
  <c r="U178" i="4"/>
  <c r="Z178" i="4" s="1"/>
  <c r="V178" i="4"/>
  <c r="Y178" i="4"/>
  <c r="U173" i="4"/>
  <c r="Z173" i="4" s="1"/>
  <c r="V173" i="4"/>
  <c r="Y173" i="4"/>
  <c r="V168" i="4"/>
  <c r="Y168" i="4"/>
  <c r="U168" i="4"/>
  <c r="Z168" i="4" s="1"/>
  <c r="U163" i="4"/>
  <c r="Z163" i="4" s="1"/>
  <c r="V163" i="4"/>
  <c r="Y163" i="4"/>
  <c r="U160" i="4"/>
  <c r="Z160" i="4" s="1"/>
  <c r="V160" i="4"/>
  <c r="Y160" i="4"/>
  <c r="V155" i="4"/>
  <c r="Y155" i="4"/>
  <c r="U155" i="4"/>
  <c r="Z155" i="4" s="1"/>
  <c r="V150" i="4"/>
  <c r="U150" i="4"/>
  <c r="Z150" i="4" s="1"/>
  <c r="Y150" i="4"/>
  <c r="Y145" i="4"/>
  <c r="U145" i="4"/>
  <c r="Z145" i="4" s="1"/>
  <c r="V145" i="4"/>
  <c r="U140" i="4"/>
  <c r="Z140" i="4" s="1"/>
  <c r="V140" i="4"/>
  <c r="Y140" i="4"/>
  <c r="V135" i="4"/>
  <c r="U135" i="4"/>
  <c r="Z135" i="4" s="1"/>
  <c r="Y135" i="4"/>
  <c r="V130" i="4"/>
  <c r="U130" i="4"/>
  <c r="Z130" i="4" s="1"/>
  <c r="Y130" i="4"/>
  <c r="V125" i="4"/>
  <c r="Y125" i="4"/>
  <c r="U125" i="4"/>
  <c r="Z125" i="4" s="1"/>
  <c r="U120" i="4"/>
  <c r="Z120" i="4" s="1"/>
  <c r="V120" i="4"/>
  <c r="Y120" i="4"/>
  <c r="U115" i="4"/>
  <c r="Z115" i="4" s="1"/>
  <c r="V115" i="4"/>
  <c r="Y115" i="4"/>
  <c r="U110" i="4"/>
  <c r="Z110" i="4" s="1"/>
  <c r="V110" i="4"/>
  <c r="Y110" i="4"/>
  <c r="U105" i="4"/>
  <c r="Z105" i="4" s="1"/>
  <c r="V105" i="4"/>
  <c r="Y105" i="4"/>
  <c r="U100" i="4"/>
  <c r="Z100" i="4" s="1"/>
  <c r="V100" i="4"/>
  <c r="Y100" i="4"/>
  <c r="U95" i="4"/>
  <c r="Z95" i="4" s="1"/>
  <c r="V95" i="4"/>
  <c r="Y95" i="4"/>
  <c r="V90" i="4"/>
  <c r="U90" i="4"/>
  <c r="Z90" i="4" s="1"/>
  <c r="Y90" i="4"/>
  <c r="V85" i="4"/>
  <c r="Y85" i="4"/>
  <c r="U85" i="4"/>
  <c r="Z85" i="4" s="1"/>
  <c r="U80" i="4"/>
  <c r="Z80" i="4" s="1"/>
  <c r="V80" i="4"/>
  <c r="Y80" i="4"/>
  <c r="U75" i="4"/>
  <c r="Z75" i="4" s="1"/>
  <c r="V75" i="4"/>
  <c r="Y75" i="4"/>
  <c r="U70" i="4"/>
  <c r="Z70" i="4" s="1"/>
  <c r="V70" i="4"/>
  <c r="Y70" i="4"/>
  <c r="U65" i="4"/>
  <c r="Z65" i="4" s="1"/>
  <c r="V65" i="4"/>
  <c r="Y65" i="4"/>
  <c r="U60" i="4"/>
  <c r="Z60" i="4" s="1"/>
  <c r="V60" i="4"/>
  <c r="Y60" i="4"/>
  <c r="U55" i="4"/>
  <c r="Z55" i="4" s="1"/>
  <c r="V55" i="4"/>
  <c r="Y55" i="4"/>
  <c r="U50" i="4"/>
  <c r="Z50" i="4" s="1"/>
  <c r="V50" i="4"/>
  <c r="Y50" i="4"/>
  <c r="U45" i="4"/>
  <c r="Z45" i="4" s="1"/>
  <c r="V45" i="4"/>
  <c r="Y45" i="4"/>
  <c r="U40" i="4"/>
  <c r="Z40" i="4" s="1"/>
  <c r="V40" i="4"/>
  <c r="Y40" i="4"/>
  <c r="U35" i="4"/>
  <c r="Z35" i="4" s="1"/>
  <c r="V35" i="4"/>
  <c r="Y35" i="4"/>
  <c r="U30" i="4"/>
  <c r="Z30" i="4" s="1"/>
  <c r="V30" i="4"/>
  <c r="Y30" i="4"/>
  <c r="U25" i="4"/>
  <c r="Z25" i="4" s="1"/>
  <c r="V25" i="4"/>
  <c r="Y25" i="4"/>
  <c r="U20" i="4"/>
  <c r="Z20" i="4" s="1"/>
  <c r="V20" i="4"/>
  <c r="Y20" i="4"/>
  <c r="U14" i="4"/>
  <c r="Z14" i="4" s="1"/>
  <c r="V14" i="4"/>
  <c r="Y14" i="4"/>
  <c r="U8" i="4"/>
  <c r="Z8" i="4" s="1"/>
  <c r="V8" i="4"/>
  <c r="Y8" i="4"/>
  <c r="U3" i="4"/>
  <c r="Z3" i="4" s="1"/>
  <c r="V3" i="4"/>
  <c r="Y3" i="4"/>
  <c r="W453" i="4"/>
  <c r="W448" i="4"/>
  <c r="W447" i="4"/>
  <c r="W446" i="4"/>
  <c r="W445" i="4"/>
  <c r="W443" i="4"/>
  <c r="W438" i="4"/>
  <c r="W437" i="4"/>
  <c r="W436" i="4"/>
  <c r="W435" i="4"/>
  <c r="W433" i="4"/>
  <c r="W431" i="4"/>
  <c r="W428" i="4"/>
  <c r="W424" i="4"/>
  <c r="W422" i="4"/>
  <c r="W415" i="4"/>
  <c r="W414" i="4"/>
  <c r="W411" i="4"/>
  <c r="W410" i="4"/>
  <c r="W408" i="4"/>
  <c r="W396" i="4"/>
  <c r="W394" i="4"/>
  <c r="W390" i="4"/>
  <c r="W386" i="4"/>
  <c r="W383" i="4"/>
  <c r="W381" i="4"/>
  <c r="W379" i="4"/>
  <c r="W374" i="4"/>
  <c r="W373" i="4"/>
  <c r="W361" i="4"/>
  <c r="W355" i="4"/>
  <c r="W353" i="4"/>
  <c r="W351" i="4"/>
  <c r="W345" i="4"/>
  <c r="W343" i="4"/>
  <c r="W341" i="4"/>
  <c r="W338" i="4"/>
  <c r="W336" i="4"/>
  <c r="W334" i="4"/>
  <c r="W333" i="4"/>
  <c r="W331" i="4"/>
  <c r="W328" i="4"/>
  <c r="W326" i="4"/>
  <c r="W324" i="4"/>
  <c r="W319" i="4"/>
  <c r="W318" i="4"/>
  <c r="W316" i="4"/>
  <c r="W315" i="4"/>
  <c r="W314" i="4"/>
  <c r="W313" i="4"/>
  <c r="W310" i="4"/>
  <c r="W308" i="4"/>
  <c r="W305" i="4"/>
  <c r="W186" i="4"/>
  <c r="W180" i="4"/>
  <c r="W165" i="4"/>
  <c r="W164" i="4"/>
  <c r="W161" i="4"/>
  <c r="W157" i="4"/>
  <c r="W151" i="4"/>
  <c r="W531" i="4"/>
  <c r="W522" i="4"/>
  <c r="W519" i="4"/>
  <c r="W517" i="4"/>
  <c r="W511" i="4"/>
  <c r="W509" i="4"/>
  <c r="W304" i="4"/>
  <c r="W301" i="4"/>
  <c r="W297" i="4"/>
  <c r="W295" i="4"/>
  <c r="W292" i="4"/>
  <c r="W291" i="4"/>
  <c r="W289" i="4"/>
  <c r="W284" i="4"/>
  <c r="W282" i="4"/>
  <c r="W279" i="4"/>
  <c r="W277" i="4"/>
  <c r="W275" i="4"/>
  <c r="W269" i="4"/>
  <c r="W266" i="4"/>
  <c r="W265" i="4"/>
  <c r="W257" i="4"/>
  <c r="W255" i="4"/>
  <c r="W251" i="4"/>
  <c r="W247" i="4"/>
  <c r="W246" i="4"/>
  <c r="W245" i="4"/>
  <c r="W244" i="4"/>
  <c r="W239" i="4"/>
  <c r="W232" i="4"/>
  <c r="W231" i="4"/>
  <c r="W230" i="4"/>
  <c r="W229" i="4"/>
  <c r="W212" i="4"/>
  <c r="W209" i="4"/>
  <c r="W206" i="4"/>
  <c r="W205" i="4"/>
  <c r="W201" i="4"/>
  <c r="W199" i="4"/>
  <c r="W197" i="4"/>
  <c r="W196" i="4"/>
  <c r="W194" i="4"/>
  <c r="W192" i="4"/>
  <c r="W191" i="4"/>
  <c r="W190" i="4"/>
  <c r="W179" i="4"/>
  <c r="W177" i="4"/>
  <c r="W174" i="4"/>
  <c r="W170" i="4"/>
  <c r="W153" i="4"/>
  <c r="W148" i="4"/>
  <c r="W28" i="4"/>
  <c r="W584" i="4"/>
  <c r="W537" i="4"/>
  <c r="W529" i="4"/>
  <c r="W526" i="4"/>
  <c r="W524" i="4"/>
  <c r="W521" i="4"/>
  <c r="W515" i="4"/>
  <c r="W472" i="4"/>
  <c r="W143" i="4"/>
  <c r="W142" i="4"/>
  <c r="W139" i="4"/>
  <c r="W133" i="4"/>
  <c r="W132" i="4"/>
  <c r="W129" i="4"/>
  <c r="W127" i="4"/>
  <c r="W103" i="4"/>
  <c r="W101" i="4"/>
  <c r="W99" i="4"/>
  <c r="W97" i="4"/>
  <c r="W96" i="4"/>
  <c r="W94" i="4"/>
  <c r="W92" i="4"/>
  <c r="W91" i="4"/>
  <c r="W86" i="4"/>
  <c r="W84" i="4"/>
  <c r="W79" i="4"/>
  <c r="U610" i="4"/>
  <c r="Z610" i="4" s="1"/>
  <c r="V610" i="4"/>
  <c r="Y610" i="4"/>
  <c r="W614" i="4"/>
  <c r="W612" i="4"/>
  <c r="W640" i="4" l="1"/>
  <c r="AB640" i="4" s="1"/>
  <c r="AA640" i="4"/>
  <c r="W635" i="4"/>
  <c r="AB635" i="4" s="1"/>
  <c r="AA635" i="4"/>
  <c r="W630" i="4"/>
  <c r="AB630" i="4" s="1"/>
  <c r="AA630" i="4"/>
  <c r="W625" i="4"/>
  <c r="AB625" i="4" s="1"/>
  <c r="AA625" i="4"/>
  <c r="W620" i="4"/>
  <c r="AB620" i="4" s="1"/>
  <c r="AA620" i="4"/>
  <c r="W615" i="4"/>
  <c r="AB615" i="4" s="1"/>
  <c r="AA615" i="4"/>
  <c r="W605" i="4"/>
  <c r="AB605" i="4" s="1"/>
  <c r="AA605" i="4"/>
  <c r="W600" i="4"/>
  <c r="AB600" i="4" s="1"/>
  <c r="AA600" i="4"/>
  <c r="W595" i="4"/>
  <c r="AB595" i="4" s="1"/>
  <c r="AA595" i="4"/>
  <c r="W591" i="4"/>
  <c r="AB591" i="4" s="1"/>
  <c r="AA591" i="4"/>
  <c r="W587" i="4"/>
  <c r="AB587" i="4" s="1"/>
  <c r="AA587" i="4"/>
  <c r="W582" i="4"/>
  <c r="AB582" i="4" s="1"/>
  <c r="AA582" i="4"/>
  <c r="W578" i="4"/>
  <c r="AB578" i="4" s="1"/>
  <c r="AA578" i="4"/>
  <c r="W573" i="4"/>
  <c r="AB573" i="4" s="1"/>
  <c r="AA573" i="4"/>
  <c r="W568" i="4"/>
  <c r="AB568" i="4" s="1"/>
  <c r="AA568" i="4"/>
  <c r="W563" i="4"/>
  <c r="AB563" i="4" s="1"/>
  <c r="AA563" i="4"/>
  <c r="W558" i="4"/>
  <c r="AB558" i="4" s="1"/>
  <c r="AA558" i="4"/>
  <c r="W553" i="4"/>
  <c r="AB553" i="4" s="1"/>
  <c r="AA553" i="4"/>
  <c r="W548" i="4"/>
  <c r="AB548" i="4" s="1"/>
  <c r="AA548" i="4"/>
  <c r="W543" i="4"/>
  <c r="AB543" i="4" s="1"/>
  <c r="AA543" i="4"/>
  <c r="W538" i="4"/>
  <c r="AB538" i="4" s="1"/>
  <c r="AA538" i="4"/>
  <c r="W533" i="4"/>
  <c r="AB533" i="4" s="1"/>
  <c r="AA533" i="4"/>
  <c r="W528" i="4"/>
  <c r="AB528" i="4" s="1"/>
  <c r="AA528" i="4"/>
  <c r="AA523" i="4"/>
  <c r="W523" i="4"/>
  <c r="AB523" i="4" s="1"/>
  <c r="W518" i="4"/>
  <c r="AB518" i="4" s="1"/>
  <c r="AA518" i="4"/>
  <c r="W513" i="4"/>
  <c r="AB513" i="4" s="1"/>
  <c r="AA513" i="4"/>
  <c r="W508" i="4"/>
  <c r="AB508" i="4" s="1"/>
  <c r="AA508" i="4"/>
  <c r="W503" i="4"/>
  <c r="AB503" i="4" s="1"/>
  <c r="AA503" i="4"/>
  <c r="Z498" i="4"/>
  <c r="Z494" i="4"/>
  <c r="W498" i="4"/>
  <c r="AA498" i="4"/>
  <c r="AA494" i="4"/>
  <c r="W479" i="4"/>
  <c r="AB479" i="4" s="1"/>
  <c r="AA479" i="4"/>
  <c r="W474" i="4"/>
  <c r="AB474" i="4" s="1"/>
  <c r="AA474" i="4"/>
  <c r="W469" i="4"/>
  <c r="AB469" i="4" s="1"/>
  <c r="AA469" i="4"/>
  <c r="W464" i="4"/>
  <c r="AB464" i="4" s="1"/>
  <c r="AA464" i="4"/>
  <c r="W459" i="4"/>
  <c r="AB459" i="4" s="1"/>
  <c r="AA459" i="4"/>
  <c r="W454" i="4"/>
  <c r="AB454" i="4" s="1"/>
  <c r="AA454" i="4"/>
  <c r="W449" i="4"/>
  <c r="AB449" i="4" s="1"/>
  <c r="AA449" i="4"/>
  <c r="W444" i="4"/>
  <c r="AB444" i="4" s="1"/>
  <c r="AA444" i="4"/>
  <c r="W439" i="4"/>
  <c r="AB439" i="4" s="1"/>
  <c r="AA439" i="4"/>
  <c r="W434" i="4"/>
  <c r="AB434" i="4" s="1"/>
  <c r="AA434" i="4"/>
  <c r="W429" i="4"/>
  <c r="AB429" i="4" s="1"/>
  <c r="AA429" i="4"/>
  <c r="W425" i="4"/>
  <c r="AB425" i="4" s="1"/>
  <c r="AA425" i="4"/>
  <c r="W421" i="4"/>
  <c r="AB421" i="4" s="1"/>
  <c r="AA421" i="4"/>
  <c r="W417" i="4"/>
  <c r="AB417" i="4" s="1"/>
  <c r="AA417" i="4"/>
  <c r="W412" i="4"/>
  <c r="AB412" i="4" s="1"/>
  <c r="AA412" i="4"/>
  <c r="W407" i="4"/>
  <c r="AB407" i="4" s="1"/>
  <c r="AA407" i="4"/>
  <c r="W402" i="4"/>
  <c r="AB402" i="4" s="1"/>
  <c r="AA402" i="4"/>
  <c r="W397" i="4"/>
  <c r="AB397" i="4" s="1"/>
  <c r="AA397" i="4"/>
  <c r="W392" i="4"/>
  <c r="AB392" i="4" s="1"/>
  <c r="AA392" i="4"/>
  <c r="W387" i="4"/>
  <c r="AB387" i="4" s="1"/>
  <c r="AA387" i="4"/>
  <c r="W382" i="4"/>
  <c r="AB382" i="4" s="1"/>
  <c r="AA382" i="4"/>
  <c r="W377" i="4"/>
  <c r="AB377" i="4" s="1"/>
  <c r="AA377" i="4"/>
  <c r="AA372" i="4"/>
  <c r="W372" i="4"/>
  <c r="AB372" i="4" s="1"/>
  <c r="W367" i="4"/>
  <c r="AB367" i="4" s="1"/>
  <c r="AA367" i="4"/>
  <c r="W362" i="4"/>
  <c r="AB362" i="4" s="1"/>
  <c r="AA362" i="4"/>
  <c r="W357" i="4"/>
  <c r="AB357" i="4" s="1"/>
  <c r="AA357" i="4"/>
  <c r="W352" i="4"/>
  <c r="AB352" i="4" s="1"/>
  <c r="AA352" i="4"/>
  <c r="W347" i="4"/>
  <c r="AB347" i="4" s="1"/>
  <c r="AA347" i="4"/>
  <c r="W342" i="4"/>
  <c r="AB342" i="4" s="1"/>
  <c r="AA342" i="4"/>
  <c r="W337" i="4"/>
  <c r="AB337" i="4" s="1"/>
  <c r="AA337" i="4"/>
  <c r="W332" i="4"/>
  <c r="AB332" i="4" s="1"/>
  <c r="AA332" i="4"/>
  <c r="W327" i="4"/>
  <c r="AB327" i="4" s="1"/>
  <c r="AA327" i="4"/>
  <c r="AA322" i="4"/>
  <c r="W322" i="4"/>
  <c r="AB322" i="4" s="1"/>
  <c r="W317" i="4"/>
  <c r="AB317" i="4" s="1"/>
  <c r="AA317" i="4"/>
  <c r="W312" i="4"/>
  <c r="AB312" i="4" s="1"/>
  <c r="AA312" i="4"/>
  <c r="W307" i="4"/>
  <c r="AB307" i="4" s="1"/>
  <c r="AA307" i="4"/>
  <c r="W303" i="4"/>
  <c r="AB303" i="4" s="1"/>
  <c r="AA303" i="4"/>
  <c r="W298" i="4"/>
  <c r="AB298" i="4" s="1"/>
  <c r="AA298" i="4"/>
  <c r="AA293" i="4"/>
  <c r="W293" i="4"/>
  <c r="AB293" i="4" s="1"/>
  <c r="AA288" i="4"/>
  <c r="W288" i="4"/>
  <c r="AB288" i="4" s="1"/>
  <c r="AA283" i="4"/>
  <c r="W283" i="4"/>
  <c r="AB283" i="4" s="1"/>
  <c r="W278" i="4"/>
  <c r="AB278" i="4" s="1"/>
  <c r="AA278" i="4"/>
  <c r="W273" i="4"/>
  <c r="AB273" i="4" s="1"/>
  <c r="AA273" i="4"/>
  <c r="W268" i="4"/>
  <c r="AB268" i="4" s="1"/>
  <c r="AA268" i="4"/>
  <c r="W263" i="4"/>
  <c r="AB263" i="4" s="1"/>
  <c r="AA263" i="4"/>
  <c r="AA258" i="4"/>
  <c r="W258" i="4"/>
  <c r="AB258" i="4" s="1"/>
  <c r="W253" i="4"/>
  <c r="AB253" i="4" s="1"/>
  <c r="AA253" i="4"/>
  <c r="W248" i="4"/>
  <c r="AB248" i="4" s="1"/>
  <c r="AA248" i="4"/>
  <c r="AA243" i="4"/>
  <c r="W243" i="4"/>
  <c r="AB243" i="4" s="1"/>
  <c r="W238" i="4"/>
  <c r="AB238" i="4" s="1"/>
  <c r="AA238" i="4"/>
  <c r="W233" i="4"/>
  <c r="AB233" i="4" s="1"/>
  <c r="AA233" i="4"/>
  <c r="W228" i="4"/>
  <c r="AB228" i="4" s="1"/>
  <c r="AA228" i="4"/>
  <c r="W223" i="4"/>
  <c r="AB223" i="4" s="1"/>
  <c r="AA223" i="4"/>
  <c r="W218" i="4"/>
  <c r="AB218" i="4" s="1"/>
  <c r="AA218" i="4"/>
  <c r="W213" i="4"/>
  <c r="AB213" i="4" s="1"/>
  <c r="AA213" i="4"/>
  <c r="W208" i="4"/>
  <c r="AB208" i="4" s="1"/>
  <c r="AA208" i="4"/>
  <c r="W203" i="4"/>
  <c r="AB203" i="4" s="1"/>
  <c r="AA203" i="4"/>
  <c r="W198" i="4"/>
  <c r="AB198" i="4" s="1"/>
  <c r="AA198" i="4"/>
  <c r="AA193" i="4"/>
  <c r="W193" i="4"/>
  <c r="AB193" i="4" s="1"/>
  <c r="AA188" i="4"/>
  <c r="W188" i="4"/>
  <c r="AB188" i="4" s="1"/>
  <c r="W183" i="4"/>
  <c r="AB183" i="4" s="1"/>
  <c r="AA183" i="4"/>
  <c r="W178" i="4"/>
  <c r="AB178" i="4" s="1"/>
  <c r="AA178" i="4"/>
  <c r="W173" i="4"/>
  <c r="AB173" i="4" s="1"/>
  <c r="AA173" i="4"/>
  <c r="W168" i="4"/>
  <c r="AB168" i="4" s="1"/>
  <c r="AA168" i="4"/>
  <c r="W163" i="4"/>
  <c r="AB163" i="4" s="1"/>
  <c r="AA163" i="4"/>
  <c r="W160" i="4"/>
  <c r="AB160" i="4" s="1"/>
  <c r="AA160" i="4"/>
  <c r="W155" i="4"/>
  <c r="AB155" i="4" s="1"/>
  <c r="AA155" i="4"/>
  <c r="W150" i="4"/>
  <c r="AB150" i="4" s="1"/>
  <c r="AA150" i="4"/>
  <c r="W145" i="4"/>
  <c r="AB145" i="4" s="1"/>
  <c r="AA145" i="4"/>
  <c r="AA140" i="4"/>
  <c r="W140" i="4"/>
  <c r="AB140" i="4" s="1"/>
  <c r="AA135" i="4"/>
  <c r="W135" i="4"/>
  <c r="AB135" i="4" s="1"/>
  <c r="AA130" i="4"/>
  <c r="W130" i="4"/>
  <c r="AB130" i="4" s="1"/>
  <c r="W125" i="4"/>
  <c r="AB125" i="4" s="1"/>
  <c r="AA125" i="4"/>
  <c r="W120" i="4"/>
  <c r="AB120" i="4" s="1"/>
  <c r="AA120" i="4"/>
  <c r="W115" i="4"/>
  <c r="AB115" i="4" s="1"/>
  <c r="AA115" i="4"/>
  <c r="W110" i="4"/>
  <c r="AB110" i="4" s="1"/>
  <c r="AA110" i="4"/>
  <c r="W105" i="4"/>
  <c r="AB105" i="4" s="1"/>
  <c r="AA105" i="4"/>
  <c r="W100" i="4"/>
  <c r="AB100" i="4" s="1"/>
  <c r="AA100" i="4"/>
  <c r="W95" i="4"/>
  <c r="AB95" i="4" s="1"/>
  <c r="AA95" i="4"/>
  <c r="W90" i="4"/>
  <c r="AB90" i="4" s="1"/>
  <c r="AA90" i="4"/>
  <c r="AA85" i="4"/>
  <c r="W85" i="4"/>
  <c r="AB85" i="4" s="1"/>
  <c r="AA80" i="4"/>
  <c r="W80" i="4"/>
  <c r="AB80" i="4" s="1"/>
  <c r="W75" i="4"/>
  <c r="AB75" i="4" s="1"/>
  <c r="AA75" i="4"/>
  <c r="W70" i="4"/>
  <c r="AB70" i="4" s="1"/>
  <c r="AA70" i="4"/>
  <c r="W65" i="4"/>
  <c r="AB65" i="4" s="1"/>
  <c r="AA65" i="4"/>
  <c r="W60" i="4"/>
  <c r="AB60" i="4" s="1"/>
  <c r="AA60" i="4"/>
  <c r="W55" i="4"/>
  <c r="AB55" i="4" s="1"/>
  <c r="AA55" i="4"/>
  <c r="W50" i="4"/>
  <c r="AB50" i="4" s="1"/>
  <c r="AA50" i="4"/>
  <c r="W45" i="4"/>
  <c r="AB45" i="4" s="1"/>
  <c r="AA45" i="4"/>
  <c r="W40" i="4"/>
  <c r="AB40" i="4" s="1"/>
  <c r="AA40" i="4"/>
  <c r="W35" i="4"/>
  <c r="AB35" i="4" s="1"/>
  <c r="AA35" i="4"/>
  <c r="W30" i="4"/>
  <c r="AB30" i="4" s="1"/>
  <c r="AA30" i="4"/>
  <c r="W25" i="4"/>
  <c r="AB25" i="4" s="1"/>
  <c r="AA25" i="4"/>
  <c r="W20" i="4"/>
  <c r="AB20" i="4" s="1"/>
  <c r="AA20" i="4"/>
  <c r="W14" i="4"/>
  <c r="AB14" i="4" s="1"/>
  <c r="AA14" i="4"/>
  <c r="W8" i="4"/>
  <c r="AB8" i="4" s="1"/>
  <c r="AA8" i="4"/>
  <c r="W3" i="4"/>
  <c r="AB3" i="4" s="1"/>
  <c r="AA3" i="4"/>
  <c r="W610" i="4"/>
  <c r="AB610" i="4" s="1"/>
  <c r="AA610" i="4"/>
  <c r="AB498" i="4" l="1"/>
  <c r="AB494" i="4"/>
</calcChain>
</file>

<file path=xl/sharedStrings.xml><?xml version="1.0" encoding="utf-8"?>
<sst xmlns="http://schemas.openxmlformats.org/spreadsheetml/2006/main" count="10041" uniqueCount="586">
  <si>
    <r>
      <rPr>
        <sz val="12"/>
        <color theme="1"/>
        <rFont val="宋体"/>
        <family val="3"/>
        <charset val="134"/>
      </rPr>
      <t>阶段名称</t>
    </r>
  </si>
  <si>
    <r>
      <rPr>
        <sz val="12"/>
        <color theme="1"/>
        <rFont val="宋体"/>
        <family val="3"/>
        <charset val="134"/>
      </rPr>
      <t>步骤名称</t>
    </r>
  </si>
  <si>
    <r>
      <rPr>
        <sz val="12"/>
        <color theme="1"/>
        <rFont val="宋体"/>
        <family val="3"/>
        <charset val="134"/>
      </rPr>
      <t>输入数据</t>
    </r>
  </si>
  <si>
    <r>
      <rPr>
        <sz val="12"/>
        <color theme="1"/>
        <rFont val="宋体"/>
        <family val="3"/>
        <charset val="134"/>
      </rPr>
      <t>输出数据</t>
    </r>
  </si>
  <si>
    <r>
      <rPr>
        <sz val="12"/>
        <color theme="1"/>
        <rFont val="宋体"/>
        <family val="3"/>
        <charset val="134"/>
      </rPr>
      <t>关键技术要求</t>
    </r>
    <r>
      <rPr>
        <sz val="12"/>
        <color theme="1"/>
        <rFont val="Times New Roman"/>
        <family val="1"/>
      </rPr>
      <t>/</t>
    </r>
    <r>
      <rPr>
        <sz val="12"/>
        <color theme="1"/>
        <rFont val="宋体"/>
        <family val="3"/>
        <charset val="134"/>
      </rPr>
      <t>规范依据</t>
    </r>
  </si>
  <si>
    <t>-</t>
  </si>
  <si>
    <r>
      <rPr>
        <sz val="12"/>
        <color theme="1"/>
        <rFont val="宋体"/>
        <family val="3"/>
        <charset val="134"/>
      </rPr>
      <t>新集料、</t>
    </r>
    <r>
      <rPr>
        <sz val="12"/>
        <color theme="1"/>
        <rFont val="Times New Roman"/>
        <family val="1"/>
      </rPr>
      <t>RAP</t>
    </r>
    <r>
      <rPr>
        <sz val="12"/>
        <color theme="1"/>
        <rFont val="宋体"/>
        <family val="3"/>
        <charset val="134"/>
      </rPr>
      <t>料样品</t>
    </r>
  </si>
  <si>
    <r>
      <rPr>
        <sz val="12"/>
        <color theme="1"/>
        <rFont val="宋体"/>
        <family val="3"/>
        <charset val="134"/>
      </rPr>
      <t>集料级配曲线、</t>
    </r>
    <r>
      <rPr>
        <sz val="12"/>
        <color theme="1"/>
        <rFont val="Times New Roman"/>
        <family val="1"/>
      </rPr>
      <t>RAP</t>
    </r>
    <r>
      <rPr>
        <sz val="12"/>
        <color theme="1"/>
        <rFont val="宋体"/>
        <family val="3"/>
        <charset val="134"/>
      </rPr>
      <t>沥青含量、集料密度指标</t>
    </r>
  </si>
  <si>
    <r>
      <rPr>
        <sz val="12"/>
        <color theme="1"/>
        <rFont val="宋体"/>
        <family val="3"/>
        <charset val="134"/>
      </rPr>
      <t>新集料各档位样品、</t>
    </r>
    <r>
      <rPr>
        <sz val="12"/>
        <color theme="1"/>
        <rFont val="Times New Roman"/>
        <family val="1"/>
      </rPr>
      <t>RAP</t>
    </r>
    <r>
      <rPr>
        <sz val="12"/>
        <color theme="1"/>
        <rFont val="宋体"/>
        <family val="3"/>
        <charset val="134"/>
      </rPr>
      <t>各档位样品</t>
    </r>
  </si>
  <si>
    <r>
      <rPr>
        <sz val="12"/>
        <color theme="1"/>
        <rFont val="宋体"/>
        <family val="3"/>
        <charset val="134"/>
      </rPr>
      <t>新集料级配曲线、</t>
    </r>
    <r>
      <rPr>
        <sz val="12"/>
        <color theme="1"/>
        <rFont val="Times New Roman"/>
        <family val="1"/>
      </rPr>
      <t>RAP</t>
    </r>
    <r>
      <rPr>
        <sz val="12"/>
        <color theme="1"/>
        <rFont val="宋体"/>
        <family val="3"/>
        <charset val="134"/>
      </rPr>
      <t>沥青含量、</t>
    </r>
    <r>
      <rPr>
        <sz val="12"/>
        <color theme="1"/>
        <rFont val="Times New Roman"/>
        <family val="1"/>
      </rPr>
      <t>RAP</t>
    </r>
    <r>
      <rPr>
        <sz val="12"/>
        <color theme="1"/>
        <rFont val="宋体"/>
        <family val="3"/>
        <charset val="134"/>
      </rPr>
      <t>矿料级配曲线</t>
    </r>
  </si>
  <si>
    <r>
      <rPr>
        <sz val="12"/>
        <color theme="1"/>
        <rFont val="宋体"/>
        <family val="3"/>
        <charset val="134"/>
      </rPr>
      <t>粗细集料代表性样品</t>
    </r>
  </si>
  <si>
    <r>
      <rPr>
        <sz val="12"/>
        <color theme="1"/>
        <rFont val="宋体"/>
        <family val="3"/>
        <charset val="134"/>
      </rPr>
      <t>集料表观相对密度、表干相对密度、毛体积密度</t>
    </r>
  </si>
  <si>
    <r>
      <rPr>
        <sz val="12"/>
        <color theme="1"/>
        <rFont val="宋体"/>
        <family val="3"/>
        <charset val="134"/>
      </rPr>
      <t>粗细集料划分阈值遵循</t>
    </r>
    <r>
      <rPr>
        <sz val="12"/>
        <color theme="1"/>
        <rFont val="Times New Roman"/>
        <family val="1"/>
      </rPr>
      <t>2.36mm</t>
    </r>
    <r>
      <rPr>
        <sz val="12"/>
        <color theme="1"/>
        <rFont val="宋体"/>
        <family val="3"/>
        <charset val="134"/>
      </rPr>
      <t>或</t>
    </r>
    <r>
      <rPr>
        <sz val="12"/>
        <color theme="1"/>
        <rFont val="Times New Roman"/>
        <family val="1"/>
      </rPr>
      <t>4.75mm</t>
    </r>
    <r>
      <rPr>
        <sz val="12"/>
        <color theme="1"/>
        <rFont val="宋体"/>
        <family val="3"/>
        <charset val="134"/>
      </rPr>
      <t>标准</t>
    </r>
  </si>
  <si>
    <r>
      <rPr>
        <sz val="12"/>
        <color theme="1"/>
        <rFont val="宋体"/>
        <family val="3"/>
        <charset val="134"/>
      </rPr>
      <t>确定</t>
    </r>
    <r>
      <rPr>
        <sz val="12"/>
        <color theme="1"/>
        <rFont val="Times New Roman"/>
        <family val="1"/>
      </rPr>
      <t>RAP</t>
    </r>
    <r>
      <rPr>
        <sz val="12"/>
        <color theme="1"/>
        <rFont val="宋体"/>
        <family val="3"/>
        <charset val="134"/>
      </rPr>
      <t>掺配比例，设计合成级配，验证体积指标并选定最佳沥青用量</t>
    </r>
  </si>
  <si>
    <r>
      <rPr>
        <sz val="12"/>
        <color theme="1"/>
        <rFont val="宋体"/>
        <family val="3"/>
        <charset val="134"/>
      </rPr>
      <t>原材料基础性能数据</t>
    </r>
  </si>
  <si>
    <r>
      <rPr>
        <sz val="12"/>
        <color theme="1"/>
        <rFont val="宋体"/>
        <family val="3"/>
        <charset val="134"/>
      </rPr>
      <t>级配曲线无</t>
    </r>
    <r>
      <rPr>
        <sz val="12"/>
        <color theme="1"/>
        <rFont val="Times New Roman"/>
        <family val="1"/>
      </rPr>
      <t>0.3-0.6mm</t>
    </r>
    <r>
      <rPr>
        <sz val="12"/>
        <color theme="1"/>
        <rFont val="宋体"/>
        <family val="3"/>
        <charset val="134"/>
      </rPr>
      <t>驼峰</t>
    </r>
  </si>
  <si>
    <r>
      <rPr>
        <sz val="12"/>
        <color theme="1"/>
        <rFont val="宋体"/>
        <family val="3"/>
        <charset val="134"/>
      </rPr>
      <t>新集料级配曲线、</t>
    </r>
    <r>
      <rPr>
        <sz val="12"/>
        <color theme="1"/>
        <rFont val="Times New Roman"/>
        <family val="1"/>
      </rPr>
      <t>RAP</t>
    </r>
    <r>
      <rPr>
        <sz val="12"/>
        <color theme="1"/>
        <rFont val="宋体"/>
        <family val="3"/>
        <charset val="134"/>
      </rPr>
      <t>矿料级配曲线</t>
    </r>
  </si>
  <si>
    <r>
      <rPr>
        <sz val="12"/>
        <color theme="1"/>
        <rFont val="宋体"/>
        <family val="3"/>
        <charset val="134"/>
      </rPr>
      <t>合成级配方案、预估沥青用量</t>
    </r>
  </si>
  <si>
    <r>
      <rPr>
        <sz val="12"/>
        <color theme="1"/>
        <rFont val="宋体"/>
        <family val="3"/>
        <charset val="134"/>
      </rPr>
      <t>马歇尔试件、理论最大密度、毛体积密度、最佳沥青用量（</t>
    </r>
    <r>
      <rPr>
        <sz val="12"/>
        <color theme="1"/>
        <rFont val="Times New Roman"/>
        <family val="1"/>
      </rPr>
      <t>OAC</t>
    </r>
    <r>
      <rPr>
        <sz val="12"/>
        <color theme="1"/>
        <rFont val="宋体"/>
        <family val="3"/>
        <charset val="134"/>
      </rPr>
      <t>）</t>
    </r>
  </si>
  <si>
    <r>
      <rPr>
        <sz val="12"/>
        <color theme="1"/>
        <rFont val="宋体"/>
        <family val="3"/>
        <charset val="134"/>
      </rPr>
      <t>空隙率计算公式：</t>
    </r>
    <r>
      <rPr>
        <sz val="12"/>
        <color theme="1"/>
        <rFont val="Times New Roman"/>
        <family val="1"/>
      </rPr>
      <t>VV=(1-</t>
    </r>
    <r>
      <rPr>
        <sz val="12"/>
        <color theme="1"/>
        <rFont val="宋体"/>
        <family val="3"/>
        <charset val="134"/>
      </rPr>
      <t>毛体积密度</t>
    </r>
    <r>
      <rPr>
        <sz val="12"/>
        <color theme="1"/>
        <rFont val="Times New Roman"/>
        <family val="1"/>
      </rPr>
      <t>/</t>
    </r>
    <r>
      <rPr>
        <sz val="12"/>
        <color theme="1"/>
        <rFont val="宋体"/>
        <family val="3"/>
        <charset val="134"/>
      </rPr>
      <t>理论最大密度</t>
    </r>
    <r>
      <rPr>
        <sz val="12"/>
        <color theme="1"/>
        <rFont val="Times New Roman"/>
        <family val="1"/>
      </rPr>
      <t xml:space="preserve">)×100% </t>
    </r>
    <r>
      <rPr>
        <b/>
        <sz val="12"/>
        <color theme="1"/>
        <rFont val="宋体"/>
        <family val="3"/>
        <charset val="134"/>
      </rPr>
      <t>（</t>
    </r>
    <r>
      <rPr>
        <b/>
        <sz val="12"/>
        <color theme="1"/>
        <rFont val="Times New Roman"/>
        <family val="1"/>
      </rPr>
      <t>3%&lt;VV&lt;6%</t>
    </r>
    <r>
      <rPr>
        <b/>
        <sz val="12"/>
        <color theme="1"/>
        <rFont val="宋体"/>
        <family val="3"/>
        <charset val="134"/>
      </rPr>
      <t>，一般取</t>
    </r>
    <r>
      <rPr>
        <b/>
        <sz val="12"/>
        <color theme="1"/>
        <rFont val="Times New Roman"/>
        <family val="1"/>
      </rPr>
      <t>4%</t>
    </r>
    <r>
      <rPr>
        <b/>
        <sz val="12"/>
        <color theme="1"/>
        <rFont val="宋体"/>
        <family val="3"/>
        <charset val="134"/>
      </rPr>
      <t>）</t>
    </r>
  </si>
  <si>
    <r>
      <rPr>
        <sz val="12"/>
        <color theme="1"/>
        <rFont val="宋体"/>
        <family val="3"/>
        <charset val="134"/>
      </rPr>
      <t>最佳配比混合料试件</t>
    </r>
  </si>
  <si>
    <r>
      <rPr>
        <sz val="12"/>
        <color theme="1"/>
        <rFont val="宋体"/>
        <family val="3"/>
        <charset val="134"/>
      </rPr>
      <t>马歇尔稳定度</t>
    </r>
    <r>
      <rPr>
        <sz val="12"/>
        <color theme="1"/>
        <rFont val="Times New Roman"/>
        <family val="1"/>
      </rPr>
      <t>(MS)/</t>
    </r>
    <r>
      <rPr>
        <sz val="12"/>
        <color theme="1"/>
        <rFont val="宋体"/>
        <family val="3"/>
        <charset val="134"/>
      </rPr>
      <t>流值</t>
    </r>
    <r>
      <rPr>
        <sz val="12"/>
        <color theme="1"/>
        <rFont val="Times New Roman"/>
        <family val="1"/>
      </rPr>
      <t>(FL)</t>
    </r>
    <r>
      <rPr>
        <sz val="12"/>
        <color theme="1"/>
        <rFont val="宋体"/>
        <family val="3"/>
        <charset val="134"/>
      </rPr>
      <t>、冻融劈裂强度比</t>
    </r>
    <r>
      <rPr>
        <sz val="12"/>
        <color theme="1"/>
        <rFont val="Times New Roman"/>
        <family val="1"/>
      </rPr>
      <t>(TSR)</t>
    </r>
    <r>
      <rPr>
        <sz val="12"/>
        <color theme="1"/>
        <rFont val="宋体"/>
        <family val="3"/>
        <charset val="134"/>
      </rPr>
      <t>、动稳定度</t>
    </r>
    <r>
      <rPr>
        <sz val="12"/>
        <color theme="1"/>
        <rFont val="Times New Roman"/>
        <family val="1"/>
      </rPr>
      <t>(DS)</t>
    </r>
    <r>
      <rPr>
        <sz val="12"/>
        <color theme="1"/>
        <rFont val="宋体"/>
        <family val="3"/>
        <charset val="134"/>
      </rPr>
      <t>、弯拉性能指标</t>
    </r>
  </si>
  <si>
    <r>
      <rPr>
        <sz val="12"/>
        <color theme="1"/>
        <rFont val="宋体"/>
        <family val="3"/>
        <charset val="134"/>
      </rPr>
      <t>各项试验温度、保温时长、加载速率遵循规范要求</t>
    </r>
  </si>
  <si>
    <r>
      <rPr>
        <sz val="12"/>
        <color theme="1"/>
        <rFont val="宋体"/>
        <family val="3"/>
        <charset val="134"/>
      </rPr>
      <t>最佳配比马歇尔试件</t>
    </r>
  </si>
  <si>
    <r>
      <rPr>
        <b/>
        <sz val="12"/>
        <color theme="1"/>
        <rFont val="宋体"/>
        <family val="3"/>
        <charset val="134"/>
      </rPr>
      <t>稳定度</t>
    </r>
    <r>
      <rPr>
        <b/>
        <sz val="12"/>
        <color theme="1"/>
        <rFont val="Times New Roman"/>
        <family val="1"/>
      </rPr>
      <t>(MS)</t>
    </r>
    <r>
      <rPr>
        <b/>
        <sz val="12"/>
        <color theme="1"/>
        <rFont val="宋体"/>
        <family val="3"/>
        <charset val="134"/>
      </rPr>
      <t>＞</t>
    </r>
    <r>
      <rPr>
        <b/>
        <sz val="12"/>
        <color theme="1"/>
        <rFont val="Times New Roman"/>
        <family val="1"/>
      </rPr>
      <t xml:space="preserve">8kN
</t>
    </r>
    <r>
      <rPr>
        <b/>
        <sz val="12"/>
        <color theme="1"/>
        <rFont val="宋体"/>
        <family val="3"/>
        <charset val="134"/>
      </rPr>
      <t>流值</t>
    </r>
    <r>
      <rPr>
        <b/>
        <sz val="12"/>
        <color theme="1"/>
        <rFont val="Times New Roman"/>
        <family val="1"/>
      </rPr>
      <t>(FL)</t>
    </r>
    <r>
      <rPr>
        <b/>
        <sz val="12"/>
        <color theme="1"/>
        <rFont val="宋体"/>
        <family val="3"/>
        <charset val="134"/>
      </rPr>
      <t>设计范围是</t>
    </r>
    <r>
      <rPr>
        <b/>
        <sz val="12"/>
        <color theme="1"/>
        <rFont val="Times New Roman"/>
        <family val="1"/>
      </rPr>
      <t xml:space="preserve"> 2.0 ~ 4.0 mm</t>
    </r>
  </si>
  <si>
    <r>
      <rPr>
        <sz val="12"/>
        <color theme="1"/>
        <rFont val="宋体"/>
        <family val="3"/>
        <charset val="134"/>
      </rPr>
      <t>试验温度</t>
    </r>
    <r>
      <rPr>
        <sz val="12"/>
        <color theme="1"/>
        <rFont val="Times New Roman"/>
        <family val="1"/>
      </rPr>
      <t>60</t>
    </r>
    <r>
      <rPr>
        <sz val="12"/>
        <color theme="1"/>
        <rFont val="宋体"/>
        <family val="3"/>
        <charset val="134"/>
      </rPr>
      <t>℃；加载速率</t>
    </r>
    <r>
      <rPr>
        <sz val="12"/>
        <color theme="1"/>
        <rFont val="Times New Roman"/>
        <family val="1"/>
      </rPr>
      <t>50mm/min</t>
    </r>
  </si>
  <si>
    <r>
      <rPr>
        <sz val="12"/>
        <color theme="1"/>
        <rFont val="宋体"/>
        <family val="3"/>
        <charset val="134"/>
      </rPr>
      <t>最佳配比马歇尔试件（两组）</t>
    </r>
  </si>
  <si>
    <r>
      <rPr>
        <b/>
        <sz val="12"/>
        <color theme="1"/>
        <rFont val="宋体"/>
        <family val="3"/>
        <charset val="134"/>
      </rPr>
      <t>冻融劈裂强度比</t>
    </r>
    <r>
      <rPr>
        <b/>
        <sz val="12"/>
        <color theme="1"/>
        <rFont val="Times New Roman"/>
        <family val="1"/>
      </rPr>
      <t xml:space="preserve">(TSR)&gt;75%
</t>
    </r>
    <r>
      <rPr>
        <b/>
        <sz val="12"/>
        <color theme="1"/>
        <rFont val="宋体"/>
        <family val="3"/>
        <charset val="134"/>
      </rPr>
      <t>残留稳定度比</t>
    </r>
    <r>
      <rPr>
        <b/>
        <sz val="12"/>
        <color theme="1"/>
        <rFont val="Times New Roman"/>
        <family val="1"/>
      </rPr>
      <t>&gt;85%</t>
    </r>
  </si>
  <si>
    <r>
      <rPr>
        <sz val="12"/>
        <color theme="1"/>
        <rFont val="宋体"/>
        <family val="3"/>
        <charset val="134"/>
      </rPr>
      <t>冷冻温度</t>
    </r>
    <r>
      <rPr>
        <sz val="12"/>
        <color theme="1"/>
        <rFont val="Times New Roman"/>
        <family val="1"/>
      </rPr>
      <t>-18</t>
    </r>
    <r>
      <rPr>
        <sz val="12"/>
        <color theme="1"/>
        <rFont val="宋体"/>
        <family val="3"/>
        <charset val="134"/>
      </rPr>
      <t>℃；浸水时长</t>
    </r>
    <r>
      <rPr>
        <sz val="12"/>
        <color theme="1"/>
        <rFont val="Times New Roman"/>
        <family val="1"/>
      </rPr>
      <t>48h</t>
    </r>
  </si>
  <si>
    <r>
      <rPr>
        <sz val="12"/>
        <color theme="1"/>
        <rFont val="宋体"/>
        <family val="3"/>
        <charset val="134"/>
      </rPr>
      <t>最佳配比混合料</t>
    </r>
  </si>
  <si>
    <r>
      <rPr>
        <sz val="12"/>
        <color theme="1"/>
        <rFont val="宋体"/>
        <family val="3"/>
        <charset val="134"/>
      </rPr>
      <t xml:space="preserve">车辙板试件
</t>
    </r>
    <r>
      <rPr>
        <b/>
        <sz val="12"/>
        <color theme="1"/>
        <rFont val="宋体"/>
        <family val="3"/>
        <charset val="134"/>
      </rPr>
      <t>动稳定度</t>
    </r>
    <r>
      <rPr>
        <b/>
        <sz val="12"/>
        <color theme="1"/>
        <rFont val="Times New Roman"/>
        <family val="1"/>
      </rPr>
      <t>(DS)&gt;800</t>
    </r>
    <r>
      <rPr>
        <b/>
        <sz val="12"/>
        <color theme="1"/>
        <rFont val="宋体"/>
        <family val="3"/>
        <charset val="134"/>
      </rPr>
      <t>次</t>
    </r>
    <r>
      <rPr>
        <b/>
        <sz val="12"/>
        <color theme="1"/>
        <rFont val="Times New Roman"/>
        <family val="1"/>
      </rPr>
      <t>/mm</t>
    </r>
  </si>
  <si>
    <r>
      <rPr>
        <sz val="12"/>
        <color theme="1"/>
        <rFont val="宋体"/>
        <family val="3"/>
        <charset val="134"/>
      </rPr>
      <t>试件尺寸</t>
    </r>
    <r>
      <rPr>
        <sz val="12"/>
        <color theme="1"/>
        <rFont val="Times New Roman"/>
        <family val="1"/>
      </rPr>
      <t>300×300×50mm</t>
    </r>
    <r>
      <rPr>
        <sz val="12"/>
        <color theme="1"/>
        <rFont val="宋体"/>
        <family val="3"/>
        <charset val="134"/>
      </rPr>
      <t>；轮压</t>
    </r>
    <r>
      <rPr>
        <sz val="12"/>
        <color theme="1"/>
        <rFont val="Times New Roman"/>
        <family val="1"/>
      </rPr>
      <t>0.7MPa</t>
    </r>
  </si>
  <si>
    <r>
      <rPr>
        <sz val="12"/>
        <color theme="1"/>
        <rFont val="宋体"/>
        <family val="3"/>
        <charset val="134"/>
      </rPr>
      <t>车辙板试件</t>
    </r>
  </si>
  <si>
    <r>
      <rPr>
        <sz val="12"/>
        <color theme="1"/>
        <rFont val="宋体"/>
        <family val="3"/>
        <charset val="134"/>
      </rPr>
      <t xml:space="preserve">小梁试件
抗弯拉强度
</t>
    </r>
    <r>
      <rPr>
        <b/>
        <sz val="12"/>
        <color theme="1"/>
        <rFont val="宋体"/>
        <family val="3"/>
        <charset val="134"/>
      </rPr>
      <t>最大弯拉应变</t>
    </r>
    <r>
      <rPr>
        <b/>
        <sz val="12"/>
        <color theme="1"/>
        <rFont val="Times New Roman"/>
        <family val="1"/>
      </rPr>
      <t>&gt;2000με</t>
    </r>
    <r>
      <rPr>
        <sz val="12"/>
        <color theme="1"/>
        <rFont val="Times New Roman"/>
        <family val="1"/>
      </rPr>
      <t xml:space="preserve">
</t>
    </r>
    <r>
      <rPr>
        <sz val="12"/>
        <color theme="1"/>
        <rFont val="宋体"/>
        <family val="3"/>
        <charset val="134"/>
      </rPr>
      <t>弯曲劲度模量</t>
    </r>
  </si>
  <si>
    <r>
      <rPr>
        <sz val="12"/>
        <color theme="1"/>
        <rFont val="宋体"/>
        <family val="3"/>
        <charset val="134"/>
      </rPr>
      <t>小梁尺寸</t>
    </r>
    <r>
      <rPr>
        <sz val="12"/>
        <color theme="1"/>
        <rFont val="Times New Roman"/>
        <family val="1"/>
      </rPr>
      <t>250×30×35mm</t>
    </r>
    <r>
      <rPr>
        <sz val="12"/>
        <color theme="1"/>
        <rFont val="宋体"/>
        <family val="3"/>
        <charset val="134"/>
      </rPr>
      <t>；试验温度</t>
    </r>
    <r>
      <rPr>
        <sz val="12"/>
        <color theme="1"/>
        <rFont val="Times New Roman"/>
        <family val="1"/>
      </rPr>
      <t>-10</t>
    </r>
    <r>
      <rPr>
        <sz val="12"/>
        <color theme="1"/>
        <rFont val="宋体"/>
        <family val="3"/>
        <charset val="134"/>
      </rPr>
      <t>℃</t>
    </r>
  </si>
  <si>
    <r>
      <rPr>
        <sz val="11"/>
        <color theme="1"/>
        <rFont val="宋体"/>
        <family val="3"/>
        <charset val="134"/>
      </rPr>
      <t>集料来源</t>
    </r>
  </si>
  <si>
    <r>
      <rPr>
        <sz val="11"/>
        <color theme="1"/>
        <rFont val="宋体"/>
        <family val="3"/>
        <charset val="134"/>
      </rPr>
      <t>集料类型</t>
    </r>
  </si>
  <si>
    <r>
      <rPr>
        <sz val="11"/>
        <color theme="1"/>
        <rFont val="宋体"/>
        <family val="3"/>
        <charset val="134"/>
      </rPr>
      <t>集料粒径</t>
    </r>
    <r>
      <rPr>
        <sz val="11"/>
        <color theme="1"/>
        <rFont val="Times New Roman"/>
        <family val="1"/>
      </rPr>
      <t>/mm</t>
    </r>
  </si>
  <si>
    <r>
      <rPr>
        <sz val="11"/>
        <color rgb="FF3F3F76"/>
        <rFont val="宋体"/>
        <family val="3"/>
        <charset val="134"/>
      </rPr>
      <t>筛分通过率</t>
    </r>
    <r>
      <rPr>
        <sz val="11"/>
        <color rgb="FF3F3F76"/>
        <rFont val="Times New Roman"/>
        <family val="1"/>
      </rPr>
      <t>/%</t>
    </r>
  </si>
  <si>
    <r>
      <rPr>
        <sz val="11"/>
        <color theme="1"/>
        <rFont val="宋体"/>
        <family val="3"/>
        <charset val="134"/>
      </rPr>
      <t>干重</t>
    </r>
    <r>
      <rPr>
        <sz val="11"/>
        <color theme="1"/>
        <rFont val="Times New Roman"/>
        <family val="1"/>
      </rPr>
      <t>/g</t>
    </r>
  </si>
  <si>
    <r>
      <rPr>
        <sz val="11"/>
        <color theme="1"/>
        <rFont val="宋体"/>
        <family val="3"/>
        <charset val="134"/>
      </rPr>
      <t>水中重</t>
    </r>
    <r>
      <rPr>
        <sz val="11"/>
        <color theme="1"/>
        <rFont val="Times New Roman"/>
        <family val="1"/>
      </rPr>
      <t>/g</t>
    </r>
  </si>
  <si>
    <r>
      <rPr>
        <sz val="11"/>
        <color theme="1"/>
        <rFont val="宋体"/>
        <family val="3"/>
        <charset val="134"/>
      </rPr>
      <t>表干重</t>
    </r>
    <r>
      <rPr>
        <sz val="11"/>
        <color theme="1"/>
        <rFont val="Times New Roman"/>
        <family val="1"/>
      </rPr>
      <t>/g</t>
    </r>
  </si>
  <si>
    <r>
      <rPr>
        <sz val="11"/>
        <color theme="1"/>
        <rFont val="宋体"/>
        <family val="3"/>
        <charset val="134"/>
      </rPr>
      <t>密度</t>
    </r>
    <r>
      <rPr>
        <sz val="11"/>
        <color theme="1"/>
        <rFont val="Times New Roman"/>
        <family val="1"/>
      </rPr>
      <t>/(g/cm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>)</t>
    </r>
  </si>
  <si>
    <r>
      <rPr>
        <sz val="11"/>
        <color theme="1"/>
        <rFont val="宋体"/>
        <family val="3"/>
        <charset val="134"/>
      </rPr>
      <t>试样烘干后质量</t>
    </r>
  </si>
  <si>
    <r>
      <rPr>
        <sz val="11"/>
        <color theme="1"/>
        <rFont val="宋体"/>
        <family val="3"/>
        <charset val="134"/>
      </rPr>
      <t>水与瓶重</t>
    </r>
  </si>
  <si>
    <r>
      <rPr>
        <sz val="11"/>
        <color theme="1"/>
        <rFont val="宋体"/>
        <family val="3"/>
        <charset val="134"/>
      </rPr>
      <t>饱和面干、水和瓶质量</t>
    </r>
  </si>
  <si>
    <r>
      <rPr>
        <sz val="11"/>
        <color theme="1"/>
        <rFont val="宋体"/>
        <family val="3"/>
        <charset val="134"/>
      </rPr>
      <t>饱和面干质量</t>
    </r>
  </si>
  <si>
    <t>抽提法</t>
  </si>
  <si>
    <t>燃烧法</t>
  </si>
  <si>
    <r>
      <rPr>
        <sz val="11"/>
        <color theme="1"/>
        <rFont val="宋体"/>
        <family val="3"/>
        <charset val="134"/>
      </rPr>
      <t>沥青用量</t>
    </r>
    <r>
      <rPr>
        <sz val="11"/>
        <color theme="1"/>
        <rFont val="Times New Roman"/>
        <family val="1"/>
      </rPr>
      <t>/%</t>
    </r>
  </si>
  <si>
    <r>
      <rPr>
        <sz val="11"/>
        <color theme="1"/>
        <rFont val="宋体"/>
        <family val="3"/>
        <charset val="134"/>
      </rPr>
      <t>油石比</t>
    </r>
    <r>
      <rPr>
        <sz val="11"/>
        <color theme="1"/>
        <rFont val="Times New Roman"/>
        <family val="1"/>
      </rPr>
      <t>/%</t>
    </r>
  </si>
  <si>
    <r>
      <rPr>
        <sz val="11"/>
        <color theme="1"/>
        <rFont val="宋体"/>
        <family val="3"/>
        <charset val="134"/>
      </rPr>
      <t>表观相对密度</t>
    </r>
  </si>
  <si>
    <r>
      <rPr>
        <sz val="11"/>
        <color theme="1"/>
        <rFont val="宋体"/>
        <family val="3"/>
        <charset val="134"/>
      </rPr>
      <t>表干相对密度</t>
    </r>
  </si>
  <si>
    <r>
      <rPr>
        <sz val="11"/>
        <color theme="1"/>
        <rFont val="宋体"/>
        <family val="3"/>
        <charset val="134"/>
      </rPr>
      <t>毛体积密度</t>
    </r>
  </si>
  <si>
    <t>筒+纸</t>
  </si>
  <si>
    <t>料重（抽提前）</t>
  </si>
  <si>
    <t>筒+纸+粉</t>
  </si>
  <si>
    <t>料重（抽提后）</t>
  </si>
  <si>
    <t>燃烧前质量</t>
  </si>
  <si>
    <t>燃烧后质量</t>
  </si>
  <si>
    <t>A</t>
  </si>
  <si>
    <r>
      <rPr>
        <sz val="11"/>
        <color theme="1"/>
        <rFont val="宋体"/>
        <family val="3"/>
        <charset val="134"/>
      </rPr>
      <t>粗集料</t>
    </r>
  </si>
  <si>
    <t>10-20</t>
  </si>
  <si>
    <t>5-10</t>
  </si>
  <si>
    <r>
      <rPr>
        <sz val="11"/>
        <color theme="1"/>
        <rFont val="宋体"/>
        <family val="3"/>
        <charset val="134"/>
      </rPr>
      <t>细集料</t>
    </r>
  </si>
  <si>
    <t>0-5</t>
  </si>
  <si>
    <r>
      <rPr>
        <sz val="11"/>
        <color theme="1"/>
        <rFont val="宋体"/>
        <family val="3"/>
        <charset val="134"/>
      </rPr>
      <t>粗</t>
    </r>
    <r>
      <rPr>
        <sz val="11"/>
        <color theme="1"/>
        <rFont val="Times New Roman"/>
        <family val="1"/>
      </rPr>
      <t>RAP</t>
    </r>
    <r>
      <rPr>
        <sz val="11"/>
        <color theme="1"/>
        <rFont val="宋体"/>
        <family val="3"/>
        <charset val="134"/>
      </rPr>
      <t>料</t>
    </r>
  </si>
  <si>
    <r>
      <rPr>
        <sz val="11"/>
        <color theme="1"/>
        <rFont val="宋体"/>
        <family val="3"/>
        <charset val="134"/>
      </rPr>
      <t>细</t>
    </r>
    <r>
      <rPr>
        <sz val="11"/>
        <color theme="1"/>
        <rFont val="Times New Roman"/>
        <family val="1"/>
      </rPr>
      <t>RAP</t>
    </r>
    <r>
      <rPr>
        <sz val="11"/>
        <color theme="1"/>
        <rFont val="宋体"/>
        <family val="3"/>
        <charset val="134"/>
      </rPr>
      <t>料</t>
    </r>
  </si>
  <si>
    <t>0-10</t>
  </si>
  <si>
    <t>B</t>
  </si>
  <si>
    <t>3-5</t>
  </si>
  <si>
    <t>0-3</t>
  </si>
  <si>
    <r>
      <rPr>
        <sz val="11"/>
        <color theme="1"/>
        <rFont val="宋体"/>
        <family val="3"/>
        <charset val="134"/>
      </rPr>
      <t>矿粉</t>
    </r>
  </si>
  <si>
    <t>/</t>
  </si>
  <si>
    <t>粗RAP料</t>
  </si>
  <si>
    <t>7-14</t>
  </si>
  <si>
    <t>细RAP料</t>
  </si>
  <si>
    <t>0-7</t>
  </si>
  <si>
    <t>C</t>
  </si>
  <si>
    <t>10-15</t>
  </si>
  <si>
    <t>D</t>
  </si>
  <si>
    <t>粗集料</t>
  </si>
  <si>
    <t>细集料</t>
  </si>
  <si>
    <t>E</t>
  </si>
  <si>
    <t>F</t>
  </si>
  <si>
    <t>&gt;22</t>
  </si>
  <si>
    <t>16-22</t>
  </si>
  <si>
    <t>11-16</t>
  </si>
  <si>
    <t>7-11</t>
  </si>
  <si>
    <t>4-7</t>
  </si>
  <si>
    <t>0-4</t>
  </si>
  <si>
    <t>\</t>
  </si>
  <si>
    <t>G</t>
  </si>
  <si>
    <t>B-2</t>
  </si>
  <si>
    <t>AC-10</t>
  </si>
  <si>
    <t>H</t>
  </si>
  <si>
    <t>8-15</t>
  </si>
  <si>
    <t>0-8</t>
  </si>
  <si>
    <t>I</t>
  </si>
  <si>
    <t>矿粉</t>
  </si>
  <si>
    <t>J</t>
  </si>
  <si>
    <t>K</t>
  </si>
  <si>
    <t>L</t>
  </si>
  <si>
    <t>M</t>
  </si>
  <si>
    <t>N</t>
  </si>
  <si>
    <t>18-24</t>
  </si>
  <si>
    <t>12-18</t>
  </si>
  <si>
    <t>5-12</t>
  </si>
  <si>
    <t>10-26.5</t>
  </si>
  <si>
    <t>O</t>
  </si>
  <si>
    <t>P</t>
  </si>
  <si>
    <t>0-15</t>
  </si>
  <si>
    <t>Q</t>
  </si>
  <si>
    <t>I-1</t>
  </si>
  <si>
    <t>R</t>
  </si>
  <si>
    <t>11-18</t>
  </si>
  <si>
    <t>6-11</t>
  </si>
  <si>
    <t>3-6</t>
  </si>
  <si>
    <t>S</t>
  </si>
  <si>
    <t>T</t>
  </si>
  <si>
    <t>U</t>
  </si>
  <si>
    <t>18-23</t>
  </si>
  <si>
    <t>15-23</t>
  </si>
  <si>
    <t>V</t>
  </si>
  <si>
    <t>W</t>
  </si>
  <si>
    <t>石粉</t>
  </si>
  <si>
    <t>X</t>
  </si>
  <si>
    <t>Y</t>
  </si>
  <si>
    <t>22-30</t>
  </si>
  <si>
    <t>Z</t>
  </si>
  <si>
    <t>4#</t>
  </si>
  <si>
    <t>3#</t>
  </si>
  <si>
    <t>2#</t>
  </si>
  <si>
    <t>1#</t>
  </si>
  <si>
    <t>1A</t>
  </si>
  <si>
    <t>1B</t>
  </si>
  <si>
    <t>5-13</t>
  </si>
  <si>
    <t>1C</t>
  </si>
  <si>
    <t>1D</t>
  </si>
  <si>
    <t>1E</t>
  </si>
  <si>
    <t>1F</t>
  </si>
  <si>
    <t>1G</t>
  </si>
  <si>
    <t>1H</t>
  </si>
  <si>
    <t>1I</t>
  </si>
  <si>
    <t>1J</t>
  </si>
  <si>
    <t>1K</t>
  </si>
  <si>
    <t>1L</t>
  </si>
  <si>
    <t>1M</t>
  </si>
  <si>
    <t>1N</t>
  </si>
  <si>
    <t>1O</t>
  </si>
  <si>
    <r>
      <rPr>
        <sz val="11"/>
        <color theme="1"/>
        <rFont val="宋体"/>
        <family val="3"/>
        <charset val="134"/>
      </rPr>
      <t>级配类型</t>
    </r>
  </si>
  <si>
    <t>集料粒径/mm</t>
  </si>
  <si>
    <t>新旧料比例</t>
  </si>
  <si>
    <r>
      <rPr>
        <sz val="11"/>
        <color theme="1"/>
        <rFont val="宋体"/>
        <family val="3"/>
        <charset val="134"/>
      </rPr>
      <t>各档比例</t>
    </r>
  </si>
  <si>
    <r>
      <rPr>
        <sz val="11"/>
        <color theme="1"/>
        <rFont val="宋体"/>
        <family val="3"/>
        <charset val="134"/>
      </rPr>
      <t>筛孔尺寸/</t>
    </r>
    <r>
      <rPr>
        <sz val="11"/>
        <color theme="1"/>
        <rFont val="Times New Roman"/>
        <family val="1"/>
      </rPr>
      <t>mm</t>
    </r>
  </si>
  <si>
    <r>
      <rPr>
        <sz val="11"/>
        <color theme="1"/>
        <rFont val="宋体"/>
        <family val="3"/>
        <charset val="134"/>
      </rPr>
      <t>毛体积相对密度</t>
    </r>
  </si>
  <si>
    <t>矿料的合成表观相对密度</t>
  </si>
  <si>
    <r>
      <rPr>
        <sz val="11"/>
        <color theme="1"/>
        <rFont val="宋体"/>
        <family val="3"/>
        <charset val="134"/>
      </rPr>
      <t>合成矿料的吸水率</t>
    </r>
    <r>
      <rPr>
        <sz val="11"/>
        <color theme="1"/>
        <rFont val="Times New Roman"/>
        <family val="1"/>
      </rPr>
      <t>w</t>
    </r>
    <r>
      <rPr>
        <vertAlign val="subscript"/>
        <sz val="11"/>
        <color theme="1"/>
        <rFont val="Times New Roman"/>
        <family val="1"/>
      </rPr>
      <t>x</t>
    </r>
  </si>
  <si>
    <r>
      <rPr>
        <sz val="11"/>
        <color theme="1"/>
        <rFont val="宋体"/>
        <family val="3"/>
        <charset val="134"/>
      </rPr>
      <t>合成矿料的沥青吸收系数</t>
    </r>
    <r>
      <rPr>
        <sz val="11"/>
        <color theme="1"/>
        <rFont val="Times New Roman"/>
        <family val="1"/>
      </rPr>
      <t>C</t>
    </r>
  </si>
  <si>
    <r>
      <rPr>
        <sz val="11"/>
        <color theme="1"/>
        <rFont val="宋体"/>
        <family val="3"/>
        <charset val="134"/>
      </rPr>
      <t>合成矿料的有效相对密度</t>
    </r>
    <r>
      <rPr>
        <sz val="11"/>
        <color theme="1"/>
        <rFont val="Times New Roman"/>
        <family val="1"/>
      </rPr>
      <t>r</t>
    </r>
    <r>
      <rPr>
        <vertAlign val="subscript"/>
        <sz val="11"/>
        <color theme="1"/>
        <rFont val="Times New Roman"/>
        <family val="1"/>
      </rPr>
      <t>se</t>
    </r>
  </si>
  <si>
    <r>
      <rPr>
        <sz val="11"/>
        <color theme="1"/>
        <rFont val="宋体"/>
        <family val="3"/>
        <charset val="134"/>
      </rPr>
      <t>沥青混合料最大理论相对密度</t>
    </r>
    <r>
      <rPr>
        <sz val="11"/>
        <color theme="1"/>
        <rFont val="Times New Roman"/>
        <family val="1"/>
      </rPr>
      <t>r</t>
    </r>
    <r>
      <rPr>
        <vertAlign val="subscript"/>
        <sz val="11"/>
        <color theme="1"/>
        <rFont val="Times New Roman"/>
        <family val="1"/>
      </rPr>
      <t>ti</t>
    </r>
  </si>
  <si>
    <r>
      <rPr>
        <sz val="11"/>
        <color theme="1"/>
        <rFont val="宋体"/>
        <family val="3"/>
        <charset val="134"/>
      </rPr>
      <t>矿料的合成毛体积相对密度</t>
    </r>
  </si>
  <si>
    <r>
      <rPr>
        <sz val="11"/>
        <color theme="1"/>
        <rFont val="宋体"/>
        <family val="3"/>
        <charset val="134"/>
      </rPr>
      <t>油石比</t>
    </r>
    <r>
      <rPr>
        <sz val="11"/>
        <color theme="1"/>
        <rFont val="Times New Roman"/>
        <family val="1"/>
      </rPr>
      <t>P</t>
    </r>
    <r>
      <rPr>
        <vertAlign val="subscript"/>
        <sz val="11"/>
        <color theme="1"/>
        <rFont val="Times New Roman"/>
        <family val="1"/>
      </rPr>
      <t>ai</t>
    </r>
    <r>
      <rPr>
        <sz val="11"/>
        <color theme="1"/>
        <rFont val="宋体"/>
        <family val="3"/>
        <charset val="134"/>
      </rPr>
      <t>（</t>
    </r>
    <r>
      <rPr>
        <sz val="11"/>
        <color theme="1"/>
        <rFont val="Times New Roman"/>
        <family val="1"/>
      </rPr>
      <t>%</t>
    </r>
    <r>
      <rPr>
        <sz val="11"/>
        <color theme="1"/>
        <rFont val="宋体"/>
        <family val="3"/>
        <charset val="134"/>
      </rPr>
      <t>）</t>
    </r>
  </si>
  <si>
    <r>
      <rPr>
        <sz val="11"/>
        <color theme="1"/>
        <rFont val="宋体"/>
        <family val="3"/>
        <charset val="134"/>
      </rPr>
      <t>沥青用量</t>
    </r>
  </si>
  <si>
    <r>
      <rPr>
        <sz val="11"/>
        <color theme="1"/>
        <rFont val="宋体"/>
        <family val="3"/>
        <charset val="134"/>
      </rPr>
      <t>新加沥青油石比</t>
    </r>
    <r>
      <rPr>
        <sz val="11"/>
        <color theme="1"/>
        <rFont val="Times New Roman"/>
        <family val="1"/>
      </rPr>
      <t>Pri</t>
    </r>
    <r>
      <rPr>
        <sz val="11"/>
        <color theme="1"/>
        <rFont val="宋体"/>
        <family val="3"/>
        <charset val="134"/>
      </rPr>
      <t>（</t>
    </r>
    <r>
      <rPr>
        <sz val="11"/>
        <color theme="1"/>
        <rFont val="Times New Roman"/>
        <family val="1"/>
      </rPr>
      <t>%</t>
    </r>
    <r>
      <rPr>
        <sz val="11"/>
        <color theme="1"/>
        <rFont val="宋体"/>
        <family val="3"/>
        <charset val="134"/>
      </rPr>
      <t>）</t>
    </r>
  </si>
  <si>
    <t xml:space="preserve">    密级配沥青混凝土混合料矿料级配范围</t>
  </si>
  <si>
    <t>级配类型</t>
  </si>
  <si>
    <t>通过下列筛孔(mm)的质量百分率（%)</t>
  </si>
  <si>
    <t>31.5</t>
  </si>
  <si>
    <t>26.5</t>
  </si>
  <si>
    <t>19</t>
  </si>
  <si>
    <t>16</t>
  </si>
  <si>
    <t>13.2</t>
  </si>
  <si>
    <t>9.5</t>
  </si>
  <si>
    <t>4.75</t>
  </si>
  <si>
    <t>2.36</t>
  </si>
  <si>
    <t>1.18</t>
  </si>
  <si>
    <t>0.6</t>
  </si>
  <si>
    <t>0.3</t>
  </si>
  <si>
    <t>0.15</t>
  </si>
  <si>
    <t>0.075</t>
  </si>
  <si>
    <t>粗粒式</t>
  </si>
  <si>
    <t>AC- 25</t>
  </si>
  <si>
    <t>100</t>
  </si>
  <si>
    <t>90~100</t>
  </si>
  <si>
    <t>75~90</t>
  </si>
  <si>
    <t>65-83</t>
  </si>
  <si>
    <t>57～76</t>
  </si>
  <si>
    <t>45 ～65</t>
  </si>
  <si>
    <t>24～52</t>
  </si>
  <si>
    <t>16～42</t>
  </si>
  <si>
    <t>12～33</t>
  </si>
  <si>
    <t>8~24</t>
  </si>
  <si>
    <t>5~17</t>
  </si>
  <si>
    <t>4~13</t>
  </si>
  <si>
    <t>3~7</t>
  </si>
  <si>
    <t>中粒式</t>
  </si>
  <si>
    <t>AC-20</t>
  </si>
  <si>
    <t>78～92</t>
  </si>
  <si>
    <t>62~80</t>
  </si>
  <si>
    <t>50~72</t>
  </si>
  <si>
    <t>26~56</t>
  </si>
  <si>
    <t>16～44</t>
  </si>
  <si>
    <t>12~33</t>
  </si>
  <si>
    <t>8～24</t>
  </si>
  <si>
    <t>5～~17</t>
  </si>
  <si>
    <t>3～7</t>
  </si>
  <si>
    <t>AC- 16</t>
  </si>
  <si>
    <t>76~92</t>
  </si>
  <si>
    <t>60~80</t>
  </si>
  <si>
    <t>34～62</t>
  </si>
  <si>
    <t>20～48</t>
  </si>
  <si>
    <t>13~36</t>
  </si>
  <si>
    <t>9～26</t>
  </si>
  <si>
    <t>7~18</t>
  </si>
  <si>
    <t>5-14</t>
  </si>
  <si>
    <t>4~8</t>
  </si>
  <si>
    <t>细粒式</t>
  </si>
  <si>
    <t>AC-13</t>
  </si>
  <si>
    <t>68 ～85</t>
  </si>
  <si>
    <t>38～68</t>
  </si>
  <si>
    <t>24 ~50</t>
  </si>
  <si>
    <t>15～38</t>
  </si>
  <si>
    <t>10~28</t>
  </si>
  <si>
    <t>7~20</t>
  </si>
  <si>
    <t>5~15</t>
  </si>
  <si>
    <t>45 ～75</t>
  </si>
  <si>
    <t>30 ～58</t>
  </si>
  <si>
    <t>20~44</t>
  </si>
  <si>
    <t>13～32</t>
  </si>
  <si>
    <t>9~23</t>
  </si>
  <si>
    <t>6～ 16</t>
  </si>
  <si>
    <t>砂粒式</t>
  </si>
  <si>
    <t>AC-5</t>
  </si>
  <si>
    <t>55~ 75</t>
  </si>
  <si>
    <t>35 ～55</t>
  </si>
  <si>
    <t>20~40</t>
  </si>
  <si>
    <t>12~28</t>
  </si>
  <si>
    <t>7～18</t>
  </si>
  <si>
    <t>5~10</t>
  </si>
  <si>
    <r>
      <rPr>
        <sz val="11"/>
        <color theme="1"/>
        <rFont val="宋体"/>
        <family val="3"/>
        <charset val="134"/>
      </rPr>
      <t>级配</t>
    </r>
    <r>
      <rPr>
        <sz val="11"/>
        <color theme="1"/>
        <rFont val="Times New Roman"/>
        <family val="1"/>
      </rPr>
      <t>1</t>
    </r>
  </si>
  <si>
    <r>
      <rPr>
        <sz val="11"/>
        <color theme="1"/>
        <rFont val="宋体"/>
        <family val="3"/>
        <charset val="134"/>
      </rPr>
      <t>级配上限</t>
    </r>
  </si>
  <si>
    <r>
      <rPr>
        <sz val="11"/>
        <color theme="1"/>
        <rFont val="宋体"/>
        <family val="3"/>
        <charset val="134"/>
      </rPr>
      <t>级配中值</t>
    </r>
  </si>
  <si>
    <r>
      <rPr>
        <sz val="11"/>
        <color theme="1"/>
        <rFont val="宋体"/>
        <family val="3"/>
        <charset val="134"/>
      </rPr>
      <t>级配下限</t>
    </r>
  </si>
  <si>
    <t>20-30</t>
  </si>
  <si>
    <t>AC-20-90#</t>
  </si>
  <si>
    <t>AC-20-110#</t>
  </si>
  <si>
    <t>AC-20-130#</t>
  </si>
  <si>
    <t>AC-20-1</t>
  </si>
  <si>
    <t>AC-20-2</t>
  </si>
  <si>
    <t>AC-13-90#</t>
  </si>
  <si>
    <t>AC-13-110#</t>
  </si>
  <si>
    <t>AC-13-130#</t>
  </si>
  <si>
    <r>
      <rPr>
        <b/>
        <sz val="11"/>
        <color theme="1"/>
        <rFont val="宋体"/>
        <family val="3"/>
        <charset val="134"/>
      </rPr>
      <t>级配</t>
    </r>
    <r>
      <rPr>
        <b/>
        <sz val="11"/>
        <color theme="1"/>
        <rFont val="Times New Roman"/>
        <family val="1"/>
      </rPr>
      <t>1</t>
    </r>
  </si>
  <si>
    <t>AC-13-1</t>
  </si>
  <si>
    <t>AC-13-2</t>
  </si>
  <si>
    <t>M-1</t>
  </si>
  <si>
    <t>AC-13-3</t>
  </si>
  <si>
    <t>AC-20-90#-1</t>
  </si>
  <si>
    <t>AC-20-90#-2</t>
  </si>
  <si>
    <t>AC-20-90#-3</t>
  </si>
  <si>
    <t>AC-20-90#-4</t>
  </si>
  <si>
    <t>AC-25-1</t>
  </si>
  <si>
    <t>级配上限</t>
  </si>
  <si>
    <t>级配中值</t>
  </si>
  <si>
    <t>级配下限</t>
  </si>
  <si>
    <t>AC-10-1</t>
  </si>
  <si>
    <t>AC-10-2</t>
  </si>
  <si>
    <t>AC-10-3</t>
  </si>
  <si>
    <r>
      <rPr>
        <sz val="11"/>
        <color theme="1"/>
        <rFont val="宋体"/>
        <family val="3"/>
        <charset val="134"/>
      </rPr>
      <t>试件来源</t>
    </r>
  </si>
  <si>
    <r>
      <rPr>
        <sz val="11"/>
        <color theme="1"/>
        <rFont val="宋体"/>
        <family val="3"/>
        <charset val="134"/>
      </rPr>
      <t>试件类型</t>
    </r>
  </si>
  <si>
    <r>
      <rPr>
        <sz val="11"/>
        <color theme="1"/>
        <rFont val="宋体"/>
        <family val="3"/>
        <charset val="134"/>
      </rPr>
      <t>试件名称</t>
    </r>
  </si>
  <si>
    <r>
      <rPr>
        <sz val="11"/>
        <color theme="1"/>
        <rFont val="宋体"/>
        <family val="3"/>
        <charset val="134"/>
      </rPr>
      <t>沥青混合料最大理论相对密度</t>
    </r>
    <r>
      <rPr>
        <sz val="11"/>
        <color theme="1"/>
        <rFont val="Times New Roman"/>
        <family val="1"/>
      </rPr>
      <t>/(g/cm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>)</t>
    </r>
  </si>
  <si>
    <r>
      <rPr>
        <sz val="11"/>
        <color theme="1"/>
        <rFont val="宋体"/>
        <family val="3"/>
        <charset val="134"/>
      </rPr>
      <t>矿料的合成毛体积相对密度</t>
    </r>
    <r>
      <rPr>
        <sz val="11"/>
        <color theme="1"/>
        <rFont val="Times New Roman"/>
        <family val="1"/>
      </rPr>
      <t>/(g/cm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>)</t>
    </r>
  </si>
  <si>
    <t>油石比/%</t>
  </si>
  <si>
    <r>
      <rPr>
        <sz val="11"/>
        <color theme="1"/>
        <rFont val="宋体"/>
        <family val="3"/>
        <charset val="134"/>
      </rPr>
      <t>实验数据</t>
    </r>
  </si>
  <si>
    <r>
      <rPr>
        <sz val="11"/>
        <color theme="1"/>
        <rFont val="宋体"/>
        <family val="3"/>
        <charset val="134"/>
      </rPr>
      <t>计算数据</t>
    </r>
  </si>
  <si>
    <r>
      <rPr>
        <sz val="11"/>
        <color theme="1"/>
        <rFont val="等线"/>
        <family val="3"/>
        <charset val="134"/>
      </rPr>
      <t>均值</t>
    </r>
  </si>
  <si>
    <r>
      <rPr>
        <sz val="11"/>
        <color theme="1"/>
        <rFont val="Times New Roman"/>
        <family val="1"/>
      </rPr>
      <t>60</t>
    </r>
    <r>
      <rPr>
        <sz val="11"/>
        <color theme="1"/>
        <rFont val="Segoe UI Symbol"/>
        <family val="2"/>
      </rPr>
      <t>℃</t>
    </r>
    <r>
      <rPr>
        <sz val="11"/>
        <color theme="1"/>
        <rFont val="宋体"/>
        <family val="3"/>
        <charset val="134"/>
      </rPr>
      <t>动力粘度</t>
    </r>
    <r>
      <rPr>
        <sz val="11"/>
        <color theme="1"/>
        <rFont val="Times New Roman"/>
        <family val="1"/>
      </rPr>
      <t>/Pa·s</t>
    </r>
  </si>
  <si>
    <r>
      <rPr>
        <sz val="11"/>
        <color rgb="FF000000"/>
        <rFont val="宋体"/>
        <family val="3"/>
        <charset val="134"/>
      </rPr>
      <t>针入度</t>
    </r>
  </si>
  <si>
    <r>
      <rPr>
        <sz val="11"/>
        <color rgb="FF000000"/>
        <rFont val="宋体"/>
        <family val="3"/>
        <charset val="134"/>
      </rPr>
      <t>软化点</t>
    </r>
  </si>
  <si>
    <r>
      <rPr>
        <sz val="11"/>
        <color rgb="FF000000"/>
        <rFont val="宋体"/>
        <family val="3"/>
        <charset val="134"/>
      </rPr>
      <t>残留延度（</t>
    </r>
    <r>
      <rPr>
        <sz val="11"/>
        <color rgb="FF000000"/>
        <rFont val="Times New Roman"/>
        <family val="1"/>
      </rPr>
      <t>10</t>
    </r>
    <r>
      <rPr>
        <sz val="11"/>
        <color rgb="FF000000"/>
        <rFont val="宋体"/>
        <family val="3"/>
        <charset val="134"/>
      </rPr>
      <t>℃）</t>
    </r>
  </si>
  <si>
    <r>
      <rPr>
        <sz val="11"/>
        <color theme="1"/>
        <rFont val="宋体"/>
        <family val="3"/>
        <charset val="134"/>
      </rPr>
      <t>高度</t>
    </r>
    <r>
      <rPr>
        <sz val="11"/>
        <color theme="1"/>
        <rFont val="Times New Roman"/>
        <family val="1"/>
      </rPr>
      <t>1/mm</t>
    </r>
  </si>
  <si>
    <r>
      <rPr>
        <sz val="11"/>
        <color theme="1"/>
        <rFont val="宋体"/>
        <family val="3"/>
        <charset val="134"/>
      </rPr>
      <t>高度</t>
    </r>
    <r>
      <rPr>
        <sz val="11"/>
        <color theme="1"/>
        <rFont val="Times New Roman"/>
        <family val="1"/>
      </rPr>
      <t>2/mm</t>
    </r>
  </si>
  <si>
    <r>
      <rPr>
        <sz val="11"/>
        <color theme="1"/>
        <rFont val="宋体"/>
        <family val="3"/>
        <charset val="134"/>
      </rPr>
      <t>高度</t>
    </r>
    <r>
      <rPr>
        <sz val="11"/>
        <color theme="1"/>
        <rFont val="Times New Roman"/>
        <family val="1"/>
      </rPr>
      <t>3/mm</t>
    </r>
  </si>
  <si>
    <r>
      <rPr>
        <sz val="11"/>
        <color theme="1"/>
        <rFont val="宋体"/>
        <family val="3"/>
        <charset val="134"/>
      </rPr>
      <t>高度</t>
    </r>
    <r>
      <rPr>
        <sz val="11"/>
        <color theme="1"/>
        <rFont val="Times New Roman"/>
        <family val="1"/>
      </rPr>
      <t>4/mm</t>
    </r>
  </si>
  <si>
    <r>
      <rPr>
        <sz val="11"/>
        <color theme="1"/>
        <rFont val="宋体"/>
        <family val="3"/>
        <charset val="134"/>
      </rPr>
      <t>均值</t>
    </r>
    <r>
      <rPr>
        <sz val="11"/>
        <color theme="1"/>
        <rFont val="Times New Roman"/>
        <family val="1"/>
      </rPr>
      <t>/mm</t>
    </r>
  </si>
  <si>
    <r>
      <rPr>
        <sz val="11"/>
        <color theme="1"/>
        <rFont val="宋体"/>
        <family val="3"/>
        <charset val="134"/>
      </rPr>
      <t>稳定度</t>
    </r>
    <r>
      <rPr>
        <sz val="11"/>
        <color theme="1"/>
        <rFont val="Times New Roman"/>
        <family val="1"/>
      </rPr>
      <t>/kN</t>
    </r>
  </si>
  <si>
    <r>
      <rPr>
        <sz val="11"/>
        <color theme="1"/>
        <rFont val="宋体"/>
        <family val="3"/>
        <charset val="134"/>
      </rPr>
      <t>流值</t>
    </r>
    <r>
      <rPr>
        <sz val="11"/>
        <color theme="1"/>
        <rFont val="Times New Roman"/>
        <family val="1"/>
      </rPr>
      <t>/mm</t>
    </r>
  </si>
  <si>
    <r>
      <rPr>
        <sz val="11"/>
        <color theme="1"/>
        <rFont val="宋体"/>
        <family val="3"/>
        <charset val="134"/>
      </rPr>
      <t>毛体积密度</t>
    </r>
    <r>
      <rPr>
        <sz val="11"/>
        <color theme="1"/>
        <rFont val="Times New Roman"/>
        <family val="1"/>
      </rPr>
      <t>/(g/cm3)</t>
    </r>
  </si>
  <si>
    <r>
      <rPr>
        <sz val="11"/>
        <color theme="1"/>
        <rFont val="宋体"/>
        <family val="3"/>
        <charset val="134"/>
      </rPr>
      <t>毛体积相对密度</t>
    </r>
    <r>
      <rPr>
        <sz val="11"/>
        <color theme="1"/>
        <rFont val="Times New Roman"/>
        <family val="1"/>
      </rPr>
      <t>/(g/cm3)</t>
    </r>
  </si>
  <si>
    <r>
      <rPr>
        <sz val="11"/>
        <color theme="1"/>
        <rFont val="宋体"/>
        <family val="3"/>
        <charset val="134"/>
      </rPr>
      <t>空隙率</t>
    </r>
    <r>
      <rPr>
        <sz val="11"/>
        <color theme="1"/>
        <rFont val="Times New Roman"/>
        <family val="1"/>
      </rPr>
      <t>/%</t>
    </r>
  </si>
  <si>
    <r>
      <rPr>
        <sz val="11"/>
        <color theme="1"/>
        <rFont val="宋体"/>
        <family val="3"/>
        <charset val="134"/>
      </rPr>
      <t>矿料间隙率</t>
    </r>
    <r>
      <rPr>
        <sz val="11"/>
        <color theme="1"/>
        <rFont val="Times New Roman"/>
        <family val="1"/>
      </rPr>
      <t>/%</t>
    </r>
  </si>
  <si>
    <r>
      <rPr>
        <sz val="11"/>
        <color theme="1"/>
        <rFont val="宋体"/>
        <family val="3"/>
        <charset val="134"/>
      </rPr>
      <t>沥青饱和度</t>
    </r>
    <r>
      <rPr>
        <sz val="11"/>
        <color theme="1"/>
        <rFont val="Times New Roman"/>
        <family val="1"/>
      </rPr>
      <t>/%</t>
    </r>
  </si>
  <si>
    <r>
      <rPr>
        <sz val="11"/>
        <color theme="1"/>
        <rFont val="宋体"/>
        <family val="3"/>
        <charset val="134"/>
      </rPr>
      <t>试件</t>
    </r>
    <r>
      <rPr>
        <sz val="11"/>
        <color theme="1"/>
        <rFont val="Times New Roman"/>
        <family val="1"/>
      </rPr>
      <t>1</t>
    </r>
  </si>
  <si>
    <r>
      <rPr>
        <sz val="11"/>
        <color theme="1"/>
        <rFont val="宋体"/>
        <family val="3"/>
        <charset val="134"/>
      </rPr>
      <t>试件</t>
    </r>
    <r>
      <rPr>
        <sz val="11"/>
        <color theme="1"/>
        <rFont val="Times New Roman"/>
        <family val="1"/>
      </rPr>
      <t>2</t>
    </r>
  </si>
  <si>
    <r>
      <rPr>
        <sz val="11"/>
        <color theme="1"/>
        <rFont val="宋体"/>
        <family val="3"/>
        <charset val="134"/>
      </rPr>
      <t>试件</t>
    </r>
    <r>
      <rPr>
        <sz val="11"/>
        <color theme="1"/>
        <rFont val="Times New Roman"/>
        <family val="1"/>
      </rPr>
      <t>3</t>
    </r>
  </si>
  <si>
    <r>
      <rPr>
        <sz val="11"/>
        <color theme="1"/>
        <rFont val="宋体"/>
        <family val="3"/>
        <charset val="134"/>
      </rPr>
      <t>试件</t>
    </r>
    <r>
      <rPr>
        <sz val="11"/>
        <color theme="1"/>
        <rFont val="Times New Roman"/>
        <family val="1"/>
      </rPr>
      <t>4</t>
    </r>
  </si>
  <si>
    <r>
      <rPr>
        <sz val="11"/>
        <color theme="1"/>
        <rFont val="宋体"/>
        <family val="3"/>
        <charset val="134"/>
      </rPr>
      <t>试件</t>
    </r>
    <r>
      <rPr>
        <sz val="11"/>
        <color theme="1"/>
        <rFont val="Times New Roman"/>
        <family val="1"/>
      </rPr>
      <t>5</t>
    </r>
  </si>
  <si>
    <r>
      <rPr>
        <sz val="11"/>
        <color theme="1"/>
        <rFont val="宋体"/>
        <family val="3"/>
        <charset val="134"/>
      </rPr>
      <t>试件</t>
    </r>
    <r>
      <rPr>
        <sz val="11"/>
        <color theme="1"/>
        <rFont val="Times New Roman"/>
        <family val="1"/>
      </rPr>
      <t>6</t>
    </r>
  </si>
  <si>
    <r>
      <rPr>
        <sz val="11"/>
        <color theme="1"/>
        <rFont val="宋体"/>
        <family val="3"/>
        <charset val="134"/>
      </rPr>
      <t>方案一</t>
    </r>
    <r>
      <rPr>
        <sz val="11"/>
        <color theme="1"/>
        <rFont val="Times New Roman"/>
        <family val="1"/>
      </rPr>
      <t>90#</t>
    </r>
  </si>
  <si>
    <r>
      <rPr>
        <sz val="11"/>
        <color theme="1"/>
        <rFont val="宋体"/>
        <family val="3"/>
        <charset val="134"/>
      </rPr>
      <t>方案二</t>
    </r>
    <r>
      <rPr>
        <sz val="11"/>
        <color theme="1"/>
        <rFont val="Times New Roman"/>
        <family val="1"/>
      </rPr>
      <t>90#</t>
    </r>
  </si>
  <si>
    <r>
      <rPr>
        <sz val="11"/>
        <color theme="1"/>
        <rFont val="宋体"/>
        <family val="3"/>
        <charset val="134"/>
      </rPr>
      <t>方案三</t>
    </r>
    <r>
      <rPr>
        <sz val="11"/>
        <color theme="1"/>
        <rFont val="Times New Roman"/>
        <family val="1"/>
      </rPr>
      <t>90#</t>
    </r>
  </si>
  <si>
    <r>
      <rPr>
        <sz val="11"/>
        <color theme="1"/>
        <rFont val="宋体"/>
        <family val="3"/>
        <charset val="134"/>
      </rPr>
      <t>方案五</t>
    </r>
    <r>
      <rPr>
        <sz val="11"/>
        <color theme="1"/>
        <rFont val="Times New Roman"/>
        <family val="1"/>
      </rPr>
      <t>90#</t>
    </r>
  </si>
  <si>
    <t>110#</t>
  </si>
  <si>
    <t>130#</t>
  </si>
  <si>
    <t>90#-1</t>
  </si>
  <si>
    <t>试件1</t>
  </si>
  <si>
    <t>试件2</t>
  </si>
  <si>
    <t>试件3</t>
  </si>
  <si>
    <t>试件4</t>
  </si>
  <si>
    <t>试件5</t>
  </si>
  <si>
    <t>90#-2</t>
  </si>
  <si>
    <t>90#-3</t>
  </si>
  <si>
    <t>70#</t>
  </si>
  <si>
    <r>
      <rPr>
        <sz val="11"/>
        <color theme="1"/>
        <rFont val="Times New Roman"/>
        <family val="1"/>
      </rPr>
      <t>90#</t>
    </r>
    <r>
      <rPr>
        <sz val="11"/>
        <color theme="1"/>
        <rFont val="宋体"/>
        <family val="3"/>
        <charset val="134"/>
      </rPr>
      <t>方案一</t>
    </r>
    <r>
      <rPr>
        <sz val="11"/>
        <color theme="1"/>
        <rFont val="Times New Roman"/>
        <family val="1"/>
      </rPr>
      <t>-1</t>
    </r>
  </si>
  <si>
    <r>
      <rPr>
        <sz val="11"/>
        <color theme="1"/>
        <rFont val="Times New Roman"/>
        <family val="1"/>
      </rPr>
      <t>90#</t>
    </r>
    <r>
      <rPr>
        <sz val="11"/>
        <color theme="1"/>
        <rFont val="宋体"/>
        <family val="3"/>
        <charset val="134"/>
      </rPr>
      <t>方案一</t>
    </r>
    <r>
      <rPr>
        <sz val="11"/>
        <color theme="1"/>
        <rFont val="Times New Roman"/>
        <family val="1"/>
      </rPr>
      <t>-2</t>
    </r>
  </si>
  <si>
    <r>
      <rPr>
        <sz val="11"/>
        <color theme="1"/>
        <rFont val="Times New Roman"/>
        <family val="1"/>
      </rPr>
      <t>90#</t>
    </r>
    <r>
      <rPr>
        <sz val="11"/>
        <color theme="1"/>
        <rFont val="宋体"/>
        <family val="3"/>
        <charset val="134"/>
      </rPr>
      <t>方案二</t>
    </r>
  </si>
  <si>
    <r>
      <rPr>
        <sz val="11"/>
        <color theme="1"/>
        <rFont val="Times New Roman"/>
        <family val="1"/>
      </rPr>
      <t>90#</t>
    </r>
    <r>
      <rPr>
        <sz val="11"/>
        <color theme="1"/>
        <rFont val="宋体"/>
        <family val="3"/>
        <charset val="134"/>
      </rPr>
      <t>方案三</t>
    </r>
  </si>
  <si>
    <r>
      <rPr>
        <sz val="11"/>
        <color theme="1"/>
        <rFont val="宋体"/>
        <family val="3"/>
        <charset val="134"/>
      </rPr>
      <t>直馏</t>
    </r>
    <r>
      <rPr>
        <sz val="11"/>
        <color theme="1"/>
        <rFont val="Times New Roman"/>
        <family val="1"/>
      </rPr>
      <t>90#</t>
    </r>
    <r>
      <rPr>
        <sz val="11"/>
        <color theme="1"/>
        <rFont val="宋体"/>
        <family val="3"/>
        <charset val="134"/>
      </rPr>
      <t>改性</t>
    </r>
    <r>
      <rPr>
        <sz val="11"/>
        <color theme="1"/>
        <rFont val="Times New Roman"/>
        <family val="1"/>
      </rPr>
      <t>I-C</t>
    </r>
  </si>
  <si>
    <r>
      <rPr>
        <sz val="11"/>
        <color theme="1"/>
        <rFont val="宋体"/>
        <family val="3"/>
        <charset val="134"/>
      </rPr>
      <t>调和</t>
    </r>
    <r>
      <rPr>
        <sz val="11"/>
        <color theme="1"/>
        <rFont val="Times New Roman"/>
        <family val="1"/>
      </rPr>
      <t>II</t>
    </r>
    <r>
      <rPr>
        <sz val="11"/>
        <color theme="1"/>
        <rFont val="宋体"/>
        <family val="3"/>
        <charset val="134"/>
      </rPr>
      <t>改性</t>
    </r>
    <r>
      <rPr>
        <sz val="11"/>
        <color theme="1"/>
        <rFont val="Times New Roman"/>
        <family val="1"/>
      </rPr>
      <t>I-C</t>
    </r>
  </si>
  <si>
    <r>
      <rPr>
        <sz val="11"/>
        <color theme="1"/>
        <rFont val="宋体"/>
        <family val="3"/>
        <charset val="134"/>
      </rPr>
      <t>调和</t>
    </r>
    <r>
      <rPr>
        <sz val="11"/>
        <color theme="1"/>
        <rFont val="Times New Roman"/>
        <family val="1"/>
      </rPr>
      <t>I</t>
    </r>
    <r>
      <rPr>
        <sz val="11"/>
        <color theme="1"/>
        <rFont val="宋体"/>
        <family val="3"/>
        <charset val="134"/>
      </rPr>
      <t>改性</t>
    </r>
    <r>
      <rPr>
        <sz val="11"/>
        <color theme="1"/>
        <rFont val="Times New Roman"/>
        <family val="1"/>
      </rPr>
      <t>I-C</t>
    </r>
  </si>
  <si>
    <t>90#-50%</t>
  </si>
  <si>
    <t>90#-40%</t>
  </si>
  <si>
    <t>90#</t>
  </si>
  <si>
    <t>90#-4</t>
  </si>
  <si>
    <r>
      <rPr>
        <sz val="11"/>
        <color theme="1"/>
        <rFont val="Times New Roman"/>
        <family val="1"/>
      </rPr>
      <t>110</t>
    </r>
    <r>
      <rPr>
        <i/>
        <sz val="11"/>
        <color theme="1"/>
        <rFont val="Times New Roman"/>
        <family val="1"/>
      </rPr>
      <t>#</t>
    </r>
    <r>
      <rPr>
        <sz val="11"/>
        <color theme="1"/>
        <rFont val="Times New Roman"/>
        <family val="1"/>
      </rPr>
      <t>-1</t>
    </r>
  </si>
  <si>
    <r>
      <rPr>
        <sz val="11"/>
        <color theme="1"/>
        <rFont val="Times New Roman"/>
        <family val="1"/>
      </rPr>
      <t>110</t>
    </r>
    <r>
      <rPr>
        <i/>
        <sz val="11"/>
        <color theme="1"/>
        <rFont val="Times New Roman"/>
        <family val="1"/>
      </rPr>
      <t>#</t>
    </r>
    <r>
      <rPr>
        <sz val="11"/>
        <color theme="1"/>
        <rFont val="Times New Roman"/>
        <family val="1"/>
      </rPr>
      <t>-2</t>
    </r>
  </si>
  <si>
    <t>110#-3</t>
  </si>
  <si>
    <t>130#-1</t>
  </si>
  <si>
    <t>130#-2</t>
  </si>
  <si>
    <t>130#-3</t>
  </si>
  <si>
    <t>110#-1</t>
  </si>
  <si>
    <t>110#-2</t>
  </si>
  <si>
    <t>70#-1</t>
  </si>
  <si>
    <t>70#-2</t>
  </si>
  <si>
    <r>
      <rPr>
        <sz val="11"/>
        <color theme="1"/>
        <rFont val="Times New Roman"/>
        <family val="1"/>
      </rPr>
      <t>AC-13-1</t>
    </r>
    <r>
      <rPr>
        <sz val="11"/>
        <color theme="1"/>
        <rFont val="宋体"/>
        <family val="3"/>
        <charset val="134"/>
      </rPr>
      <t>（</t>
    </r>
    <r>
      <rPr>
        <sz val="11"/>
        <color theme="1"/>
        <rFont val="Times New Roman"/>
        <family val="1"/>
      </rPr>
      <t>90#</t>
    </r>
    <r>
      <rPr>
        <sz val="11"/>
        <color theme="1"/>
        <rFont val="宋体"/>
        <family val="3"/>
        <charset val="134"/>
      </rPr>
      <t>）</t>
    </r>
  </si>
  <si>
    <r>
      <rPr>
        <sz val="11"/>
        <rFont val="宋体"/>
        <family val="3"/>
        <charset val="134"/>
      </rPr>
      <t>试件</t>
    </r>
    <r>
      <rPr>
        <sz val="11"/>
        <rFont val="Times New Roman"/>
        <family val="1"/>
      </rPr>
      <t>1</t>
    </r>
  </si>
  <si>
    <t>AC-13-1（90#）</t>
  </si>
  <si>
    <r>
      <rPr>
        <sz val="11"/>
        <rFont val="宋体"/>
        <family val="3"/>
        <charset val="134"/>
      </rPr>
      <t>试件</t>
    </r>
    <r>
      <rPr>
        <sz val="11"/>
        <rFont val="Times New Roman"/>
        <family val="1"/>
      </rPr>
      <t>2</t>
    </r>
  </si>
  <si>
    <r>
      <rPr>
        <sz val="11"/>
        <rFont val="宋体"/>
        <family val="3"/>
        <charset val="134"/>
      </rPr>
      <t>试件</t>
    </r>
    <r>
      <rPr>
        <sz val="11"/>
        <rFont val="Times New Roman"/>
        <family val="1"/>
      </rPr>
      <t>3</t>
    </r>
  </si>
  <si>
    <r>
      <rPr>
        <sz val="11"/>
        <rFont val="宋体"/>
        <family val="3"/>
        <charset val="134"/>
      </rPr>
      <t>试件</t>
    </r>
    <r>
      <rPr>
        <sz val="11"/>
        <rFont val="Times New Roman"/>
        <family val="1"/>
      </rPr>
      <t>4</t>
    </r>
  </si>
  <si>
    <r>
      <rPr>
        <sz val="11"/>
        <rFont val="宋体"/>
        <family val="3"/>
        <charset val="134"/>
      </rPr>
      <t>试件</t>
    </r>
    <r>
      <rPr>
        <sz val="11"/>
        <rFont val="Times New Roman"/>
        <family val="1"/>
      </rPr>
      <t>5</t>
    </r>
  </si>
  <si>
    <t>AC-13-2（110#）</t>
  </si>
  <si>
    <t>AC-13-3（130#）</t>
  </si>
  <si>
    <r>
      <rPr>
        <sz val="11"/>
        <color theme="1"/>
        <rFont val="Times New Roman"/>
        <family val="1"/>
      </rPr>
      <t>AC-10-1</t>
    </r>
    <r>
      <rPr>
        <sz val="11"/>
        <color theme="1"/>
        <rFont val="宋体"/>
        <family val="3"/>
        <charset val="134"/>
      </rPr>
      <t>（</t>
    </r>
    <r>
      <rPr>
        <sz val="11"/>
        <color theme="1"/>
        <rFont val="Times New Roman"/>
        <family val="1"/>
      </rPr>
      <t>90#</t>
    </r>
    <r>
      <rPr>
        <sz val="11"/>
        <color theme="1"/>
        <rFont val="宋体"/>
        <family val="3"/>
        <charset val="134"/>
      </rPr>
      <t>）</t>
    </r>
  </si>
  <si>
    <t>AC-10-1（90#）</t>
  </si>
  <si>
    <t>AC-10-2（110#）</t>
  </si>
  <si>
    <t>AC-10-3（130#）</t>
  </si>
  <si>
    <t>AC-13（90#）</t>
  </si>
  <si>
    <r>
      <rPr>
        <sz val="11"/>
        <color theme="1"/>
        <rFont val="Times New Roman"/>
        <family val="1"/>
      </rPr>
      <t>AC-10</t>
    </r>
    <r>
      <rPr>
        <sz val="11"/>
        <color theme="1"/>
        <rFont val="宋体"/>
        <family val="3"/>
        <charset val="134"/>
      </rPr>
      <t>（</t>
    </r>
    <r>
      <rPr>
        <sz val="11"/>
        <color theme="1"/>
        <rFont val="Times New Roman"/>
        <family val="1"/>
      </rPr>
      <t>130#</t>
    </r>
    <r>
      <rPr>
        <sz val="11"/>
        <color theme="1"/>
        <rFont val="宋体"/>
        <family val="3"/>
        <charset val="134"/>
      </rPr>
      <t>）</t>
    </r>
  </si>
  <si>
    <r>
      <rPr>
        <sz val="11"/>
        <rFont val="Times New Roman"/>
        <family val="1"/>
      </rPr>
      <t>AC-13</t>
    </r>
    <r>
      <rPr>
        <sz val="11"/>
        <rFont val="等线"/>
        <family val="3"/>
        <charset val="134"/>
      </rPr>
      <t>（</t>
    </r>
    <r>
      <rPr>
        <sz val="11"/>
        <rFont val="Times New Roman"/>
        <family val="1"/>
      </rPr>
      <t>90#</t>
    </r>
    <r>
      <rPr>
        <sz val="11"/>
        <rFont val="等线"/>
        <family val="3"/>
        <charset val="134"/>
      </rPr>
      <t>）</t>
    </r>
  </si>
  <si>
    <r>
      <rPr>
        <sz val="11"/>
        <color theme="1"/>
        <rFont val="Times New Roman"/>
        <family val="1"/>
      </rPr>
      <t>AC-13-2</t>
    </r>
    <r>
      <rPr>
        <sz val="11"/>
        <color theme="1"/>
        <rFont val="宋体"/>
        <family val="3"/>
        <charset val="134"/>
      </rPr>
      <t>（</t>
    </r>
    <r>
      <rPr>
        <sz val="11"/>
        <color theme="1"/>
        <rFont val="Times New Roman"/>
        <family val="1"/>
      </rPr>
      <t>90#</t>
    </r>
    <r>
      <rPr>
        <sz val="11"/>
        <color theme="1"/>
        <rFont val="宋体"/>
        <family val="3"/>
        <charset val="134"/>
      </rPr>
      <t>）</t>
    </r>
  </si>
  <si>
    <r>
      <rPr>
        <sz val="11"/>
        <color theme="1"/>
        <rFont val="Times New Roman"/>
        <family val="1"/>
      </rPr>
      <t>AC-13-2</t>
    </r>
    <r>
      <rPr>
        <sz val="11"/>
        <color theme="1"/>
        <rFont val="宋体"/>
        <family val="3"/>
        <charset val="134"/>
      </rPr>
      <t>（</t>
    </r>
    <r>
      <rPr>
        <sz val="11"/>
        <color theme="1"/>
        <rFont val="Times New Roman"/>
        <family val="1"/>
      </rPr>
      <t>70#</t>
    </r>
    <r>
      <rPr>
        <sz val="11"/>
        <color theme="1"/>
        <rFont val="宋体"/>
        <family val="3"/>
        <charset val="134"/>
      </rPr>
      <t>）</t>
    </r>
  </si>
  <si>
    <r>
      <rPr>
        <sz val="11"/>
        <color theme="1"/>
        <rFont val="Times New Roman"/>
        <family val="1"/>
      </rPr>
      <t>AC-13-1</t>
    </r>
    <r>
      <rPr>
        <sz val="11"/>
        <color theme="1"/>
        <rFont val="宋体"/>
        <family val="3"/>
        <charset val="134"/>
      </rPr>
      <t>（</t>
    </r>
    <r>
      <rPr>
        <sz val="11"/>
        <color theme="1"/>
        <rFont val="Times New Roman"/>
        <family val="1"/>
      </rPr>
      <t>70#</t>
    </r>
    <r>
      <rPr>
        <sz val="11"/>
        <color theme="1"/>
        <rFont val="宋体"/>
        <family val="3"/>
        <charset val="134"/>
      </rPr>
      <t>）</t>
    </r>
  </si>
  <si>
    <r>
      <rPr>
        <sz val="11"/>
        <rFont val="Times New Roman"/>
        <family val="1"/>
      </rPr>
      <t>AC-20</t>
    </r>
    <r>
      <rPr>
        <sz val="11"/>
        <rFont val="等线"/>
        <family val="3"/>
        <charset val="134"/>
      </rPr>
      <t>（</t>
    </r>
    <r>
      <rPr>
        <sz val="11"/>
        <rFont val="Times New Roman"/>
        <family val="1"/>
      </rPr>
      <t>90#</t>
    </r>
    <r>
      <rPr>
        <sz val="11"/>
        <rFont val="等线"/>
        <family val="3"/>
        <charset val="134"/>
      </rPr>
      <t>）</t>
    </r>
  </si>
  <si>
    <r>
      <rPr>
        <sz val="11"/>
        <rFont val="Times New Roman"/>
        <family val="1"/>
      </rPr>
      <t>AC-10</t>
    </r>
    <r>
      <rPr>
        <sz val="11"/>
        <rFont val="等线"/>
        <family val="3"/>
        <charset val="134"/>
      </rPr>
      <t>（</t>
    </r>
    <r>
      <rPr>
        <sz val="11"/>
        <rFont val="Times New Roman"/>
        <family val="1"/>
      </rPr>
      <t>90#</t>
    </r>
    <r>
      <rPr>
        <sz val="11"/>
        <rFont val="等线"/>
        <family val="3"/>
        <charset val="134"/>
      </rPr>
      <t>）</t>
    </r>
  </si>
  <si>
    <t>AC-10（90#）</t>
  </si>
  <si>
    <r>
      <rPr>
        <sz val="11"/>
        <rFont val="Times New Roman"/>
        <family val="1"/>
      </rPr>
      <t>AC-13-1</t>
    </r>
    <r>
      <rPr>
        <sz val="11"/>
        <rFont val="等线"/>
        <family val="3"/>
        <charset val="134"/>
      </rPr>
      <t>（</t>
    </r>
    <r>
      <rPr>
        <sz val="11"/>
        <rFont val="Times New Roman"/>
        <family val="1"/>
      </rPr>
      <t>90#</t>
    </r>
    <r>
      <rPr>
        <sz val="11"/>
        <rFont val="等线"/>
        <family val="3"/>
        <charset val="134"/>
      </rPr>
      <t>）</t>
    </r>
  </si>
  <si>
    <r>
      <rPr>
        <sz val="11"/>
        <rFont val="Times New Roman"/>
        <family val="1"/>
      </rPr>
      <t>AC-13</t>
    </r>
    <r>
      <rPr>
        <sz val="11"/>
        <rFont val="等线"/>
        <family val="3"/>
        <charset val="134"/>
      </rPr>
      <t>（</t>
    </r>
    <r>
      <rPr>
        <sz val="11"/>
        <rFont val="Times New Roman"/>
        <family val="1"/>
      </rPr>
      <t>70#</t>
    </r>
    <r>
      <rPr>
        <sz val="11"/>
        <rFont val="等线"/>
        <family val="3"/>
        <charset val="134"/>
      </rPr>
      <t>）</t>
    </r>
  </si>
  <si>
    <t>60℃动力粘度</t>
  </si>
  <si>
    <t>针入度</t>
  </si>
  <si>
    <t>软化点</t>
  </si>
  <si>
    <t>残留延度(10℃)</t>
  </si>
  <si>
    <r>
      <rPr>
        <sz val="11"/>
        <color theme="1"/>
        <rFont val="Times New Roman"/>
        <family val="1"/>
      </rPr>
      <t>60</t>
    </r>
    <r>
      <rPr>
        <sz val="11"/>
        <color rgb="FF000000"/>
        <rFont val="宋体"/>
        <family val="3"/>
        <charset val="134"/>
      </rPr>
      <t>℃动力粘度</t>
    </r>
  </si>
  <si>
    <r>
      <rPr>
        <sz val="11"/>
        <color rgb="FF000000"/>
        <rFont val="宋体"/>
        <family val="3"/>
        <charset val="134"/>
      </rPr>
      <t>残留延度</t>
    </r>
    <r>
      <rPr>
        <sz val="11"/>
        <color rgb="FF000000"/>
        <rFont val="Times New Roman"/>
        <family val="1"/>
      </rPr>
      <t>(10</t>
    </r>
    <r>
      <rPr>
        <sz val="11"/>
        <color rgb="FF000000"/>
        <rFont val="宋体"/>
        <family val="3"/>
        <charset val="134"/>
      </rPr>
      <t>℃</t>
    </r>
    <r>
      <rPr>
        <sz val="11"/>
        <color rgb="FF000000"/>
        <rFont val="Times New Roman"/>
        <family val="1"/>
      </rPr>
      <t>)</t>
    </r>
  </si>
  <si>
    <r>
      <rPr>
        <sz val="11"/>
        <color theme="1"/>
        <rFont val="宋体"/>
        <family val="3"/>
        <charset val="134"/>
      </rPr>
      <t>高温性能</t>
    </r>
  </si>
  <si>
    <r>
      <rPr>
        <sz val="11"/>
        <color theme="1"/>
        <rFont val="宋体"/>
        <family val="3"/>
        <charset val="134"/>
      </rPr>
      <t>低温性能</t>
    </r>
  </si>
  <si>
    <r>
      <rPr>
        <sz val="11"/>
        <color theme="1"/>
        <rFont val="宋体"/>
        <family val="3"/>
        <charset val="134"/>
      </rPr>
      <t>残留稳定度</t>
    </r>
    <r>
      <rPr>
        <sz val="11"/>
        <color theme="1"/>
        <rFont val="Times New Roman"/>
        <family val="1"/>
      </rPr>
      <t>/%</t>
    </r>
  </si>
  <si>
    <r>
      <rPr>
        <sz val="11"/>
        <color theme="1"/>
        <rFont val="宋体"/>
        <family val="3"/>
        <charset val="134"/>
      </rPr>
      <t>荷载</t>
    </r>
    <r>
      <rPr>
        <sz val="11"/>
        <color theme="1"/>
        <rFont val="Times New Roman"/>
        <family val="1"/>
      </rPr>
      <t>/kN</t>
    </r>
  </si>
  <si>
    <r>
      <rPr>
        <sz val="11"/>
        <color theme="1"/>
        <rFont val="宋体"/>
        <family val="3"/>
        <charset val="134"/>
      </rPr>
      <t>劈裂强度</t>
    </r>
    <r>
      <rPr>
        <sz val="11"/>
        <color theme="1"/>
        <rFont val="Times New Roman"/>
        <family val="1"/>
      </rPr>
      <t>/Mpa</t>
    </r>
  </si>
  <si>
    <t>TSR/%</t>
  </si>
  <si>
    <r>
      <rPr>
        <sz val="11"/>
        <color theme="1"/>
        <rFont val="宋体"/>
        <family val="3"/>
        <charset val="134"/>
      </rPr>
      <t>均值</t>
    </r>
    <r>
      <rPr>
        <sz val="11"/>
        <color theme="1"/>
        <rFont val="Times New Roman"/>
        <family val="1"/>
      </rPr>
      <t>/Mpa</t>
    </r>
  </si>
  <si>
    <r>
      <rPr>
        <sz val="11"/>
        <color theme="1"/>
        <rFont val="宋体"/>
        <family val="3"/>
        <charset val="134"/>
      </rPr>
      <t>动稳定度</t>
    </r>
    <r>
      <rPr>
        <sz val="11"/>
        <color theme="1"/>
        <rFont val="Times New Roman"/>
        <family val="1"/>
      </rPr>
      <t>/</t>
    </r>
    <r>
      <rPr>
        <sz val="11"/>
        <color theme="1"/>
        <rFont val="宋体"/>
        <family val="3"/>
        <charset val="134"/>
      </rPr>
      <t>（次</t>
    </r>
    <r>
      <rPr>
        <sz val="11"/>
        <color theme="1"/>
        <rFont val="Times New Roman"/>
        <family val="1"/>
      </rPr>
      <t>/mm</t>
    </r>
    <r>
      <rPr>
        <sz val="11"/>
        <color theme="1"/>
        <rFont val="宋体"/>
        <family val="3"/>
        <charset val="134"/>
      </rPr>
      <t>）</t>
    </r>
  </si>
  <si>
    <r>
      <rPr>
        <sz val="11"/>
        <color theme="1"/>
        <rFont val="宋体"/>
        <family val="3"/>
        <charset val="134"/>
      </rPr>
      <t>抗弯拉强度</t>
    </r>
    <r>
      <rPr>
        <sz val="11"/>
        <color theme="1"/>
        <rFont val="Times New Roman"/>
        <family val="1"/>
      </rPr>
      <t>/Mpa</t>
    </r>
  </si>
  <si>
    <r>
      <rPr>
        <sz val="11"/>
        <color theme="1"/>
        <rFont val="宋体"/>
        <family val="3"/>
        <charset val="134"/>
      </rPr>
      <t>最大弯拉应变</t>
    </r>
    <r>
      <rPr>
        <sz val="11"/>
        <color theme="1"/>
        <rFont val="Times New Roman"/>
        <family val="1"/>
      </rPr>
      <t>/με</t>
    </r>
  </si>
  <si>
    <r>
      <rPr>
        <sz val="11"/>
        <color theme="1"/>
        <rFont val="宋体"/>
        <family val="3"/>
        <charset val="134"/>
      </rPr>
      <t>弯曲劲度模量</t>
    </r>
    <r>
      <rPr>
        <sz val="11"/>
        <color theme="1"/>
        <rFont val="Times New Roman"/>
        <family val="1"/>
      </rPr>
      <t>/Mpa</t>
    </r>
  </si>
  <si>
    <r>
      <rPr>
        <sz val="11"/>
        <color theme="1"/>
        <rFont val="宋体"/>
        <family val="3"/>
        <charset val="134"/>
      </rPr>
      <t>试件</t>
    </r>
    <r>
      <rPr>
        <sz val="11"/>
        <color theme="1"/>
        <rFont val="Times New Roman"/>
        <family val="1"/>
      </rPr>
      <t>1</t>
    </r>
    <r>
      <rPr>
        <sz val="11"/>
        <color theme="1"/>
        <rFont val="宋体"/>
        <family val="3"/>
        <charset val="134"/>
      </rPr>
      <t>（浸）</t>
    </r>
  </si>
  <si>
    <r>
      <rPr>
        <sz val="11"/>
        <color theme="1"/>
        <rFont val="宋体"/>
        <family val="3"/>
        <charset val="134"/>
      </rPr>
      <t>试件</t>
    </r>
    <r>
      <rPr>
        <sz val="11"/>
        <color theme="1"/>
        <rFont val="Times New Roman"/>
        <family val="1"/>
      </rPr>
      <t>2</t>
    </r>
    <r>
      <rPr>
        <sz val="11"/>
        <color theme="1"/>
        <rFont val="宋体"/>
        <family val="3"/>
        <charset val="134"/>
      </rPr>
      <t>（冻）</t>
    </r>
  </si>
  <si>
    <r>
      <rPr>
        <sz val="11"/>
        <color theme="1"/>
        <rFont val="宋体"/>
        <family val="3"/>
        <charset val="134"/>
      </rPr>
      <t>试件</t>
    </r>
    <r>
      <rPr>
        <sz val="11"/>
        <color theme="1"/>
        <rFont val="Times New Roman"/>
        <family val="1"/>
      </rPr>
      <t>3</t>
    </r>
    <r>
      <rPr>
        <sz val="11"/>
        <color theme="1"/>
        <rFont val="宋体"/>
        <family val="3"/>
        <charset val="134"/>
      </rPr>
      <t>（浸）</t>
    </r>
  </si>
  <si>
    <r>
      <rPr>
        <sz val="11"/>
        <color theme="1"/>
        <rFont val="Times New Roman"/>
        <family val="1"/>
      </rPr>
      <t>90#</t>
    </r>
    <r>
      <rPr>
        <sz val="11"/>
        <color theme="1"/>
        <rFont val="宋体"/>
        <family val="3"/>
        <charset val="134"/>
      </rPr>
      <t>对比</t>
    </r>
  </si>
  <si>
    <r>
      <rPr>
        <sz val="11"/>
        <color theme="1"/>
        <rFont val="宋体"/>
        <family val="3"/>
        <charset val="134"/>
      </rPr>
      <t>试件</t>
    </r>
    <r>
      <rPr>
        <sz val="11"/>
        <color theme="1"/>
        <rFont val="Times New Roman"/>
        <family val="1"/>
      </rPr>
      <t>4</t>
    </r>
    <r>
      <rPr>
        <sz val="11"/>
        <color theme="1"/>
        <rFont val="宋体"/>
        <family val="3"/>
        <charset val="134"/>
      </rPr>
      <t>（冻）</t>
    </r>
  </si>
  <si>
    <r>
      <rPr>
        <sz val="11"/>
        <color theme="1"/>
        <rFont val="Times New Roman"/>
        <family val="1"/>
      </rPr>
      <t>90#</t>
    </r>
    <r>
      <rPr>
        <sz val="11"/>
        <color theme="1"/>
        <rFont val="宋体"/>
        <family val="3"/>
        <charset val="134"/>
      </rPr>
      <t>沥青方案</t>
    </r>
  </si>
  <si>
    <r>
      <rPr>
        <sz val="11"/>
        <color theme="1"/>
        <rFont val="Times New Roman"/>
        <family val="1"/>
      </rPr>
      <t>90#</t>
    </r>
    <r>
      <rPr>
        <sz val="11"/>
        <color theme="1"/>
        <rFont val="宋体"/>
        <family val="3"/>
        <charset val="134"/>
      </rPr>
      <t>沥青方案一</t>
    </r>
  </si>
  <si>
    <t xml:space="preserve">AC-20
</t>
  </si>
  <si>
    <r>
      <rPr>
        <sz val="11"/>
        <color theme="1"/>
        <rFont val="Times New Roman"/>
        <family val="1"/>
      </rPr>
      <t>90#</t>
    </r>
    <r>
      <rPr>
        <sz val="11"/>
        <color theme="1"/>
        <rFont val="宋体"/>
        <family val="3"/>
        <charset val="134"/>
      </rPr>
      <t>沥青方案二</t>
    </r>
  </si>
  <si>
    <r>
      <rPr>
        <sz val="11"/>
        <color theme="1"/>
        <rFont val="宋体"/>
        <family val="3"/>
        <charset val="134"/>
      </rPr>
      <t>试件</t>
    </r>
    <r>
      <rPr>
        <sz val="11"/>
        <color theme="1"/>
        <rFont val="Times New Roman"/>
        <family val="1"/>
      </rPr>
      <t>2</t>
    </r>
    <r>
      <rPr>
        <sz val="11"/>
        <color theme="1"/>
        <rFont val="宋体"/>
        <family val="3"/>
        <charset val="134"/>
      </rPr>
      <t>（浸）</t>
    </r>
  </si>
  <si>
    <r>
      <rPr>
        <sz val="11"/>
        <color theme="1"/>
        <rFont val="Times New Roman"/>
        <family val="1"/>
      </rPr>
      <t>90#</t>
    </r>
    <r>
      <rPr>
        <sz val="11"/>
        <color theme="1"/>
        <rFont val="宋体"/>
        <family val="3"/>
        <charset val="134"/>
      </rPr>
      <t>沥青方案三</t>
    </r>
  </si>
  <si>
    <r>
      <rPr>
        <sz val="11"/>
        <color theme="1"/>
        <rFont val="Times New Roman"/>
        <family val="1"/>
      </rPr>
      <t>90#</t>
    </r>
    <r>
      <rPr>
        <sz val="11"/>
        <color theme="1"/>
        <rFont val="宋体"/>
        <family val="3"/>
        <charset val="134"/>
      </rPr>
      <t>沥青方案五</t>
    </r>
  </si>
  <si>
    <r>
      <rPr>
        <sz val="11"/>
        <color theme="1"/>
        <rFont val="Times New Roman"/>
        <family val="1"/>
      </rPr>
      <t>110#</t>
    </r>
    <r>
      <rPr>
        <sz val="11"/>
        <color theme="1"/>
        <rFont val="宋体"/>
        <family val="3"/>
        <charset val="134"/>
      </rPr>
      <t>沥青</t>
    </r>
  </si>
  <si>
    <r>
      <rPr>
        <sz val="11"/>
        <color theme="1"/>
        <rFont val="Times New Roman"/>
        <family val="1"/>
      </rPr>
      <t>130#</t>
    </r>
    <r>
      <rPr>
        <sz val="11"/>
        <color theme="1"/>
        <rFont val="宋体"/>
        <family val="3"/>
        <charset val="134"/>
      </rPr>
      <t>沥青</t>
    </r>
  </si>
  <si>
    <t>方案一90#</t>
  </si>
  <si>
    <r>
      <rPr>
        <sz val="11"/>
        <color theme="1"/>
        <rFont val="Times New Roman"/>
        <family val="1"/>
      </rPr>
      <t>90#</t>
    </r>
    <r>
      <rPr>
        <sz val="11"/>
        <color theme="1"/>
        <rFont val="宋体"/>
        <family val="3"/>
        <charset val="134"/>
      </rPr>
      <t>沥青</t>
    </r>
  </si>
  <si>
    <r>
      <rPr>
        <sz val="11"/>
        <color theme="1"/>
        <rFont val="Times New Roman"/>
        <family val="1"/>
      </rPr>
      <t>90#</t>
    </r>
    <r>
      <rPr>
        <sz val="11"/>
        <color theme="1"/>
        <rFont val="宋体"/>
        <family val="3"/>
        <charset val="134"/>
      </rPr>
      <t>调和</t>
    </r>
  </si>
  <si>
    <r>
      <rPr>
        <sz val="11"/>
        <color theme="1"/>
        <rFont val="宋体"/>
        <family val="3"/>
        <charset val="134"/>
      </rPr>
      <t>试件</t>
    </r>
    <r>
      <rPr>
        <sz val="11"/>
        <color theme="1"/>
        <rFont val="Times New Roman"/>
        <family val="1"/>
      </rPr>
      <t>5</t>
    </r>
    <r>
      <rPr>
        <sz val="11"/>
        <color theme="1"/>
        <rFont val="宋体"/>
        <family val="3"/>
        <charset val="134"/>
      </rPr>
      <t>（浸）</t>
    </r>
  </si>
  <si>
    <t>方案二90#</t>
  </si>
  <si>
    <r>
      <rPr>
        <sz val="11"/>
        <color theme="1"/>
        <rFont val="Times New Roman"/>
        <family val="1"/>
      </rPr>
      <t>70#</t>
    </r>
    <r>
      <rPr>
        <sz val="11"/>
        <color theme="1"/>
        <rFont val="宋体"/>
        <family val="3"/>
        <charset val="134"/>
      </rPr>
      <t>沥青</t>
    </r>
  </si>
  <si>
    <r>
      <rPr>
        <sz val="11"/>
        <color theme="1"/>
        <rFont val="宋体"/>
        <family val="3"/>
        <charset val="134"/>
      </rPr>
      <t>试件</t>
    </r>
    <r>
      <rPr>
        <sz val="11"/>
        <color theme="1"/>
        <rFont val="Times New Roman"/>
        <family val="1"/>
      </rPr>
      <t>1</t>
    </r>
    <r>
      <rPr>
        <sz val="11"/>
        <color theme="1"/>
        <rFont val="宋体"/>
        <family val="3"/>
        <charset val="134"/>
      </rPr>
      <t>（冻）</t>
    </r>
  </si>
  <si>
    <r>
      <rPr>
        <sz val="11"/>
        <color theme="1"/>
        <rFont val="Times New Roman"/>
        <family val="1"/>
      </rPr>
      <t>90#</t>
    </r>
    <r>
      <rPr>
        <sz val="11"/>
        <color theme="1"/>
        <rFont val="宋体"/>
        <family val="3"/>
        <charset val="134"/>
      </rPr>
      <t>方案一</t>
    </r>
  </si>
  <si>
    <r>
      <rPr>
        <sz val="11"/>
        <color theme="1"/>
        <rFont val="宋体"/>
        <family val="3"/>
        <charset val="134"/>
      </rPr>
      <t>试件</t>
    </r>
    <r>
      <rPr>
        <sz val="11"/>
        <color theme="1"/>
        <rFont val="Times New Roman"/>
        <family val="1"/>
      </rPr>
      <t>3</t>
    </r>
    <r>
      <rPr>
        <sz val="11"/>
        <color theme="1"/>
        <rFont val="宋体"/>
        <family val="3"/>
        <charset val="134"/>
      </rPr>
      <t>（冻）</t>
    </r>
  </si>
  <si>
    <t>方案三90#</t>
  </si>
  <si>
    <r>
      <rPr>
        <sz val="11"/>
        <color theme="1"/>
        <rFont val="宋体"/>
        <family val="3"/>
        <charset val="134"/>
      </rPr>
      <t>试件</t>
    </r>
    <r>
      <rPr>
        <sz val="11"/>
        <color theme="1"/>
        <rFont val="Times New Roman"/>
        <family val="1"/>
      </rPr>
      <t>5</t>
    </r>
    <r>
      <rPr>
        <sz val="11"/>
        <color theme="1"/>
        <rFont val="宋体"/>
        <family val="3"/>
        <charset val="134"/>
      </rPr>
      <t>（冻）</t>
    </r>
  </si>
  <si>
    <t>方案五90#</t>
  </si>
  <si>
    <r>
      <rPr>
        <sz val="11"/>
        <color theme="1"/>
        <rFont val="宋体"/>
        <family val="3"/>
        <charset val="134"/>
      </rPr>
      <t>试件</t>
    </r>
    <r>
      <rPr>
        <sz val="11"/>
        <color theme="1"/>
        <rFont val="Times New Roman"/>
        <family val="1"/>
      </rPr>
      <t>6</t>
    </r>
    <r>
      <rPr>
        <sz val="11"/>
        <color theme="1"/>
        <rFont val="宋体"/>
        <family val="3"/>
        <charset val="134"/>
      </rPr>
      <t>（冻）</t>
    </r>
  </si>
  <si>
    <r>
      <rPr>
        <sz val="11"/>
        <color theme="1"/>
        <rFont val="宋体"/>
        <family val="3"/>
        <charset val="134"/>
      </rPr>
      <t>试件</t>
    </r>
    <r>
      <rPr>
        <sz val="11"/>
        <color theme="1"/>
        <rFont val="Times New Roman"/>
        <family val="1"/>
      </rPr>
      <t>7</t>
    </r>
  </si>
  <si>
    <t>--</t>
  </si>
  <si>
    <t>试件1（浸）</t>
  </si>
  <si>
    <t>试件3（浸）</t>
  </si>
  <si>
    <t>试件5（浸）</t>
  </si>
  <si>
    <r>
      <rPr>
        <sz val="11"/>
        <color theme="1"/>
        <rFont val="宋体"/>
        <family val="3"/>
        <charset val="134"/>
      </rPr>
      <t>试件</t>
    </r>
    <r>
      <rPr>
        <sz val="11"/>
        <color theme="1"/>
        <rFont val="Times New Roman"/>
        <family val="1"/>
      </rPr>
      <t>7</t>
    </r>
    <r>
      <rPr>
        <sz val="11"/>
        <color theme="1"/>
        <rFont val="宋体"/>
        <family val="3"/>
        <charset val="134"/>
      </rPr>
      <t>（冻）</t>
    </r>
  </si>
  <si>
    <t>试件2（浸）</t>
  </si>
  <si>
    <t>试件4(浸)</t>
  </si>
  <si>
    <r>
      <rPr>
        <sz val="11"/>
        <color theme="1"/>
        <rFont val="Times New Roman"/>
        <family val="1"/>
      </rPr>
      <t>90#-1</t>
    </r>
    <r>
      <rPr>
        <sz val="11"/>
        <color theme="1"/>
        <rFont val="宋体"/>
        <family val="3"/>
        <charset val="134"/>
      </rPr>
      <t>（恒泰锦）</t>
    </r>
  </si>
  <si>
    <r>
      <rPr>
        <sz val="11"/>
        <color theme="1"/>
        <rFont val="Times New Roman"/>
        <family val="1"/>
      </rPr>
      <t>90#-1</t>
    </r>
    <r>
      <rPr>
        <sz val="11"/>
        <color theme="1"/>
        <rFont val="宋体"/>
        <family val="3"/>
        <charset val="134"/>
      </rPr>
      <t>（路宝</t>
    </r>
    <r>
      <rPr>
        <sz val="11"/>
        <color theme="1"/>
        <rFont val="Times New Roman"/>
        <family val="1"/>
      </rPr>
      <t>)</t>
    </r>
  </si>
  <si>
    <r>
      <rPr>
        <sz val="11"/>
        <color theme="1"/>
        <rFont val="Times New Roman"/>
        <family val="1"/>
      </rPr>
      <t>90#-1</t>
    </r>
    <r>
      <rPr>
        <sz val="11"/>
        <color theme="1"/>
        <rFont val="宋体"/>
        <family val="3"/>
        <charset val="134"/>
      </rPr>
      <t>（英杰维特）</t>
    </r>
  </si>
  <si>
    <t>62,3</t>
  </si>
  <si>
    <t xml:space="preserve">AC-20-110#
</t>
  </si>
  <si>
    <t>70#-4</t>
  </si>
  <si>
    <t>试件1（浸水）</t>
  </si>
  <si>
    <t>试件3（浸水）</t>
  </si>
  <si>
    <t>试件5（浸水）</t>
  </si>
  <si>
    <t>90#方案二</t>
  </si>
  <si>
    <t>90#方案三</t>
  </si>
  <si>
    <r>
      <rPr>
        <sz val="11"/>
        <color rgb="FF000000"/>
        <rFont val="宋体"/>
        <family val="3"/>
        <charset val="134"/>
      </rPr>
      <t>试件</t>
    </r>
    <r>
      <rPr>
        <sz val="11"/>
        <color rgb="FF000000"/>
        <rFont val="Times New Roman"/>
        <family val="1"/>
      </rPr>
      <t>1</t>
    </r>
  </si>
  <si>
    <r>
      <rPr>
        <sz val="11"/>
        <color rgb="FF000000"/>
        <rFont val="宋体"/>
        <family val="3"/>
        <charset val="134"/>
      </rPr>
      <t>试件</t>
    </r>
    <r>
      <rPr>
        <sz val="11"/>
        <color rgb="FF000000"/>
        <rFont val="Times New Roman"/>
        <family val="1"/>
      </rPr>
      <t>2</t>
    </r>
  </si>
  <si>
    <t>调和I改性I-C</t>
  </si>
  <si>
    <r>
      <rPr>
        <sz val="11"/>
        <color theme="1"/>
        <rFont val="Times New Roman"/>
        <family val="1"/>
      </rPr>
      <t>AC-13-2</t>
    </r>
    <r>
      <rPr>
        <sz val="11"/>
        <color theme="1"/>
        <rFont val="宋体"/>
        <family val="3"/>
        <charset val="134"/>
      </rPr>
      <t>（</t>
    </r>
    <r>
      <rPr>
        <sz val="11"/>
        <color theme="1"/>
        <rFont val="Times New Roman"/>
        <family val="1"/>
      </rPr>
      <t>110#</t>
    </r>
    <r>
      <rPr>
        <sz val="11"/>
        <color theme="1"/>
        <rFont val="宋体"/>
        <family val="3"/>
        <charset val="134"/>
      </rPr>
      <t>）</t>
    </r>
  </si>
  <si>
    <t>AC-10（130#）</t>
  </si>
  <si>
    <t>AC-13-1（70#）</t>
  </si>
  <si>
    <r>
      <rPr>
        <sz val="11"/>
        <color theme="1"/>
        <rFont val="Times New Roman"/>
        <family val="1"/>
      </rPr>
      <t>AC-20</t>
    </r>
    <r>
      <rPr>
        <sz val="11"/>
        <color theme="1"/>
        <rFont val="宋体"/>
        <family val="3"/>
        <charset val="134"/>
      </rPr>
      <t>（</t>
    </r>
    <r>
      <rPr>
        <sz val="11"/>
        <color theme="1"/>
        <rFont val="Times New Roman"/>
        <family val="1"/>
      </rPr>
      <t>90#</t>
    </r>
    <r>
      <rPr>
        <sz val="11"/>
        <color theme="1"/>
        <rFont val="宋体"/>
        <family val="3"/>
        <charset val="134"/>
      </rPr>
      <t>）</t>
    </r>
  </si>
  <si>
    <t>AC-20（90#）</t>
  </si>
  <si>
    <r>
      <rPr>
        <sz val="11"/>
        <color rgb="FF000000"/>
        <rFont val="宋体"/>
        <family val="3"/>
        <charset val="134"/>
      </rPr>
      <t>试件</t>
    </r>
    <r>
      <rPr>
        <sz val="11"/>
        <color rgb="FF000000"/>
        <rFont val="Times New Roman"/>
        <family val="1"/>
      </rPr>
      <t>3</t>
    </r>
  </si>
  <si>
    <r>
      <rPr>
        <sz val="11"/>
        <color rgb="FF000000"/>
        <rFont val="宋体"/>
        <family val="3"/>
        <charset val="134"/>
      </rPr>
      <t>试件</t>
    </r>
    <r>
      <rPr>
        <sz val="11"/>
        <color rgb="FF000000"/>
        <rFont val="Times New Roman"/>
        <family val="1"/>
      </rPr>
      <t>4</t>
    </r>
  </si>
  <si>
    <r>
      <rPr>
        <sz val="11"/>
        <color rgb="FF000000"/>
        <rFont val="宋体"/>
        <family val="3"/>
        <charset val="134"/>
      </rPr>
      <t>试件</t>
    </r>
    <r>
      <rPr>
        <sz val="11"/>
        <color rgb="FF000000"/>
        <rFont val="Times New Roman"/>
        <family val="1"/>
      </rPr>
      <t>5</t>
    </r>
  </si>
  <si>
    <r>
      <rPr>
        <sz val="11"/>
        <color rgb="FF000000"/>
        <rFont val="宋体"/>
        <family val="3"/>
        <charset val="134"/>
      </rPr>
      <t>试件</t>
    </r>
    <r>
      <rPr>
        <sz val="11"/>
        <color rgb="FF000000"/>
        <rFont val="Times New Roman"/>
        <family val="1"/>
      </rPr>
      <t>6</t>
    </r>
  </si>
  <si>
    <t>AC-13（70#）</t>
  </si>
  <si>
    <t xml:space="preserve">
AC-10</t>
  </si>
  <si>
    <t>试件6</t>
  </si>
  <si>
    <t>试件7</t>
  </si>
  <si>
    <r>
      <rPr>
        <sz val="11"/>
        <color theme="1"/>
        <rFont val="Times New Roman"/>
        <family val="1"/>
      </rPr>
      <t>90#-1</t>
    </r>
    <r>
      <rPr>
        <sz val="11"/>
        <color theme="1"/>
        <rFont val="等线"/>
        <family val="3"/>
        <charset val="134"/>
      </rPr>
      <t>（</t>
    </r>
    <r>
      <rPr>
        <sz val="11"/>
        <color theme="1"/>
        <rFont val="宋体"/>
        <family val="3"/>
        <charset val="134"/>
      </rPr>
      <t>恒泰锦</t>
    </r>
    <r>
      <rPr>
        <sz val="11"/>
        <color theme="1"/>
        <rFont val="等线"/>
        <family val="3"/>
        <charset val="134"/>
      </rPr>
      <t>）</t>
    </r>
  </si>
  <si>
    <r>
      <rPr>
        <sz val="11"/>
        <color theme="1"/>
        <rFont val="Times New Roman"/>
        <family val="1"/>
      </rPr>
      <t>90#-1</t>
    </r>
    <r>
      <rPr>
        <sz val="11"/>
        <color theme="1"/>
        <rFont val="等线"/>
        <family val="3"/>
        <charset val="134"/>
      </rPr>
      <t>（</t>
    </r>
    <r>
      <rPr>
        <sz val="11"/>
        <color theme="1"/>
        <rFont val="宋体"/>
        <family val="3"/>
        <charset val="134"/>
      </rPr>
      <t>路宝)</t>
    </r>
  </si>
  <si>
    <t>90#-1（英杰维特）</t>
  </si>
  <si>
    <r>
      <rPr>
        <sz val="11"/>
        <color theme="1"/>
        <rFont val="Times New Roman"/>
        <family val="1"/>
      </rPr>
      <t>AC-13-3</t>
    </r>
    <r>
      <rPr>
        <sz val="11"/>
        <color theme="1"/>
        <rFont val="宋体"/>
        <family val="3"/>
        <charset val="134"/>
      </rPr>
      <t>（</t>
    </r>
    <r>
      <rPr>
        <sz val="11"/>
        <color theme="1"/>
        <rFont val="Times New Roman"/>
        <family val="1"/>
      </rPr>
      <t>130#</t>
    </r>
    <r>
      <rPr>
        <sz val="11"/>
        <color theme="1"/>
        <rFont val="宋体"/>
        <family val="3"/>
        <charset val="134"/>
      </rPr>
      <t>）</t>
    </r>
  </si>
  <si>
    <r>
      <rPr>
        <sz val="11"/>
        <color theme="1"/>
        <rFont val="Times New Roman"/>
        <family val="1"/>
      </rPr>
      <t>AC-10-2</t>
    </r>
    <r>
      <rPr>
        <sz val="11"/>
        <color theme="1"/>
        <rFont val="宋体"/>
        <family val="3"/>
        <charset val="134"/>
      </rPr>
      <t>（</t>
    </r>
    <r>
      <rPr>
        <sz val="11"/>
        <color theme="1"/>
        <rFont val="Times New Roman"/>
        <family val="1"/>
      </rPr>
      <t>110#</t>
    </r>
    <r>
      <rPr>
        <sz val="11"/>
        <color theme="1"/>
        <rFont val="宋体"/>
        <family val="3"/>
        <charset val="134"/>
      </rPr>
      <t>）</t>
    </r>
  </si>
  <si>
    <r>
      <rPr>
        <sz val="11"/>
        <color theme="1"/>
        <rFont val="Times New Roman"/>
        <family val="1"/>
      </rPr>
      <t>AC-10-3</t>
    </r>
    <r>
      <rPr>
        <sz val="11"/>
        <color theme="1"/>
        <rFont val="宋体"/>
        <family val="3"/>
        <charset val="134"/>
      </rPr>
      <t>（</t>
    </r>
    <r>
      <rPr>
        <sz val="11"/>
        <color theme="1"/>
        <rFont val="Times New Roman"/>
        <family val="1"/>
      </rPr>
      <t>130#</t>
    </r>
    <r>
      <rPr>
        <sz val="11"/>
        <color theme="1"/>
        <rFont val="宋体"/>
        <family val="3"/>
        <charset val="134"/>
      </rPr>
      <t>）</t>
    </r>
  </si>
  <si>
    <r>
      <rPr>
        <sz val="11"/>
        <color theme="1"/>
        <rFont val="Times New Roman"/>
        <family val="1"/>
      </rPr>
      <t>AC-13</t>
    </r>
    <r>
      <rPr>
        <sz val="11"/>
        <color theme="1"/>
        <rFont val="宋体"/>
        <family val="3"/>
        <charset val="134"/>
      </rPr>
      <t>（</t>
    </r>
    <r>
      <rPr>
        <sz val="11"/>
        <color theme="1"/>
        <rFont val="Times New Roman"/>
        <family val="1"/>
      </rPr>
      <t>90#</t>
    </r>
    <r>
      <rPr>
        <sz val="11"/>
        <color theme="1"/>
        <rFont val="宋体"/>
        <family val="3"/>
        <charset val="134"/>
      </rPr>
      <t>）</t>
    </r>
  </si>
  <si>
    <r>
      <rPr>
        <sz val="11"/>
        <color rgb="FF000000"/>
        <rFont val="宋体"/>
        <family val="3"/>
        <charset val="134"/>
      </rPr>
      <t>试件</t>
    </r>
    <r>
      <rPr>
        <sz val="11"/>
        <color rgb="FF000000"/>
        <rFont val="Times New Roman"/>
        <family val="1"/>
      </rPr>
      <t>1</t>
    </r>
    <r>
      <rPr>
        <sz val="11"/>
        <color rgb="FF000000"/>
        <rFont val="宋体"/>
        <family val="3"/>
        <charset val="134"/>
      </rPr>
      <t>（冻）</t>
    </r>
  </si>
  <si>
    <r>
      <rPr>
        <sz val="11"/>
        <color rgb="FF000000"/>
        <rFont val="宋体"/>
        <family val="3"/>
        <charset val="134"/>
      </rPr>
      <t>试件</t>
    </r>
    <r>
      <rPr>
        <sz val="11"/>
        <color rgb="FF000000"/>
        <rFont val="Times New Roman"/>
        <family val="1"/>
      </rPr>
      <t>3</t>
    </r>
    <r>
      <rPr>
        <sz val="11"/>
        <color rgb="FF000000"/>
        <rFont val="宋体"/>
        <family val="3"/>
        <charset val="134"/>
      </rPr>
      <t>（冻）</t>
    </r>
  </si>
  <si>
    <r>
      <rPr>
        <sz val="11"/>
        <color rgb="FF000000"/>
        <rFont val="宋体"/>
        <family val="3"/>
        <charset val="134"/>
      </rPr>
      <t>试件</t>
    </r>
    <r>
      <rPr>
        <sz val="11"/>
        <color rgb="FF000000"/>
        <rFont val="Times New Roman"/>
        <family val="1"/>
      </rPr>
      <t>5</t>
    </r>
    <r>
      <rPr>
        <sz val="11"/>
        <color rgb="FF000000"/>
        <rFont val="宋体"/>
        <family val="3"/>
        <charset val="134"/>
      </rPr>
      <t>（冻）</t>
    </r>
  </si>
  <si>
    <t>试件1（冻）</t>
  </si>
  <si>
    <t>试件3（冻）</t>
  </si>
  <si>
    <t>试件5（冻）</t>
  </si>
  <si>
    <t>试件2(冻)</t>
  </si>
  <si>
    <r>
      <rPr>
        <sz val="11"/>
        <color theme="1"/>
        <rFont val="宋体"/>
        <family val="3"/>
        <charset val="134"/>
      </rPr>
      <t>试件</t>
    </r>
    <r>
      <rPr>
        <sz val="11"/>
        <color theme="1"/>
        <rFont val="Times New Roman"/>
        <family val="1"/>
      </rPr>
      <t>4</t>
    </r>
    <r>
      <rPr>
        <sz val="11"/>
        <color theme="1"/>
        <rFont val="宋体"/>
        <family val="3"/>
        <charset val="134"/>
      </rPr>
      <t>(冻)</t>
    </r>
  </si>
  <si>
    <t>试件6(冻)</t>
  </si>
  <si>
    <r>
      <rPr>
        <sz val="11"/>
        <rFont val="Times New Roman"/>
        <family val="1"/>
      </rPr>
      <t>AC-13-1</t>
    </r>
    <r>
      <rPr>
        <sz val="11"/>
        <rFont val="宋体"/>
        <family val="3"/>
        <charset val="134"/>
      </rPr>
      <t>（</t>
    </r>
    <r>
      <rPr>
        <sz val="11"/>
        <rFont val="Times New Roman"/>
        <family val="1"/>
      </rPr>
      <t>90#</t>
    </r>
    <r>
      <rPr>
        <sz val="11"/>
        <rFont val="宋体"/>
        <family val="3"/>
        <charset val="134"/>
      </rPr>
      <t>）</t>
    </r>
  </si>
  <si>
    <r>
      <rPr>
        <sz val="11"/>
        <color theme="1"/>
        <rFont val="Times New Roman"/>
        <family val="1"/>
      </rPr>
      <t>AC-13</t>
    </r>
    <r>
      <rPr>
        <sz val="11"/>
        <color theme="1"/>
        <rFont val="宋体"/>
        <family val="3"/>
        <charset val="134"/>
      </rPr>
      <t>（</t>
    </r>
    <r>
      <rPr>
        <sz val="11"/>
        <color theme="1"/>
        <rFont val="Times New Roman"/>
        <family val="1"/>
      </rPr>
      <t>70#</t>
    </r>
    <r>
      <rPr>
        <sz val="11"/>
        <color theme="1"/>
        <rFont val="宋体"/>
        <family val="3"/>
        <charset val="134"/>
      </rPr>
      <t>）</t>
    </r>
  </si>
  <si>
    <r>
      <rPr>
        <sz val="11"/>
        <rFont val="Times New Roman"/>
        <family val="1"/>
      </rPr>
      <t>AC-13-2</t>
    </r>
    <r>
      <rPr>
        <sz val="11"/>
        <rFont val="宋体"/>
        <family val="3"/>
        <charset val="134"/>
      </rPr>
      <t>（</t>
    </r>
    <r>
      <rPr>
        <sz val="11"/>
        <rFont val="Times New Roman"/>
        <family val="1"/>
      </rPr>
      <t>110#</t>
    </r>
    <r>
      <rPr>
        <sz val="11"/>
        <rFont val="宋体"/>
        <family val="3"/>
        <charset val="134"/>
      </rPr>
      <t>）</t>
    </r>
  </si>
  <si>
    <r>
      <rPr>
        <sz val="11"/>
        <rFont val="Times New Roman"/>
        <family val="1"/>
      </rPr>
      <t>AC-13-3</t>
    </r>
    <r>
      <rPr>
        <sz val="11"/>
        <rFont val="宋体"/>
        <family val="3"/>
        <charset val="134"/>
      </rPr>
      <t>（</t>
    </r>
    <r>
      <rPr>
        <sz val="11"/>
        <rFont val="Times New Roman"/>
        <family val="1"/>
      </rPr>
      <t>130#</t>
    </r>
    <r>
      <rPr>
        <sz val="11"/>
        <rFont val="宋体"/>
        <family val="3"/>
        <charset val="134"/>
      </rPr>
      <t>）</t>
    </r>
  </si>
  <si>
    <r>
      <rPr>
        <sz val="11"/>
        <rFont val="Times New Roman"/>
        <family val="1"/>
      </rPr>
      <t>AC-10-1</t>
    </r>
    <r>
      <rPr>
        <sz val="11"/>
        <rFont val="宋体"/>
        <family val="3"/>
        <charset val="134"/>
      </rPr>
      <t>（</t>
    </r>
    <r>
      <rPr>
        <sz val="11"/>
        <rFont val="Times New Roman"/>
        <family val="1"/>
      </rPr>
      <t>90#</t>
    </r>
    <r>
      <rPr>
        <sz val="11"/>
        <rFont val="宋体"/>
        <family val="3"/>
        <charset val="134"/>
      </rPr>
      <t>）</t>
    </r>
  </si>
  <si>
    <r>
      <rPr>
        <sz val="11"/>
        <rFont val="Times New Roman"/>
        <family val="1"/>
      </rPr>
      <t>AC-10-2</t>
    </r>
    <r>
      <rPr>
        <sz val="11"/>
        <rFont val="宋体"/>
        <family val="3"/>
        <charset val="134"/>
      </rPr>
      <t>（</t>
    </r>
    <r>
      <rPr>
        <sz val="11"/>
        <rFont val="Times New Roman"/>
        <family val="1"/>
      </rPr>
      <t>110#</t>
    </r>
    <r>
      <rPr>
        <sz val="11"/>
        <rFont val="宋体"/>
        <family val="3"/>
        <charset val="134"/>
      </rPr>
      <t>）</t>
    </r>
  </si>
  <si>
    <r>
      <rPr>
        <sz val="11"/>
        <rFont val="Times New Roman"/>
        <family val="1"/>
      </rPr>
      <t>AC-10-3</t>
    </r>
    <r>
      <rPr>
        <sz val="11"/>
        <rFont val="宋体"/>
        <family val="3"/>
        <charset val="134"/>
      </rPr>
      <t>（</t>
    </r>
    <r>
      <rPr>
        <sz val="11"/>
        <rFont val="Times New Roman"/>
        <family val="1"/>
      </rPr>
      <t>130#</t>
    </r>
    <r>
      <rPr>
        <sz val="11"/>
        <rFont val="宋体"/>
        <family val="3"/>
        <charset val="134"/>
      </rPr>
      <t>）</t>
    </r>
  </si>
  <si>
    <r>
      <rPr>
        <sz val="11"/>
        <rFont val="Times New Roman"/>
        <family val="1"/>
      </rPr>
      <t>AC-13</t>
    </r>
    <r>
      <rPr>
        <sz val="11"/>
        <rFont val="宋体"/>
        <family val="3"/>
        <charset val="134"/>
      </rPr>
      <t>（</t>
    </r>
    <r>
      <rPr>
        <sz val="11"/>
        <rFont val="Times New Roman"/>
        <family val="1"/>
      </rPr>
      <t>90#</t>
    </r>
    <r>
      <rPr>
        <sz val="11"/>
        <rFont val="宋体"/>
        <family val="3"/>
        <charset val="134"/>
      </rPr>
      <t>）</t>
    </r>
  </si>
  <si>
    <r>
      <rPr>
        <sz val="11"/>
        <color theme="1"/>
        <rFont val="Times New Roman"/>
        <family val="1"/>
      </rPr>
      <t>AC-13-1</t>
    </r>
    <r>
      <rPr>
        <sz val="11"/>
        <color theme="1"/>
        <rFont val="宋体"/>
        <family val="3"/>
        <charset val="134"/>
      </rPr>
      <t>（</t>
    </r>
    <r>
      <rPr>
        <sz val="11"/>
        <color theme="1"/>
        <rFont val="Times New Roman"/>
        <family val="1"/>
      </rPr>
      <t>91#</t>
    </r>
    <r>
      <rPr>
        <sz val="11"/>
        <color theme="1"/>
        <rFont val="宋体"/>
        <family val="3"/>
        <charset val="134"/>
      </rPr>
      <t>）</t>
    </r>
  </si>
  <si>
    <r>
      <rPr>
        <sz val="10.5"/>
        <color rgb="FF000000"/>
        <rFont val="宋体"/>
        <family val="3"/>
        <charset val="134"/>
      </rPr>
      <t>分析项</t>
    </r>
  </si>
  <si>
    <r>
      <rPr>
        <sz val="10.5"/>
        <color rgb="FF000000"/>
        <rFont val="宋体"/>
        <family val="3"/>
        <charset val="134"/>
      </rPr>
      <t>检测结果</t>
    </r>
  </si>
  <si>
    <r>
      <rPr>
        <sz val="11"/>
        <color theme="1"/>
        <rFont val="宋体"/>
        <family val="3"/>
        <charset val="134"/>
      </rPr>
      <t>分析项</t>
    </r>
  </si>
  <si>
    <r>
      <rPr>
        <sz val="11"/>
        <color theme="1"/>
        <rFont val="宋体"/>
        <family val="3"/>
        <charset val="134"/>
      </rPr>
      <t>最终结果</t>
    </r>
  </si>
  <si>
    <r>
      <rPr>
        <sz val="10.5"/>
        <color rgb="FF000000"/>
        <rFont val="宋体"/>
        <family val="3"/>
        <charset val="134"/>
      </rPr>
      <t>针入度</t>
    </r>
    <r>
      <rPr>
        <sz val="10.5"/>
        <color rgb="FF000000"/>
        <rFont val="Times New Roman"/>
        <family val="1"/>
      </rPr>
      <t xml:space="preserve"> 100g, 5s</t>
    </r>
    <r>
      <rPr>
        <sz val="10.5"/>
        <color rgb="FF000000"/>
        <rFont val="宋体"/>
        <family val="3"/>
        <charset val="134"/>
      </rPr>
      <t>，</t>
    </r>
    <r>
      <rPr>
        <sz val="10.5"/>
        <color rgb="FF000000"/>
        <rFont val="Times New Roman"/>
        <family val="1"/>
      </rPr>
      <t>25℃</t>
    </r>
  </si>
  <si>
    <r>
      <rPr>
        <sz val="10.5"/>
        <color theme="1"/>
        <rFont val="宋体"/>
        <family val="3"/>
        <charset val="134"/>
      </rPr>
      <t>针入度</t>
    </r>
  </si>
  <si>
    <r>
      <rPr>
        <sz val="11"/>
        <color theme="1"/>
        <rFont val="宋体"/>
        <family val="3"/>
        <charset val="134"/>
      </rPr>
      <t>平均值</t>
    </r>
  </si>
  <si>
    <r>
      <rPr>
        <sz val="10.5"/>
        <color rgb="FF000000"/>
        <rFont val="宋体"/>
        <family val="3"/>
        <charset val="134"/>
      </rPr>
      <t>针入度指数</t>
    </r>
    <r>
      <rPr>
        <sz val="10.5"/>
        <color rgb="FF000000"/>
        <rFont val="Times New Roman"/>
        <family val="1"/>
      </rPr>
      <t>PI</t>
    </r>
  </si>
  <si>
    <r>
      <rPr>
        <sz val="10.5"/>
        <color theme="1"/>
        <rFont val="宋体"/>
        <family val="3"/>
        <charset val="134"/>
      </rPr>
      <t>软化点</t>
    </r>
  </si>
  <si>
    <r>
      <rPr>
        <sz val="11"/>
        <color theme="1"/>
        <rFont val="宋体"/>
        <family val="3"/>
        <charset val="134"/>
      </rPr>
      <t>针入度</t>
    </r>
  </si>
  <si>
    <r>
      <rPr>
        <sz val="10.5"/>
        <color rgb="FF000000"/>
        <rFont val="宋体"/>
        <family val="3"/>
        <charset val="134"/>
      </rPr>
      <t>软化点</t>
    </r>
  </si>
  <si>
    <r>
      <rPr>
        <sz val="10.5"/>
        <color theme="1"/>
        <rFont val="宋体"/>
        <family val="3"/>
        <charset val="134"/>
      </rPr>
      <t>延度（</t>
    </r>
    <r>
      <rPr>
        <sz val="10.5"/>
        <color theme="1"/>
        <rFont val="Times New Roman"/>
        <family val="1"/>
      </rPr>
      <t>10</t>
    </r>
    <r>
      <rPr>
        <sz val="10.5"/>
        <color theme="1"/>
        <rFont val="宋体"/>
        <family val="3"/>
        <charset val="134"/>
      </rPr>
      <t>℃）</t>
    </r>
  </si>
  <si>
    <t>&gt;100</t>
  </si>
  <si>
    <r>
      <rPr>
        <sz val="11"/>
        <color theme="1"/>
        <rFont val="宋体"/>
        <family val="3"/>
        <charset val="134"/>
      </rPr>
      <t>针入度指数（实测值）</t>
    </r>
  </si>
  <si>
    <r>
      <rPr>
        <sz val="10.5"/>
        <color rgb="FF000000"/>
        <rFont val="Times New Roman"/>
        <family val="1"/>
      </rPr>
      <t>60℃</t>
    </r>
    <r>
      <rPr>
        <sz val="10.5"/>
        <color rgb="FF000000"/>
        <rFont val="宋体"/>
        <family val="3"/>
        <charset val="134"/>
      </rPr>
      <t>动力粘度</t>
    </r>
  </si>
  <si>
    <r>
      <rPr>
        <sz val="11"/>
        <color theme="1"/>
        <rFont val="宋体"/>
        <family val="3"/>
        <charset val="134"/>
      </rPr>
      <t>针入度指数</t>
    </r>
  </si>
  <si>
    <r>
      <rPr>
        <sz val="10.5"/>
        <color rgb="FF000000"/>
        <rFont val="Times New Roman"/>
        <family val="1"/>
      </rPr>
      <t>10℃</t>
    </r>
    <r>
      <rPr>
        <sz val="10.5"/>
        <color rgb="FF000000"/>
        <rFont val="宋体"/>
        <family val="3"/>
        <charset val="134"/>
      </rPr>
      <t>延度（</t>
    </r>
    <r>
      <rPr>
        <sz val="10.5"/>
        <color rgb="FF000000"/>
        <rFont val="Times New Roman"/>
        <family val="1"/>
      </rPr>
      <t>5cm/min</t>
    </r>
    <r>
      <rPr>
        <sz val="10.5"/>
        <color rgb="FF000000"/>
        <rFont val="宋体"/>
        <family val="3"/>
        <charset val="134"/>
      </rPr>
      <t>）</t>
    </r>
  </si>
  <si>
    <r>
      <rPr>
        <sz val="10.5"/>
        <color theme="1"/>
        <rFont val="宋体"/>
        <family val="3"/>
        <charset val="134"/>
      </rPr>
      <t>质量损失</t>
    </r>
  </si>
  <si>
    <r>
      <rPr>
        <sz val="11"/>
        <color theme="1"/>
        <rFont val="宋体"/>
        <family val="3"/>
        <charset val="134"/>
      </rPr>
      <t>软化点（实测）</t>
    </r>
  </si>
  <si>
    <r>
      <rPr>
        <sz val="10.5"/>
        <color rgb="FF000000"/>
        <rFont val="Times New Roman"/>
        <family val="1"/>
      </rPr>
      <t>15℃</t>
    </r>
    <r>
      <rPr>
        <sz val="10.5"/>
        <color rgb="FF000000"/>
        <rFont val="宋体"/>
        <family val="3"/>
        <charset val="134"/>
      </rPr>
      <t>延度（</t>
    </r>
    <r>
      <rPr>
        <sz val="10.5"/>
        <color rgb="FF000000"/>
        <rFont val="Times New Roman"/>
        <family val="1"/>
      </rPr>
      <t>5cm/min</t>
    </r>
    <r>
      <rPr>
        <sz val="10.5"/>
        <color rgb="FF000000"/>
        <rFont val="宋体"/>
        <family val="3"/>
        <charset val="134"/>
      </rPr>
      <t>）</t>
    </r>
  </si>
  <si>
    <t>&gt;150</t>
  </si>
  <si>
    <r>
      <rPr>
        <sz val="10.5"/>
        <color theme="1"/>
        <rFont val="宋体"/>
        <family val="3"/>
        <charset val="134"/>
      </rPr>
      <t>残留针入度比</t>
    </r>
  </si>
  <si>
    <r>
      <rPr>
        <sz val="11"/>
        <color theme="1"/>
        <rFont val="宋体"/>
        <family val="3"/>
        <charset val="134"/>
      </rPr>
      <t>软化点</t>
    </r>
  </si>
  <si>
    <r>
      <rPr>
        <sz val="10.5"/>
        <color rgb="FF000000"/>
        <rFont val="宋体"/>
        <family val="3"/>
        <charset val="134"/>
      </rPr>
      <t>蜡含量（蒸馏法）</t>
    </r>
  </si>
  <si>
    <r>
      <rPr>
        <sz val="10.5"/>
        <color theme="1"/>
        <rFont val="宋体"/>
        <family val="3"/>
        <charset val="134"/>
      </rPr>
      <t>残留延度（</t>
    </r>
    <r>
      <rPr>
        <sz val="10.5"/>
        <color theme="1"/>
        <rFont val="Times New Roman"/>
        <family val="1"/>
      </rPr>
      <t>10</t>
    </r>
    <r>
      <rPr>
        <sz val="10.5"/>
        <color theme="1"/>
        <rFont val="宋体"/>
        <family val="3"/>
        <charset val="134"/>
      </rPr>
      <t>℃）</t>
    </r>
  </si>
  <si>
    <r>
      <rPr>
        <sz val="11"/>
        <color theme="1"/>
        <rFont val="宋体"/>
        <family val="3"/>
        <charset val="134"/>
      </rPr>
      <t>动力粘度</t>
    </r>
  </si>
  <si>
    <r>
      <rPr>
        <sz val="10.5"/>
        <color rgb="FF000000"/>
        <rFont val="宋体"/>
        <family val="3"/>
        <charset val="134"/>
      </rPr>
      <t>闪点（</t>
    </r>
    <r>
      <rPr>
        <sz val="10.5"/>
        <color rgb="FF000000"/>
        <rFont val="Times New Roman"/>
        <family val="1"/>
      </rPr>
      <t>COC</t>
    </r>
    <r>
      <rPr>
        <sz val="10.5"/>
        <color rgb="FF000000"/>
        <rFont val="宋体"/>
        <family val="3"/>
        <charset val="134"/>
      </rPr>
      <t>）</t>
    </r>
  </si>
  <si>
    <r>
      <rPr>
        <sz val="10.5"/>
        <color theme="1"/>
        <rFont val="宋体"/>
        <family val="3"/>
        <charset val="134"/>
      </rPr>
      <t>残留软化点差</t>
    </r>
  </si>
  <si>
    <r>
      <rPr>
        <sz val="11"/>
        <color theme="1"/>
        <rFont val="宋体"/>
        <family val="3"/>
        <charset val="134"/>
      </rPr>
      <t>延度值</t>
    </r>
  </si>
  <si>
    <r>
      <rPr>
        <sz val="10.5"/>
        <color rgb="FF000000"/>
        <rFont val="宋体"/>
        <family val="3"/>
        <charset val="134"/>
      </rPr>
      <t>溶解度（三氯乙烯）</t>
    </r>
  </si>
  <si>
    <r>
      <rPr>
        <sz val="10.5"/>
        <color theme="1"/>
        <rFont val="Times New Roman"/>
        <family val="1"/>
      </rPr>
      <t>60</t>
    </r>
    <r>
      <rPr>
        <sz val="10.5"/>
        <color theme="1"/>
        <rFont val="宋体"/>
        <family val="3"/>
        <charset val="134"/>
      </rPr>
      <t>℃粘度比</t>
    </r>
  </si>
  <si>
    <r>
      <rPr>
        <sz val="11"/>
        <color theme="1"/>
        <rFont val="宋体"/>
        <family val="3"/>
        <charset val="134"/>
      </rPr>
      <t>延度（</t>
    </r>
    <r>
      <rPr>
        <sz val="11"/>
        <color theme="1"/>
        <rFont val="Times New Roman"/>
        <family val="1"/>
      </rPr>
      <t>5cm/min, 15</t>
    </r>
    <r>
      <rPr>
        <sz val="11"/>
        <color theme="1"/>
        <rFont val="宋体"/>
        <family val="3"/>
        <charset val="134"/>
      </rPr>
      <t>摄氏度）</t>
    </r>
  </si>
  <si>
    <r>
      <rPr>
        <sz val="10.5"/>
        <color rgb="FF000000"/>
        <rFont val="宋体"/>
        <family val="3"/>
        <charset val="134"/>
      </rPr>
      <t>密度（</t>
    </r>
    <r>
      <rPr>
        <sz val="10.5"/>
        <color rgb="FF000000"/>
        <rFont val="Times New Roman"/>
        <family val="1"/>
      </rPr>
      <t>15℃</t>
    </r>
    <r>
      <rPr>
        <sz val="10.5"/>
        <color rgb="FF000000"/>
        <rFont val="宋体"/>
        <family val="3"/>
        <charset val="134"/>
      </rPr>
      <t>）</t>
    </r>
  </si>
  <si>
    <r>
      <rPr>
        <sz val="11"/>
        <color theme="1"/>
        <rFont val="宋体"/>
        <family val="3"/>
        <charset val="134"/>
      </rPr>
      <t>蜡含量</t>
    </r>
  </si>
  <si>
    <r>
      <rPr>
        <sz val="10.5"/>
        <color rgb="FF000000"/>
        <rFont val="Times New Roman"/>
        <family val="1"/>
      </rPr>
      <t>TFOT</t>
    </r>
    <r>
      <rPr>
        <sz val="10.5"/>
        <color rgb="FF000000"/>
        <rFont val="宋体"/>
        <family val="3"/>
        <charset val="134"/>
      </rPr>
      <t>质量变化</t>
    </r>
  </si>
  <si>
    <r>
      <rPr>
        <sz val="11"/>
        <color theme="1"/>
        <rFont val="宋体"/>
        <family val="3"/>
        <charset val="134"/>
      </rPr>
      <t>闪点值</t>
    </r>
  </si>
  <si>
    <r>
      <rPr>
        <sz val="10.5"/>
        <color rgb="FF000000"/>
        <rFont val="Times New Roman"/>
        <family val="1"/>
      </rPr>
      <t>TFOT</t>
    </r>
    <r>
      <rPr>
        <sz val="10.5"/>
        <color rgb="FF000000"/>
        <rFont val="宋体"/>
        <family val="3"/>
        <charset val="134"/>
      </rPr>
      <t>残留针入度比</t>
    </r>
    <r>
      <rPr>
        <sz val="10.5"/>
        <color rgb="FF000000"/>
        <rFont val="Times New Roman"/>
        <family val="1"/>
      </rPr>
      <t>(25℃)</t>
    </r>
  </si>
  <si>
    <r>
      <rPr>
        <sz val="11"/>
        <color theme="1"/>
        <rFont val="宋体"/>
        <family val="3"/>
        <charset val="134"/>
      </rPr>
      <t>溶解度</t>
    </r>
  </si>
  <si>
    <r>
      <rPr>
        <sz val="10.5"/>
        <color rgb="FF000000"/>
        <rFont val="Times New Roman"/>
        <family val="1"/>
      </rPr>
      <t>TFOT</t>
    </r>
    <r>
      <rPr>
        <sz val="10.5"/>
        <color rgb="FF000000"/>
        <rFont val="宋体"/>
        <family val="3"/>
        <charset val="134"/>
      </rPr>
      <t>残留延度</t>
    </r>
    <r>
      <rPr>
        <sz val="10.5"/>
        <color rgb="FF000000"/>
        <rFont val="Times New Roman"/>
        <family val="1"/>
      </rPr>
      <t>(10℃)</t>
    </r>
  </si>
  <si>
    <r>
      <rPr>
        <sz val="11"/>
        <color theme="1"/>
        <rFont val="宋体"/>
        <family val="3"/>
        <charset val="134"/>
      </rPr>
      <t>沥青的密度</t>
    </r>
  </si>
  <si>
    <r>
      <rPr>
        <sz val="10.5"/>
        <color rgb="FF000000"/>
        <rFont val="Times New Roman"/>
        <family val="1"/>
      </rPr>
      <t>TFOT</t>
    </r>
    <r>
      <rPr>
        <sz val="10.5"/>
        <color rgb="FF000000"/>
        <rFont val="宋体"/>
        <family val="3"/>
        <charset val="134"/>
      </rPr>
      <t>软化点差</t>
    </r>
  </si>
  <si>
    <r>
      <rPr>
        <sz val="11"/>
        <color theme="1"/>
        <rFont val="宋体"/>
        <family val="3"/>
        <charset val="134"/>
      </rPr>
      <t>试样薄膜加热质量变化</t>
    </r>
  </si>
  <si>
    <r>
      <rPr>
        <sz val="10.5"/>
        <color rgb="FF000000"/>
        <rFont val="Times New Roman"/>
        <family val="1"/>
      </rPr>
      <t>60℃</t>
    </r>
    <r>
      <rPr>
        <sz val="10.5"/>
        <color rgb="FF000000"/>
        <rFont val="宋体"/>
        <family val="3"/>
        <charset val="134"/>
      </rPr>
      <t>旋转粘度比</t>
    </r>
  </si>
  <si>
    <r>
      <rPr>
        <sz val="11"/>
        <color theme="1"/>
        <rFont val="宋体"/>
        <family val="3"/>
        <charset val="134"/>
      </rPr>
      <t>残留针入度比</t>
    </r>
  </si>
  <si>
    <r>
      <rPr>
        <sz val="11"/>
        <color theme="1"/>
        <rFont val="宋体"/>
        <family val="3"/>
        <charset val="134"/>
      </rPr>
      <t>残留延度</t>
    </r>
    <r>
      <rPr>
        <sz val="11"/>
        <color theme="1"/>
        <rFont val="Times New Roman"/>
        <family val="1"/>
      </rPr>
      <t>(10</t>
    </r>
    <r>
      <rPr>
        <sz val="11"/>
        <color theme="1"/>
        <rFont val="宋体"/>
        <family val="3"/>
        <charset val="134"/>
      </rPr>
      <t>℃</t>
    </r>
    <r>
      <rPr>
        <sz val="11"/>
        <color theme="1"/>
        <rFont val="Times New Roman"/>
        <family val="1"/>
      </rPr>
      <t>)</t>
    </r>
    <r>
      <rPr>
        <sz val="11"/>
        <color theme="1"/>
        <rFont val="宋体"/>
        <family val="3"/>
        <charset val="134"/>
      </rPr>
      <t>（实测值）</t>
    </r>
  </si>
  <si>
    <r>
      <rPr>
        <sz val="11"/>
        <color theme="1"/>
        <rFont val="宋体"/>
        <family val="3"/>
        <charset val="134"/>
      </rPr>
      <t>残留延度值</t>
    </r>
  </si>
  <si>
    <r>
      <t>试件</t>
    </r>
    <r>
      <rPr>
        <sz val="11"/>
        <color theme="1"/>
        <rFont val="Times New Roman"/>
        <family val="1"/>
      </rPr>
      <t>1</t>
    </r>
  </si>
  <si>
    <r>
      <t>试件</t>
    </r>
    <r>
      <rPr>
        <sz val="11"/>
        <color theme="1"/>
        <rFont val="Times New Roman"/>
        <family val="1"/>
      </rPr>
      <t>2</t>
    </r>
  </si>
  <si>
    <r>
      <t>试件</t>
    </r>
    <r>
      <rPr>
        <sz val="11"/>
        <color theme="1"/>
        <rFont val="Times New Roman"/>
        <family val="1"/>
      </rPr>
      <t>3</t>
    </r>
  </si>
  <si>
    <r>
      <t>试件</t>
    </r>
    <r>
      <rPr>
        <sz val="11"/>
        <color theme="1"/>
        <rFont val="Times New Roman"/>
        <family val="1"/>
      </rPr>
      <t>4</t>
    </r>
  </si>
  <si>
    <r>
      <t>粗</t>
    </r>
    <r>
      <rPr>
        <sz val="11"/>
        <color theme="1"/>
        <rFont val="Times New Roman"/>
        <family val="1"/>
      </rPr>
      <t>RAP</t>
    </r>
    <r>
      <rPr>
        <sz val="11"/>
        <color theme="1"/>
        <rFont val="宋体"/>
        <family val="3"/>
        <charset val="134"/>
      </rPr>
      <t>料</t>
    </r>
  </si>
  <si>
    <r>
      <t>细</t>
    </r>
    <r>
      <rPr>
        <sz val="11"/>
        <color theme="1"/>
        <rFont val="Times New Roman"/>
        <family val="1"/>
      </rPr>
      <t>RAP</t>
    </r>
    <r>
      <rPr>
        <sz val="11"/>
        <color theme="1"/>
        <rFont val="宋体"/>
        <family val="3"/>
        <charset val="134"/>
      </rPr>
      <t>料</t>
    </r>
  </si>
  <si>
    <r>
      <t>级配</t>
    </r>
    <r>
      <rPr>
        <sz val="11"/>
        <color theme="1"/>
        <rFont val="Times New Roman"/>
        <family val="1"/>
      </rPr>
      <t>1</t>
    </r>
  </si>
  <si>
    <r>
      <t>RAP</t>
    </r>
    <r>
      <rPr>
        <sz val="11"/>
        <color theme="1"/>
        <rFont val="宋体"/>
        <family val="3"/>
        <charset val="134"/>
      </rPr>
      <t>油石比</t>
    </r>
    <r>
      <rPr>
        <sz val="11"/>
        <color theme="1"/>
        <rFont val="Times New Roman"/>
        <family val="1"/>
      </rPr>
      <t>Pri</t>
    </r>
    <r>
      <rPr>
        <sz val="11"/>
        <color theme="1"/>
        <rFont val="宋体"/>
        <family val="3"/>
        <charset val="134"/>
      </rPr>
      <t>（</t>
    </r>
    <r>
      <rPr>
        <sz val="11"/>
        <color theme="1"/>
        <rFont val="Times New Roman"/>
        <family val="1"/>
      </rPr>
      <t>%</t>
    </r>
    <r>
      <rPr>
        <sz val="11"/>
        <color theme="1"/>
        <rFont val="宋体"/>
        <family val="3"/>
        <charset val="134"/>
      </rPr>
      <t>）</t>
    </r>
  </si>
  <si>
    <t>90#
AC-20-1</t>
  </si>
  <si>
    <t>90#1（90#）</t>
  </si>
  <si>
    <t>90#1（实验室自制）</t>
  </si>
  <si>
    <t>90#
AC-20-2</t>
  </si>
  <si>
    <t>90#2（90#对比）</t>
  </si>
  <si>
    <t>90#对比</t>
  </si>
  <si>
    <t>90#1</t>
  </si>
  <si>
    <t>90#2（实验室自制）</t>
  </si>
  <si>
    <t>90#对比样</t>
  </si>
  <si>
    <t>90#-5</t>
  </si>
  <si>
    <t>90#-1（90）</t>
  </si>
  <si>
    <r>
      <rPr>
        <sz val="12"/>
        <color theme="1"/>
        <rFont val="宋体"/>
        <family val="3"/>
        <charset val="134"/>
      </rPr>
      <t>核心执行任务</t>
    </r>
  </si>
  <si>
    <r>
      <rPr>
        <sz val="12"/>
        <color theme="1"/>
        <rFont val="宋体"/>
        <family val="3"/>
        <charset val="134"/>
      </rPr>
      <t>第一阶段：原材料处理与基础性能测定</t>
    </r>
  </si>
  <si>
    <r>
      <rPr>
        <sz val="12"/>
        <color theme="1"/>
        <rFont val="宋体"/>
        <family val="3"/>
        <charset val="134"/>
      </rPr>
      <t>完成原材料取样、筛分、密度及沥青含量测试，获取基础参数</t>
    </r>
  </si>
  <si>
    <r>
      <rPr>
        <sz val="12"/>
        <color theme="1"/>
        <rFont val="宋体"/>
        <family val="3"/>
        <charset val="134"/>
      </rPr>
      <t>四分法取样规范；粗细集料密度测定方法区分</t>
    </r>
  </si>
  <si>
    <r>
      <t>1.1</t>
    </r>
    <r>
      <rPr>
        <sz val="12"/>
        <color theme="1"/>
        <rFont val="宋体"/>
        <family val="3"/>
        <charset val="134"/>
      </rPr>
      <t>集料筛分与</t>
    </r>
    <r>
      <rPr>
        <sz val="12"/>
        <color theme="1"/>
        <rFont val="Times New Roman"/>
        <family val="1"/>
      </rPr>
      <t>RAP</t>
    </r>
    <r>
      <rPr>
        <sz val="12"/>
        <color theme="1"/>
        <rFont val="宋体"/>
        <family val="3"/>
        <charset val="134"/>
      </rPr>
      <t>沥青含量测定</t>
    </r>
  </si>
  <si>
    <r>
      <t xml:space="preserve">1. </t>
    </r>
    <r>
      <rPr>
        <sz val="12"/>
        <color theme="1"/>
        <rFont val="宋体"/>
        <family val="3"/>
        <charset val="134"/>
      </rPr>
      <t xml:space="preserve">新集料：四分法取样→水洗烘干→标准筛分→计算通过率；
</t>
    </r>
    <r>
      <rPr>
        <sz val="12"/>
        <color theme="1"/>
        <rFont val="Times New Roman"/>
        <family val="1"/>
      </rPr>
      <t>2. RAP</t>
    </r>
    <r>
      <rPr>
        <sz val="12"/>
        <color theme="1"/>
        <rFont val="宋体"/>
        <family val="3"/>
        <charset val="134"/>
      </rPr>
      <t>料：四分法取样→烘干→燃烧</t>
    </r>
    <r>
      <rPr>
        <sz val="12"/>
        <color theme="1"/>
        <rFont val="Times New Roman"/>
        <family val="1"/>
      </rPr>
      <t>/</t>
    </r>
    <r>
      <rPr>
        <sz val="12"/>
        <color theme="1"/>
        <rFont val="宋体"/>
        <family val="3"/>
        <charset val="134"/>
      </rPr>
      <t>离心抽提法测沥青含量→矿料水洗筛分→计算级配</t>
    </r>
  </si>
  <si>
    <r>
      <t>1. RAP</t>
    </r>
    <r>
      <rPr>
        <sz val="12"/>
        <color theme="1"/>
        <rFont val="宋体"/>
        <family val="3"/>
        <charset val="134"/>
      </rPr>
      <t>按</t>
    </r>
    <r>
      <rPr>
        <sz val="12"/>
        <color theme="1"/>
        <rFont val="Times New Roman"/>
        <family val="1"/>
      </rPr>
      <t>9.5mm</t>
    </r>
    <r>
      <rPr>
        <sz val="12"/>
        <color theme="1"/>
        <rFont val="宋体"/>
        <family val="3"/>
        <charset val="134"/>
      </rPr>
      <t xml:space="preserve">关键筛孔分粗细档处理；
</t>
    </r>
    <r>
      <rPr>
        <sz val="12"/>
        <color theme="1"/>
        <rFont val="Times New Roman"/>
        <family val="1"/>
      </rPr>
      <t xml:space="preserve">2. </t>
    </r>
    <r>
      <rPr>
        <sz val="12"/>
        <color theme="1"/>
        <rFont val="宋体"/>
        <family val="3"/>
        <charset val="134"/>
      </rPr>
      <t>严格记录水洗前后、筛分后质量数据</t>
    </r>
  </si>
  <si>
    <r>
      <t>1.2</t>
    </r>
    <r>
      <rPr>
        <sz val="12"/>
        <color theme="1"/>
        <rFont val="宋体"/>
        <family val="3"/>
        <charset val="134"/>
      </rPr>
      <t>集料密度测定</t>
    </r>
  </si>
  <si>
    <r>
      <t xml:space="preserve">1. </t>
    </r>
    <r>
      <rPr>
        <sz val="12"/>
        <color theme="1"/>
        <rFont val="宋体"/>
        <family val="3"/>
        <charset val="134"/>
      </rPr>
      <t>粗集料（</t>
    </r>
    <r>
      <rPr>
        <sz val="12"/>
        <color theme="1"/>
        <rFont val="Times New Roman"/>
        <family val="1"/>
      </rPr>
      <t>2.36/4.75mm</t>
    </r>
    <r>
      <rPr>
        <sz val="12"/>
        <color theme="1"/>
        <rFont val="宋体"/>
        <family val="3"/>
        <charset val="134"/>
      </rPr>
      <t xml:space="preserve">）：水中重法测干燥、水中、表干状态质量→计算密度；
</t>
    </r>
    <r>
      <rPr>
        <sz val="12"/>
        <color theme="1"/>
        <rFont val="Times New Roman"/>
        <family val="1"/>
      </rPr>
      <t xml:space="preserve">2. </t>
    </r>
    <r>
      <rPr>
        <sz val="12"/>
        <color theme="1"/>
        <rFont val="宋体"/>
        <family val="3"/>
        <charset val="134"/>
      </rPr>
      <t>细集料（</t>
    </r>
    <r>
      <rPr>
        <sz val="12"/>
        <color theme="1"/>
        <rFont val="Times New Roman"/>
        <family val="1"/>
      </rPr>
      <t>&lt;2.36mm</t>
    </r>
    <r>
      <rPr>
        <sz val="12"/>
        <color theme="1"/>
        <rFont val="宋体"/>
        <family val="3"/>
        <charset val="134"/>
      </rPr>
      <t>）：容量瓶法测相关质量→计算密度</t>
    </r>
  </si>
  <si>
    <r>
      <rPr>
        <sz val="12"/>
        <color theme="1"/>
        <rFont val="宋体"/>
        <family val="3"/>
        <charset val="134"/>
      </rPr>
      <t>第二阶段：</t>
    </r>
    <r>
      <rPr>
        <sz val="12"/>
        <color theme="1"/>
        <rFont val="Times New Roman"/>
        <family val="1"/>
      </rPr>
      <t>RA90#</t>
    </r>
    <r>
      <rPr>
        <sz val="12"/>
        <color theme="1"/>
        <rFont val="宋体"/>
        <family val="3"/>
        <charset val="134"/>
      </rPr>
      <t>混合料配合比设计</t>
    </r>
  </si>
  <si>
    <r>
      <t>3</t>
    </r>
    <r>
      <rPr>
        <sz val="12"/>
        <color theme="1"/>
        <rFont val="宋体"/>
        <family val="3"/>
        <charset val="134"/>
      </rPr>
      <t>组合成级配方案、最佳沥青用量（</t>
    </r>
    <r>
      <rPr>
        <sz val="12"/>
        <color theme="1"/>
        <rFont val="Times New Roman"/>
        <family val="1"/>
      </rPr>
      <t>OAC</t>
    </r>
    <r>
      <rPr>
        <sz val="12"/>
        <color theme="1"/>
        <rFont val="宋体"/>
        <family val="3"/>
        <charset val="134"/>
      </rPr>
      <t>）、</t>
    </r>
    <r>
      <rPr>
        <sz val="12"/>
        <color theme="1"/>
        <rFont val="Times New Roman"/>
        <family val="1"/>
      </rPr>
      <t>VV/VMA/VFA</t>
    </r>
    <r>
      <rPr>
        <sz val="12"/>
        <color theme="1"/>
        <rFont val="宋体"/>
        <family val="3"/>
        <charset val="134"/>
      </rPr>
      <t>指标</t>
    </r>
  </si>
  <si>
    <r>
      <t>2.1</t>
    </r>
    <r>
      <rPr>
        <sz val="12"/>
        <color theme="1"/>
        <rFont val="宋体"/>
        <family val="3"/>
        <charset val="134"/>
      </rPr>
      <t>矿料合成级配设计</t>
    </r>
  </si>
  <si>
    <r>
      <t xml:space="preserve">1. </t>
    </r>
    <r>
      <rPr>
        <sz val="12"/>
        <color theme="1"/>
        <rFont val="宋体"/>
        <family val="3"/>
        <charset val="134"/>
      </rPr>
      <t>确定</t>
    </r>
    <r>
      <rPr>
        <sz val="12"/>
        <color theme="1"/>
        <rFont val="Times New Roman"/>
        <family val="1"/>
      </rPr>
      <t>RAP</t>
    </r>
    <r>
      <rPr>
        <sz val="12"/>
        <color theme="1"/>
        <rFont val="宋体"/>
        <family val="3"/>
        <charset val="134"/>
      </rPr>
      <t>掺配比例（</t>
    </r>
    <r>
      <rPr>
        <sz val="12"/>
        <color theme="1"/>
        <rFont val="Times New Roman"/>
        <family val="1"/>
      </rPr>
      <t>30%/40%</t>
    </r>
    <r>
      <rPr>
        <sz val="12"/>
        <color theme="1"/>
        <rFont val="宋体"/>
        <family val="3"/>
        <charset val="134"/>
      </rPr>
      <t>等），粗细</t>
    </r>
    <r>
      <rPr>
        <sz val="12"/>
        <color theme="1"/>
        <rFont val="Times New Roman"/>
        <family val="1"/>
      </rPr>
      <t>RAP</t>
    </r>
    <r>
      <rPr>
        <sz val="12"/>
        <color theme="1"/>
        <rFont val="宋体"/>
        <family val="3"/>
        <charset val="134"/>
      </rPr>
      <t xml:space="preserve">分开设计；
</t>
    </r>
    <r>
      <rPr>
        <sz val="12"/>
        <color theme="1"/>
        <rFont val="Times New Roman"/>
        <family val="1"/>
      </rPr>
      <t xml:space="preserve">2. </t>
    </r>
    <r>
      <rPr>
        <sz val="12"/>
        <color theme="1"/>
        <rFont val="宋体"/>
        <family val="3"/>
        <charset val="134"/>
      </rPr>
      <t>设计</t>
    </r>
    <r>
      <rPr>
        <sz val="12"/>
        <color theme="1"/>
        <rFont val="Times New Roman"/>
        <family val="1"/>
      </rPr>
      <t>3</t>
    </r>
    <r>
      <rPr>
        <sz val="12"/>
        <color theme="1"/>
        <rFont val="宋体"/>
        <family val="3"/>
        <charset val="134"/>
      </rPr>
      <t>组粗细不同的合成级配（上</t>
    </r>
    <r>
      <rPr>
        <sz val="12"/>
        <color theme="1"/>
        <rFont val="Times New Roman"/>
        <family val="1"/>
      </rPr>
      <t>/</t>
    </r>
    <r>
      <rPr>
        <sz val="12"/>
        <color theme="1"/>
        <rFont val="宋体"/>
        <family val="3"/>
        <charset val="134"/>
      </rPr>
      <t>中</t>
    </r>
    <r>
      <rPr>
        <sz val="12"/>
        <color theme="1"/>
        <rFont val="Times New Roman"/>
        <family val="1"/>
      </rPr>
      <t>/</t>
    </r>
    <r>
      <rPr>
        <sz val="12"/>
        <color theme="1"/>
        <rFont val="宋体"/>
        <family val="3"/>
        <charset val="134"/>
      </rPr>
      <t>下限）；</t>
    </r>
  </si>
  <si>
    <r>
      <t>3</t>
    </r>
    <r>
      <rPr>
        <sz val="12"/>
        <color theme="1"/>
        <rFont val="宋体"/>
        <family val="3"/>
        <charset val="134"/>
      </rPr>
      <t>组合成级配方案</t>
    </r>
  </si>
  <si>
    <r>
      <rPr>
        <sz val="12"/>
        <color theme="1"/>
        <rFont val="宋体"/>
        <family val="3"/>
        <charset val="134"/>
      </rPr>
      <t>合成级配曲线需平顺</t>
    </r>
  </si>
  <si>
    <r>
      <t>2.2</t>
    </r>
    <r>
      <rPr>
        <sz val="12"/>
        <color theme="1"/>
        <rFont val="宋体"/>
        <family val="3"/>
        <charset val="134"/>
      </rPr>
      <t>最佳沥青用量与体积指标验证</t>
    </r>
  </si>
  <si>
    <r>
      <t xml:space="preserve">1. </t>
    </r>
    <r>
      <rPr>
        <sz val="12"/>
        <color theme="1"/>
        <rFont val="宋体"/>
        <family val="3"/>
        <charset val="134"/>
      </rPr>
      <t>按合成级配</t>
    </r>
    <r>
      <rPr>
        <sz val="12"/>
        <color theme="1"/>
        <rFont val="Times New Roman"/>
        <family val="1"/>
      </rPr>
      <t>+</t>
    </r>
    <r>
      <rPr>
        <sz val="12"/>
        <color theme="1"/>
        <rFont val="宋体"/>
        <family val="3"/>
        <charset val="134"/>
      </rPr>
      <t xml:space="preserve">预估沥青用量制备马歇尔试件；
</t>
    </r>
    <r>
      <rPr>
        <sz val="12"/>
        <color theme="1"/>
        <rFont val="Times New Roman"/>
        <family val="1"/>
      </rPr>
      <t xml:space="preserve">2. </t>
    </r>
    <r>
      <rPr>
        <sz val="12"/>
        <color theme="1"/>
        <rFont val="宋体"/>
        <family val="3"/>
        <charset val="134"/>
      </rPr>
      <t xml:space="preserve">真空法测理论最大密度，表干法测毛体积密度；
</t>
    </r>
    <r>
      <rPr>
        <sz val="12"/>
        <color theme="1"/>
        <rFont val="Times New Roman"/>
        <family val="1"/>
      </rPr>
      <t xml:space="preserve">3. </t>
    </r>
    <r>
      <rPr>
        <sz val="12"/>
        <color theme="1"/>
        <rFont val="宋体"/>
        <family val="3"/>
        <charset val="134"/>
      </rPr>
      <t>计算</t>
    </r>
    <r>
      <rPr>
        <sz val="12"/>
        <color theme="1"/>
        <rFont val="Times New Roman"/>
        <family val="1"/>
      </rPr>
      <t>VV/VMA/VFA</t>
    </r>
    <r>
      <rPr>
        <sz val="12"/>
        <color theme="1"/>
        <rFont val="宋体"/>
        <family val="3"/>
        <charset val="134"/>
      </rPr>
      <t>，绘制指标</t>
    </r>
    <r>
      <rPr>
        <sz val="12"/>
        <color theme="1"/>
        <rFont val="Times New Roman"/>
        <family val="1"/>
      </rPr>
      <t>-</t>
    </r>
    <r>
      <rPr>
        <sz val="12"/>
        <color theme="1"/>
        <rFont val="宋体"/>
        <family val="3"/>
        <charset val="134"/>
      </rPr>
      <t>沥青用量曲线→确定</t>
    </r>
    <r>
      <rPr>
        <sz val="12"/>
        <color theme="1"/>
        <rFont val="Times New Roman"/>
        <family val="1"/>
      </rPr>
      <t>OAC</t>
    </r>
  </si>
  <si>
    <r>
      <rPr>
        <sz val="12"/>
        <color theme="1"/>
        <rFont val="宋体"/>
        <family val="3"/>
        <charset val="134"/>
      </rPr>
      <t>第三阶段：</t>
    </r>
    <r>
      <rPr>
        <sz val="12"/>
        <color theme="1"/>
        <rFont val="Times New Roman"/>
        <family val="1"/>
      </rPr>
      <t>RA90#</t>
    </r>
    <r>
      <rPr>
        <sz val="12"/>
        <color theme="1"/>
        <rFont val="宋体"/>
        <family val="3"/>
        <charset val="134"/>
      </rPr>
      <t>混合料路用性能试验</t>
    </r>
  </si>
  <si>
    <r>
      <rPr>
        <sz val="12"/>
        <color theme="1"/>
        <rFont val="宋体"/>
        <family val="3"/>
        <charset val="134"/>
      </rPr>
      <t>完成马歇尔、水稳定性、高低温性能试验，验证混合料路用性能</t>
    </r>
  </si>
  <si>
    <r>
      <t>3.1</t>
    </r>
    <r>
      <rPr>
        <sz val="12"/>
        <color theme="1"/>
        <rFont val="宋体"/>
        <family val="3"/>
        <charset val="134"/>
      </rPr>
      <t>马歇尔稳定度与流值试验</t>
    </r>
  </si>
  <si>
    <r>
      <t xml:space="preserve">1. </t>
    </r>
    <r>
      <rPr>
        <sz val="12"/>
        <color theme="1"/>
        <rFont val="宋体"/>
        <family val="3"/>
        <charset val="134"/>
      </rPr>
      <t>马歇尔试件</t>
    </r>
    <r>
      <rPr>
        <sz val="12"/>
        <color theme="1"/>
        <rFont val="Times New Roman"/>
        <family val="1"/>
      </rPr>
      <t>60</t>
    </r>
    <r>
      <rPr>
        <sz val="12"/>
        <color theme="1"/>
        <rFont val="Segoe UI Symbol"/>
        <family val="2"/>
      </rPr>
      <t>℃</t>
    </r>
    <r>
      <rPr>
        <sz val="12"/>
        <color theme="1"/>
        <rFont val="宋体"/>
        <family val="3"/>
        <charset val="134"/>
      </rPr>
      <t>保温</t>
    </r>
    <r>
      <rPr>
        <sz val="12"/>
        <color theme="1"/>
        <rFont val="Times New Roman"/>
        <family val="1"/>
      </rPr>
      <t>30-40min</t>
    </r>
    <r>
      <rPr>
        <sz val="12"/>
        <color theme="1"/>
        <rFont val="宋体"/>
        <family val="3"/>
        <charset val="134"/>
      </rPr>
      <t xml:space="preserve">；
</t>
    </r>
    <r>
      <rPr>
        <sz val="12"/>
        <color theme="1"/>
        <rFont val="Times New Roman"/>
        <family val="1"/>
      </rPr>
      <t>2. 50mm/min</t>
    </r>
    <r>
      <rPr>
        <sz val="12"/>
        <color theme="1"/>
        <rFont val="宋体"/>
        <family val="3"/>
        <charset val="134"/>
      </rPr>
      <t xml:space="preserve">速率加载至破坏；
</t>
    </r>
    <r>
      <rPr>
        <sz val="12"/>
        <color theme="1"/>
        <rFont val="Times New Roman"/>
        <family val="1"/>
      </rPr>
      <t xml:space="preserve">3. </t>
    </r>
    <r>
      <rPr>
        <sz val="12"/>
        <color theme="1"/>
        <rFont val="宋体"/>
        <family val="3"/>
        <charset val="134"/>
      </rPr>
      <t>记录稳定度与流值</t>
    </r>
  </si>
  <si>
    <r>
      <t>3.2</t>
    </r>
    <r>
      <rPr>
        <sz val="12"/>
        <color theme="1"/>
        <rFont val="宋体"/>
        <family val="3"/>
        <charset val="134"/>
      </rPr>
      <t>水稳定性试验</t>
    </r>
  </si>
  <si>
    <r>
      <t xml:space="preserve">1. </t>
    </r>
    <r>
      <rPr>
        <sz val="12"/>
        <color theme="1"/>
        <rFont val="宋体"/>
        <family val="3"/>
        <charset val="134"/>
      </rPr>
      <t>冻融劈裂：试件饱水→</t>
    </r>
    <r>
      <rPr>
        <sz val="12"/>
        <color theme="1"/>
        <rFont val="Times New Roman"/>
        <family val="1"/>
      </rPr>
      <t>-18</t>
    </r>
    <r>
      <rPr>
        <sz val="12"/>
        <color theme="1"/>
        <rFont val="Segoe UI Symbol"/>
        <family val="2"/>
      </rPr>
      <t>℃</t>
    </r>
    <r>
      <rPr>
        <sz val="12"/>
        <color theme="1"/>
        <rFont val="宋体"/>
        <family val="3"/>
        <charset val="134"/>
      </rPr>
      <t>冷冻</t>
    </r>
    <r>
      <rPr>
        <sz val="12"/>
        <color theme="1"/>
        <rFont val="Times New Roman"/>
        <family val="1"/>
      </rPr>
      <t>16h</t>
    </r>
    <r>
      <rPr>
        <sz val="12"/>
        <color theme="1"/>
        <rFont val="宋体"/>
        <family val="3"/>
        <charset val="134"/>
      </rPr>
      <t>→</t>
    </r>
    <r>
      <rPr>
        <sz val="12"/>
        <color theme="1"/>
        <rFont val="Times New Roman"/>
        <family val="1"/>
      </rPr>
      <t>60</t>
    </r>
    <r>
      <rPr>
        <sz val="12"/>
        <color theme="1"/>
        <rFont val="Segoe UI Symbol"/>
        <family val="2"/>
      </rPr>
      <t>℃</t>
    </r>
    <r>
      <rPr>
        <sz val="12"/>
        <color theme="1"/>
        <rFont val="宋体"/>
        <family val="3"/>
        <charset val="134"/>
      </rPr>
      <t>水浴</t>
    </r>
    <r>
      <rPr>
        <sz val="12"/>
        <color theme="1"/>
        <rFont val="Times New Roman"/>
        <family val="1"/>
      </rPr>
      <t>24h</t>
    </r>
    <r>
      <rPr>
        <sz val="12"/>
        <color theme="1"/>
        <rFont val="宋体"/>
        <family val="3"/>
        <charset val="134"/>
      </rPr>
      <t>→</t>
    </r>
    <r>
      <rPr>
        <sz val="12"/>
        <color theme="1"/>
        <rFont val="Times New Roman"/>
        <family val="1"/>
      </rPr>
      <t>25</t>
    </r>
    <r>
      <rPr>
        <sz val="12"/>
        <color theme="1"/>
        <rFont val="Segoe UI Symbol"/>
        <family val="2"/>
      </rPr>
      <t>℃</t>
    </r>
    <r>
      <rPr>
        <sz val="12"/>
        <color theme="1"/>
        <rFont val="宋体"/>
        <family val="3"/>
        <charset val="134"/>
      </rPr>
      <t>保温</t>
    </r>
    <r>
      <rPr>
        <sz val="12"/>
        <color theme="1"/>
        <rFont val="Times New Roman"/>
        <family val="1"/>
      </rPr>
      <t>2h</t>
    </r>
    <r>
      <rPr>
        <sz val="12"/>
        <color theme="1"/>
        <rFont val="宋体"/>
        <family val="3"/>
        <charset val="134"/>
      </rPr>
      <t>→劈裂试验→计算</t>
    </r>
    <r>
      <rPr>
        <sz val="12"/>
        <color theme="1"/>
        <rFont val="Times New Roman"/>
        <family val="1"/>
      </rPr>
      <t>TSR</t>
    </r>
    <r>
      <rPr>
        <sz val="12"/>
        <color theme="1"/>
        <rFont val="宋体"/>
        <family val="3"/>
        <charset val="134"/>
      </rPr>
      <t xml:space="preserve">；
</t>
    </r>
    <r>
      <rPr>
        <sz val="12"/>
        <color theme="1"/>
        <rFont val="Times New Roman"/>
        <family val="1"/>
      </rPr>
      <t xml:space="preserve">2. </t>
    </r>
    <r>
      <rPr>
        <sz val="12"/>
        <color theme="1"/>
        <rFont val="宋体"/>
        <family val="3"/>
        <charset val="134"/>
      </rPr>
      <t>浸水马歇尔：试件</t>
    </r>
    <r>
      <rPr>
        <sz val="12"/>
        <color theme="1"/>
        <rFont val="Times New Roman"/>
        <family val="1"/>
      </rPr>
      <t>60</t>
    </r>
    <r>
      <rPr>
        <sz val="12"/>
        <color theme="1"/>
        <rFont val="Segoe UI Symbol"/>
        <family val="2"/>
      </rPr>
      <t>℃</t>
    </r>
    <r>
      <rPr>
        <sz val="12"/>
        <color theme="1"/>
        <rFont val="宋体"/>
        <family val="3"/>
        <charset val="134"/>
      </rPr>
      <t>浸泡</t>
    </r>
    <r>
      <rPr>
        <sz val="12"/>
        <color theme="1"/>
        <rFont val="Times New Roman"/>
        <family val="1"/>
      </rPr>
      <t>48h</t>
    </r>
    <r>
      <rPr>
        <sz val="12"/>
        <color theme="1"/>
        <rFont val="宋体"/>
        <family val="3"/>
        <charset val="134"/>
      </rPr>
      <t>→测稳定度→计算残留稳定度比</t>
    </r>
  </si>
  <si>
    <r>
      <t>3.3</t>
    </r>
    <r>
      <rPr>
        <sz val="12"/>
        <color theme="1"/>
        <rFont val="宋体"/>
        <family val="3"/>
        <charset val="134"/>
      </rPr>
      <t>高温稳定性试验（车辙试验）</t>
    </r>
  </si>
  <si>
    <r>
      <t xml:space="preserve">1. </t>
    </r>
    <r>
      <rPr>
        <sz val="12"/>
        <color theme="1"/>
        <rFont val="宋体"/>
        <family val="3"/>
        <charset val="134"/>
      </rPr>
      <t>轮碾法成型</t>
    </r>
    <r>
      <rPr>
        <sz val="12"/>
        <color theme="1"/>
        <rFont val="Times New Roman"/>
        <family val="1"/>
      </rPr>
      <t>300×300×50mm</t>
    </r>
    <r>
      <rPr>
        <sz val="12"/>
        <color theme="1"/>
        <rFont val="宋体"/>
        <family val="3"/>
        <charset val="134"/>
      </rPr>
      <t xml:space="preserve">板块试件；
</t>
    </r>
    <r>
      <rPr>
        <sz val="12"/>
        <color theme="1"/>
        <rFont val="Times New Roman"/>
        <family val="1"/>
      </rPr>
      <t>2. 60</t>
    </r>
    <r>
      <rPr>
        <sz val="12"/>
        <color theme="1"/>
        <rFont val="Segoe UI Symbol"/>
        <family val="2"/>
      </rPr>
      <t>℃</t>
    </r>
    <r>
      <rPr>
        <sz val="12"/>
        <color theme="1"/>
        <rFont val="宋体"/>
        <family val="3"/>
        <charset val="134"/>
      </rPr>
      <t>保温大于</t>
    </r>
    <r>
      <rPr>
        <sz val="12"/>
        <color theme="1"/>
        <rFont val="Times New Roman"/>
        <family val="1"/>
      </rPr>
      <t>4h</t>
    </r>
    <r>
      <rPr>
        <sz val="12"/>
        <color theme="1"/>
        <rFont val="宋体"/>
        <family val="3"/>
        <charset val="134"/>
      </rPr>
      <t>，轮压</t>
    </r>
    <r>
      <rPr>
        <sz val="12"/>
        <color theme="1"/>
        <rFont val="Times New Roman"/>
        <family val="1"/>
      </rPr>
      <t>0.7MPa</t>
    </r>
    <r>
      <rPr>
        <sz val="12"/>
        <color theme="1"/>
        <rFont val="宋体"/>
        <family val="3"/>
        <charset val="134"/>
      </rPr>
      <t xml:space="preserve">；
</t>
    </r>
    <r>
      <rPr>
        <sz val="12"/>
        <color theme="1"/>
        <rFont val="Times New Roman"/>
        <family val="1"/>
      </rPr>
      <t xml:space="preserve">3. </t>
    </r>
    <r>
      <rPr>
        <sz val="12"/>
        <color theme="1"/>
        <rFont val="宋体"/>
        <family val="3"/>
        <charset val="134"/>
      </rPr>
      <t>测试并计算动稳定度</t>
    </r>
    <r>
      <rPr>
        <sz val="12"/>
        <color theme="1"/>
        <rFont val="Times New Roman"/>
        <family val="1"/>
      </rPr>
      <t>(DS)</t>
    </r>
  </si>
  <si>
    <r>
      <t>3.4</t>
    </r>
    <r>
      <rPr>
        <sz val="12"/>
        <color theme="1"/>
        <rFont val="宋体"/>
        <family val="3"/>
        <charset val="134"/>
      </rPr>
      <t>低温抗裂性试验（小梁弯曲）</t>
    </r>
  </si>
  <si>
    <r>
      <t xml:space="preserve">1. </t>
    </r>
    <r>
      <rPr>
        <sz val="12"/>
        <color theme="1"/>
        <rFont val="宋体"/>
        <family val="3"/>
        <charset val="134"/>
      </rPr>
      <t>车辙板切割</t>
    </r>
    <r>
      <rPr>
        <sz val="12"/>
        <color theme="1"/>
        <rFont val="Times New Roman"/>
        <family val="1"/>
      </rPr>
      <t>250×30×35mm</t>
    </r>
    <r>
      <rPr>
        <sz val="12"/>
        <color theme="1"/>
        <rFont val="宋体"/>
        <family val="3"/>
        <charset val="134"/>
      </rPr>
      <t xml:space="preserve">小梁试件；
</t>
    </r>
    <r>
      <rPr>
        <sz val="12"/>
        <color theme="1"/>
        <rFont val="Times New Roman"/>
        <family val="1"/>
      </rPr>
      <t>2. -10</t>
    </r>
    <r>
      <rPr>
        <sz val="12"/>
        <color theme="1"/>
        <rFont val="Segoe UI Symbol"/>
        <family val="2"/>
      </rPr>
      <t>℃</t>
    </r>
    <r>
      <rPr>
        <sz val="12"/>
        <color theme="1"/>
        <rFont val="宋体"/>
        <family val="3"/>
        <charset val="134"/>
      </rPr>
      <t>保温大于</t>
    </r>
    <r>
      <rPr>
        <sz val="12"/>
        <color theme="1"/>
        <rFont val="Times New Roman"/>
        <family val="1"/>
      </rPr>
      <t>3h</t>
    </r>
    <r>
      <rPr>
        <sz val="12"/>
        <color theme="1"/>
        <rFont val="宋体"/>
        <family val="3"/>
        <charset val="134"/>
      </rPr>
      <t>；</t>
    </r>
    <r>
      <rPr>
        <sz val="12"/>
        <color theme="1"/>
        <rFont val="Times New Roman"/>
        <family val="1"/>
      </rPr>
      <t xml:space="preserve">3. </t>
    </r>
    <r>
      <rPr>
        <sz val="12"/>
        <color theme="1"/>
        <rFont val="宋体"/>
        <family val="3"/>
        <charset val="134"/>
      </rPr>
      <t>三点弯曲加载（</t>
    </r>
    <r>
      <rPr>
        <sz val="12"/>
        <color theme="1"/>
        <rFont val="Times New Roman"/>
        <family val="1"/>
      </rPr>
      <t>50mm/min</t>
    </r>
    <r>
      <rPr>
        <sz val="12"/>
        <color theme="1"/>
        <rFont val="宋体"/>
        <family val="3"/>
        <charset val="134"/>
      </rPr>
      <t>）→计算抗弯拉强度、最大弯拉应变</t>
    </r>
  </si>
  <si>
    <r>
      <t>90#</t>
    </r>
    <r>
      <rPr>
        <sz val="11"/>
        <color theme="1"/>
        <rFont val="宋体"/>
        <family val="3"/>
        <charset val="134"/>
      </rPr>
      <t>对比</t>
    </r>
  </si>
  <si>
    <r>
      <t>90#</t>
    </r>
    <r>
      <rPr>
        <sz val="11"/>
        <color theme="1"/>
        <rFont val="宋体"/>
        <family val="3"/>
        <charset val="134"/>
      </rPr>
      <t>沥青方案</t>
    </r>
  </si>
  <si>
    <r>
      <t>90#</t>
    </r>
    <r>
      <rPr>
        <sz val="11"/>
        <color theme="1"/>
        <rFont val="宋体"/>
        <family val="3"/>
        <charset val="134"/>
      </rPr>
      <t>沥青方案一</t>
    </r>
    <r>
      <rPr>
        <sz val="11"/>
        <color theme="1"/>
        <rFont val="Times New Roman"/>
        <family val="1"/>
      </rPr>
      <t>-1</t>
    </r>
  </si>
  <si>
    <r>
      <t>90#</t>
    </r>
    <r>
      <rPr>
        <sz val="11"/>
        <color theme="1"/>
        <rFont val="宋体"/>
        <family val="3"/>
        <charset val="134"/>
      </rPr>
      <t>沥青方案一</t>
    </r>
    <r>
      <rPr>
        <sz val="11"/>
        <color theme="1"/>
        <rFont val="Times New Roman"/>
        <family val="1"/>
      </rPr>
      <t>-2</t>
    </r>
  </si>
  <si>
    <r>
      <t>90#</t>
    </r>
    <r>
      <rPr>
        <sz val="11"/>
        <color theme="1"/>
        <rFont val="宋体"/>
        <family val="3"/>
        <charset val="134"/>
      </rPr>
      <t>沥青方案一</t>
    </r>
    <r>
      <rPr>
        <sz val="11"/>
        <color theme="1"/>
        <rFont val="Times New Roman"/>
        <family val="1"/>
      </rPr>
      <t>-3</t>
    </r>
  </si>
  <si>
    <r>
      <t>90#</t>
    </r>
    <r>
      <rPr>
        <sz val="11"/>
        <color theme="1"/>
        <rFont val="宋体"/>
        <family val="3"/>
        <charset val="134"/>
      </rPr>
      <t>沥青方案一</t>
    </r>
    <r>
      <rPr>
        <sz val="11"/>
        <color theme="1"/>
        <rFont val="Times New Roman"/>
        <family val="1"/>
      </rPr>
      <t>-4</t>
    </r>
  </si>
  <si>
    <r>
      <t>90#</t>
    </r>
    <r>
      <rPr>
        <sz val="11"/>
        <color theme="1"/>
        <rFont val="宋体"/>
        <family val="3"/>
        <charset val="134"/>
      </rPr>
      <t>沥青方案一</t>
    </r>
    <r>
      <rPr>
        <sz val="11"/>
        <color theme="1"/>
        <rFont val="Times New Roman"/>
        <family val="1"/>
      </rPr>
      <t>-5</t>
    </r>
  </si>
  <si>
    <r>
      <t>110#</t>
    </r>
    <r>
      <rPr>
        <sz val="11"/>
        <color theme="1"/>
        <rFont val="宋体"/>
        <family val="3"/>
        <charset val="134"/>
      </rPr>
      <t>沥青</t>
    </r>
  </si>
  <si>
    <r>
      <t>110#</t>
    </r>
    <r>
      <rPr>
        <sz val="11"/>
        <color theme="1"/>
        <rFont val="宋体"/>
        <family val="3"/>
        <charset val="134"/>
      </rPr>
      <t>沥青</t>
    </r>
    <r>
      <rPr>
        <sz val="11"/>
        <color theme="1"/>
        <rFont val="Times New Roman"/>
        <family val="1"/>
      </rPr>
      <t>-1</t>
    </r>
  </si>
  <si>
    <r>
      <t>110#</t>
    </r>
    <r>
      <rPr>
        <sz val="11"/>
        <color theme="1"/>
        <rFont val="宋体"/>
        <family val="3"/>
        <charset val="134"/>
      </rPr>
      <t>沥青</t>
    </r>
    <r>
      <rPr>
        <sz val="11"/>
        <color theme="1"/>
        <rFont val="Times New Roman"/>
        <family val="1"/>
      </rPr>
      <t>-2</t>
    </r>
  </si>
  <si>
    <r>
      <t>110#</t>
    </r>
    <r>
      <rPr>
        <sz val="11"/>
        <color theme="1"/>
        <rFont val="宋体"/>
        <family val="3"/>
        <charset val="134"/>
      </rPr>
      <t>沥青</t>
    </r>
    <r>
      <rPr>
        <sz val="11"/>
        <color theme="1"/>
        <rFont val="Times New Roman"/>
        <family val="1"/>
      </rPr>
      <t>-3</t>
    </r>
  </si>
  <si>
    <r>
      <t>110#</t>
    </r>
    <r>
      <rPr>
        <sz val="11"/>
        <color theme="1"/>
        <rFont val="宋体"/>
        <family val="3"/>
        <charset val="134"/>
      </rPr>
      <t>沥青</t>
    </r>
    <r>
      <rPr>
        <sz val="11"/>
        <color theme="1"/>
        <rFont val="Times New Roman"/>
        <family val="1"/>
      </rPr>
      <t>-4</t>
    </r>
  </si>
  <si>
    <r>
      <t>110#</t>
    </r>
    <r>
      <rPr>
        <sz val="11"/>
        <color theme="1"/>
        <rFont val="宋体"/>
        <family val="3"/>
        <charset val="134"/>
      </rPr>
      <t>沥青</t>
    </r>
    <r>
      <rPr>
        <sz val="11"/>
        <color theme="1"/>
        <rFont val="Times New Roman"/>
        <family val="1"/>
      </rPr>
      <t>-5</t>
    </r>
  </si>
  <si>
    <r>
      <t>130#</t>
    </r>
    <r>
      <rPr>
        <sz val="11"/>
        <color theme="1"/>
        <rFont val="宋体"/>
        <family val="3"/>
        <charset val="134"/>
      </rPr>
      <t>沥青</t>
    </r>
  </si>
  <si>
    <r>
      <t>130#</t>
    </r>
    <r>
      <rPr>
        <sz val="11"/>
        <color theme="1"/>
        <rFont val="宋体"/>
        <family val="3"/>
        <charset val="134"/>
      </rPr>
      <t>沥青</t>
    </r>
    <r>
      <rPr>
        <sz val="11"/>
        <color theme="1"/>
        <rFont val="Times New Roman"/>
        <family val="1"/>
      </rPr>
      <t>-1</t>
    </r>
  </si>
  <si>
    <r>
      <t>130#</t>
    </r>
    <r>
      <rPr>
        <sz val="11"/>
        <color theme="1"/>
        <rFont val="宋体"/>
        <family val="3"/>
        <charset val="134"/>
      </rPr>
      <t>沥青</t>
    </r>
    <r>
      <rPr>
        <sz val="11"/>
        <color theme="1"/>
        <rFont val="Times New Roman"/>
        <family val="1"/>
      </rPr>
      <t>-2</t>
    </r>
  </si>
  <si>
    <r>
      <t>130#</t>
    </r>
    <r>
      <rPr>
        <sz val="11"/>
        <color theme="1"/>
        <rFont val="宋体"/>
        <family val="3"/>
        <charset val="134"/>
      </rPr>
      <t>沥青</t>
    </r>
    <r>
      <rPr>
        <sz val="11"/>
        <color theme="1"/>
        <rFont val="Times New Roman"/>
        <family val="1"/>
      </rPr>
      <t>-3</t>
    </r>
  </si>
  <si>
    <r>
      <t>130#</t>
    </r>
    <r>
      <rPr>
        <sz val="11"/>
        <color theme="1"/>
        <rFont val="宋体"/>
        <family val="3"/>
        <charset val="134"/>
      </rPr>
      <t>沥青</t>
    </r>
    <r>
      <rPr>
        <sz val="11"/>
        <color theme="1"/>
        <rFont val="Times New Roman"/>
        <family val="1"/>
      </rPr>
      <t>-4</t>
    </r>
  </si>
  <si>
    <r>
      <t>130#</t>
    </r>
    <r>
      <rPr>
        <sz val="11"/>
        <color theme="1"/>
        <rFont val="宋体"/>
        <family val="3"/>
        <charset val="134"/>
      </rPr>
      <t>沥青</t>
    </r>
    <r>
      <rPr>
        <sz val="11"/>
        <color theme="1"/>
        <rFont val="Times New Roman"/>
        <family val="1"/>
      </rPr>
      <t>-5</t>
    </r>
  </si>
  <si>
    <r>
      <t>90#</t>
    </r>
    <r>
      <rPr>
        <sz val="11"/>
        <color theme="1"/>
        <rFont val="宋体"/>
        <family val="3"/>
        <charset val="134"/>
      </rPr>
      <t>沥青</t>
    </r>
  </si>
  <si>
    <r>
      <t>90#</t>
    </r>
    <r>
      <rPr>
        <sz val="11"/>
        <color theme="1"/>
        <rFont val="宋体"/>
        <family val="3"/>
        <charset val="134"/>
      </rPr>
      <t>调和</t>
    </r>
  </si>
  <si>
    <r>
      <t>70#</t>
    </r>
    <r>
      <rPr>
        <sz val="11"/>
        <color theme="1"/>
        <rFont val="宋体"/>
        <family val="3"/>
        <charset val="134"/>
      </rPr>
      <t>沥青</t>
    </r>
  </si>
  <si>
    <r>
      <t>90#</t>
    </r>
    <r>
      <rPr>
        <sz val="11"/>
        <color theme="1"/>
        <rFont val="宋体"/>
        <family val="3"/>
        <charset val="134"/>
      </rPr>
      <t>方案一</t>
    </r>
  </si>
  <si>
    <r>
      <t>90#</t>
    </r>
    <r>
      <rPr>
        <sz val="11"/>
        <color theme="1"/>
        <rFont val="宋体"/>
        <family val="3"/>
        <charset val="134"/>
      </rPr>
      <t>方案二</t>
    </r>
  </si>
  <si>
    <r>
      <t>90#</t>
    </r>
    <r>
      <rPr>
        <sz val="11"/>
        <color theme="1"/>
        <rFont val="宋体"/>
        <family val="3"/>
        <charset val="134"/>
      </rPr>
      <t>方案三</t>
    </r>
  </si>
  <si>
    <r>
      <t>AC-13-1</t>
    </r>
    <r>
      <rPr>
        <sz val="11"/>
        <color theme="1"/>
        <rFont val="宋体"/>
        <family val="3"/>
        <charset val="134"/>
      </rPr>
      <t>（</t>
    </r>
    <r>
      <rPr>
        <sz val="11"/>
        <color theme="1"/>
        <rFont val="Times New Roman"/>
        <family val="1"/>
      </rPr>
      <t>90#</t>
    </r>
    <r>
      <rPr>
        <sz val="11"/>
        <color theme="1"/>
        <rFont val="宋体"/>
        <family val="3"/>
        <charset val="134"/>
      </rPr>
      <t>）</t>
    </r>
  </si>
  <si>
    <r>
      <t>AC-13-2</t>
    </r>
    <r>
      <rPr>
        <sz val="11"/>
        <color theme="1"/>
        <rFont val="宋体"/>
        <family val="3"/>
        <charset val="134"/>
      </rPr>
      <t>（</t>
    </r>
    <r>
      <rPr>
        <sz val="11"/>
        <color theme="1"/>
        <rFont val="Times New Roman"/>
        <family val="1"/>
      </rPr>
      <t>110#</t>
    </r>
    <r>
      <rPr>
        <sz val="11"/>
        <color theme="1"/>
        <rFont val="宋体"/>
        <family val="3"/>
        <charset val="134"/>
      </rPr>
      <t>）</t>
    </r>
  </si>
  <si>
    <t>试验数据按试件来源对应集料来源，按级配类型归类对应级配。</t>
    <phoneticPr fontId="34" type="noConversion"/>
  </si>
  <si>
    <r>
      <rPr>
        <b/>
        <sz val="12"/>
        <color theme="1"/>
        <rFont val="等线"/>
        <family val="3"/>
        <charset val="134"/>
      </rPr>
      <t>数据说明</t>
    </r>
    <phoneticPr fontId="34" type="noConversion"/>
  </si>
  <si>
    <r>
      <t>AC-13-1</t>
    </r>
    <r>
      <rPr>
        <sz val="11"/>
        <color theme="1"/>
        <rFont val="宋体"/>
        <family val="3"/>
        <charset val="134"/>
      </rPr>
      <t>（</t>
    </r>
    <r>
      <rPr>
        <sz val="11"/>
        <color theme="1"/>
        <rFont val="Times New Roman"/>
        <family val="1"/>
      </rPr>
      <t>90#</t>
    </r>
    <r>
      <rPr>
        <sz val="11"/>
        <color theme="1"/>
        <rFont val="宋体"/>
        <family val="3"/>
        <charset val="134"/>
      </rPr>
      <t>）</t>
    </r>
    <phoneticPr fontId="3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</si>
</sst>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76" formatCode="0.00_);[Red]\(0.00\)"/>
    <numFmt numFmtId="177" formatCode="0.0_);[Red]\(0.0\)"/>
    <numFmt numFmtId="178" formatCode="0.00_ "/>
    <numFmt numFmtId="179" formatCode="0.0_ "/>
    <numFmt numFmtId="180" formatCode="0_ "/>
    <numFmt numFmtId="181" formatCode="0.000_ "/>
    <numFmt numFmtId="182" formatCode="0_);[Red]\(0\)"/>
    <numFmt numFmtId="183" formatCode="0.000_);[Red]\(0.000\)"/>
  </numFmts>
  <fonts count="36">
    <font>
      <sz val="11"/>
      <color theme="1"/>
      <name val="等线"/>
      <charset val="134"/>
      <scheme val="minor"/>
    </font>
    <font>
      <sz val="11"/>
      <color theme="1"/>
      <name val="Times New Roman"/>
      <family val="1"/>
    </font>
    <font>
      <sz val="11"/>
      <color rgb="FF000000"/>
      <name val="Times New Roman"/>
      <family val="1"/>
    </font>
    <font>
      <sz val="10.5"/>
      <color rgb="FF000000"/>
      <name val="Times New Roman"/>
      <family val="1"/>
    </font>
    <font>
      <sz val="10.5"/>
      <color theme="1"/>
      <name val="Times New Roman"/>
      <family val="1"/>
    </font>
    <font>
      <sz val="11"/>
      <color theme="1"/>
      <name val="宋体"/>
      <family val="3"/>
      <charset val="134"/>
    </font>
    <font>
      <sz val="11"/>
      <name val="Times New Roman"/>
      <family val="1"/>
    </font>
    <font>
      <sz val="11"/>
      <color rgb="FFFF0000"/>
      <name val="等线"/>
      <family val="3"/>
      <charset val="134"/>
      <scheme val="minor"/>
    </font>
    <font>
      <b/>
      <sz val="14"/>
      <color theme="1"/>
      <name val="微软雅黑"/>
      <family val="2"/>
      <charset val="134"/>
    </font>
    <font>
      <b/>
      <sz val="14"/>
      <color rgb="FFFFFFFF"/>
      <name val="微软雅黑"/>
      <family val="2"/>
      <charset val="134"/>
    </font>
    <font>
      <b/>
      <sz val="10"/>
      <color rgb="FF000000"/>
      <name val="微软雅黑"/>
      <family val="2"/>
      <charset val="134"/>
    </font>
    <font>
      <sz val="10"/>
      <color rgb="FF000000"/>
      <name val="微软雅黑"/>
      <family val="2"/>
      <charset val="134"/>
    </font>
    <font>
      <b/>
      <sz val="11"/>
      <color theme="1"/>
      <name val="Times New Roman"/>
      <family val="1"/>
    </font>
    <font>
      <sz val="11"/>
      <color rgb="FF000000"/>
      <name val="宋体"/>
      <family val="3"/>
      <charset val="134"/>
    </font>
    <font>
      <sz val="10"/>
      <color theme="1"/>
      <name val="Times New Roman"/>
      <family val="1"/>
    </font>
    <font>
      <sz val="11"/>
      <color rgb="FF3F3F76"/>
      <name val="Times New Roman"/>
      <family val="1"/>
    </font>
    <font>
      <sz val="12"/>
      <color theme="1"/>
      <name val="Times New Roman"/>
      <family val="1"/>
    </font>
    <font>
      <sz val="12"/>
      <color theme="1"/>
      <name val="宋体"/>
      <family val="3"/>
      <charset val="134"/>
    </font>
    <font>
      <b/>
      <sz val="12"/>
      <color theme="1"/>
      <name val="Times New Roman"/>
      <family val="1"/>
    </font>
    <font>
      <sz val="11"/>
      <color theme="1"/>
      <name val="等线"/>
      <family val="3"/>
      <charset val="134"/>
      <scheme val="minor"/>
    </font>
    <font>
      <sz val="11"/>
      <color rgb="FF3F3F76"/>
      <name val="等线"/>
      <family val="3"/>
      <charset val="134"/>
      <scheme val="minor"/>
    </font>
    <font>
      <vertAlign val="superscript"/>
      <sz val="11"/>
      <color theme="1"/>
      <name val="Times New Roman"/>
      <family val="1"/>
    </font>
    <font>
      <b/>
      <sz val="12"/>
      <color theme="1"/>
      <name val="宋体"/>
      <family val="3"/>
      <charset val="134"/>
    </font>
    <font>
      <vertAlign val="subscript"/>
      <sz val="11"/>
      <color theme="1"/>
      <name val="Times New Roman"/>
      <family val="1"/>
    </font>
    <font>
      <sz val="10.5"/>
      <color theme="1"/>
      <name val="宋体"/>
      <family val="3"/>
      <charset val="134"/>
    </font>
    <font>
      <sz val="11"/>
      <name val="等线"/>
      <family val="3"/>
      <charset val="134"/>
    </font>
    <font>
      <sz val="11"/>
      <name val="宋体"/>
      <family val="3"/>
      <charset val="134"/>
    </font>
    <font>
      <sz val="12"/>
      <color theme="1"/>
      <name val="Segoe UI Symbol"/>
      <family val="2"/>
    </font>
    <font>
      <sz val="10.5"/>
      <color rgb="FF000000"/>
      <name val="宋体"/>
      <family val="3"/>
      <charset val="134"/>
    </font>
    <font>
      <sz val="11"/>
      <color theme="1"/>
      <name val="等线"/>
      <family val="3"/>
      <charset val="134"/>
    </font>
    <font>
      <i/>
      <sz val="11"/>
      <color theme="1"/>
      <name val="Times New Roman"/>
      <family val="1"/>
    </font>
    <font>
      <b/>
      <sz val="11"/>
      <color theme="1"/>
      <name val="宋体"/>
      <family val="3"/>
      <charset val="134"/>
    </font>
    <font>
      <sz val="11"/>
      <color rgb="FF3F3F76"/>
      <name val="宋体"/>
      <family val="3"/>
      <charset val="134"/>
    </font>
    <font>
      <sz val="11"/>
      <color theme="1"/>
      <name val="Segoe UI Symbol"/>
      <family val="2"/>
    </font>
    <font>
      <sz val="9"/>
      <name val="等线"/>
      <family val="3"/>
      <charset val="134"/>
      <scheme val="minor"/>
    </font>
    <font>
      <b/>
      <sz val="12"/>
      <color theme="1"/>
      <name val="等线"/>
      <family val="3"/>
      <charset val="134"/>
    </font>
  </fonts>
  <fills count="19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00B0F0"/>
        <bgColor rgb="FF000000"/>
      </patternFill>
    </fill>
    <fill>
      <patternFill patternType="solid">
        <fgColor rgb="FF70AD47"/>
        <bgColor rgb="FF000000"/>
      </patternFill>
    </fill>
    <fill>
      <patternFill patternType="solid">
        <fgColor rgb="FFFFFF00"/>
        <bgColor rgb="FFFFFF00"/>
      </patternFill>
    </fill>
    <fill>
      <patternFill patternType="solid">
        <fgColor rgb="FFFFC000"/>
        <bgColor rgb="FF000000"/>
      </patternFill>
    </fill>
    <fill>
      <patternFill patternType="solid">
        <fgColor theme="7"/>
        <bgColor rgb="FFFF9900"/>
      </patternFill>
    </fill>
    <fill>
      <patternFill patternType="solid">
        <fgColor theme="0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399853511154515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39988402966399123"/>
        <bgColor indexed="64"/>
      </patternFill>
    </fill>
    <fill>
      <patternFill patternType="solid">
        <fgColor rgb="FFF2F3F5"/>
        <bgColor indexed="64"/>
      </patternFill>
    </fill>
  </fills>
  <borders count="39">
    <border>
      <left/>
      <right/>
      <top/>
      <bottom/>
      <diagonal/>
    </border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ck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auto="1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ck">
        <color auto="1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ck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/>
      <top style="thin">
        <color auto="1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B2B2B2"/>
      </left>
      <right/>
      <top style="thin">
        <color rgb="FFB2B2B2"/>
      </top>
      <bottom style="thin">
        <color rgb="FFB2B2B2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rgb="FFDEE0E3"/>
      </left>
      <right style="medium">
        <color rgb="FFDEE0E3"/>
      </right>
      <top style="medium">
        <color rgb="FFDEE0E3"/>
      </top>
      <bottom style="medium">
        <color rgb="FFDEE0E3"/>
      </bottom>
      <diagonal/>
    </border>
    <border>
      <left style="medium">
        <color rgb="FFDEE0E3"/>
      </left>
      <right style="medium">
        <color rgb="FFDEE0E3"/>
      </right>
      <top/>
      <bottom/>
      <diagonal/>
    </border>
  </borders>
  <cellStyleXfs count="4">
    <xf numFmtId="0" fontId="0" fillId="0" borderId="0"/>
    <xf numFmtId="0" fontId="19" fillId="14" borderId="33" applyNumberFormat="0" applyFont="0" applyAlignment="0" applyProtection="0">
      <alignment vertical="center"/>
    </xf>
    <xf numFmtId="0" fontId="20" fillId="13" borderId="32" applyNumberFormat="0" applyAlignment="0" applyProtection="0">
      <alignment vertical="center"/>
    </xf>
    <xf numFmtId="0" fontId="19" fillId="0" borderId="0">
      <alignment vertical="center"/>
    </xf>
  </cellStyleXfs>
  <cellXfs count="327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0" fontId="2" fillId="0" borderId="0" xfId="0" applyFont="1" applyAlignment="1">
      <alignment horizontal="left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3" fillId="2" borderId="7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4" fillId="0" borderId="9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4" fillId="0" borderId="12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3" fillId="2" borderId="14" xfId="0" applyFont="1" applyFill="1" applyBorder="1" applyAlignment="1">
      <alignment horizontal="center"/>
    </xf>
    <xf numFmtId="0" fontId="3" fillId="2" borderId="15" xfId="0" applyFont="1" applyFill="1" applyBorder="1" applyAlignment="1">
      <alignment horizontal="center"/>
    </xf>
    <xf numFmtId="0" fontId="0" fillId="0" borderId="0" xfId="0" applyAlignment="1">
      <alignment wrapText="1"/>
    </xf>
    <xf numFmtId="0" fontId="3" fillId="2" borderId="16" xfId="0" applyFont="1" applyFill="1" applyBorder="1" applyAlignment="1">
      <alignment horizontal="center"/>
    </xf>
    <xf numFmtId="0" fontId="3" fillId="2" borderId="17" xfId="0" applyFont="1" applyFill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1" fillId="0" borderId="19" xfId="0" applyFont="1" applyBorder="1" applyAlignment="1">
      <alignment horizontal="center"/>
    </xf>
    <xf numFmtId="0" fontId="1" fillId="3" borderId="20" xfId="0" applyFont="1" applyFill="1" applyBorder="1" applyAlignment="1">
      <alignment horizontal="center"/>
    </xf>
    <xf numFmtId="0" fontId="1" fillId="3" borderId="20" xfId="0" applyFont="1" applyFill="1" applyBorder="1" applyAlignment="1">
      <alignment horizontal="left"/>
    </xf>
    <xf numFmtId="176" fontId="1" fillId="3" borderId="20" xfId="0" applyNumberFormat="1" applyFont="1" applyFill="1" applyBorder="1" applyAlignment="1">
      <alignment horizontal="center"/>
    </xf>
    <xf numFmtId="177" fontId="1" fillId="3" borderId="20" xfId="0" applyNumberFormat="1" applyFont="1" applyFill="1" applyBorder="1" applyAlignment="1">
      <alignment horizontal="center"/>
    </xf>
    <xf numFmtId="0" fontId="0" fillId="3" borderId="0" xfId="0" applyFill="1"/>
    <xf numFmtId="0" fontId="1" fillId="4" borderId="20" xfId="0" applyFont="1" applyFill="1" applyBorder="1" applyAlignment="1">
      <alignment horizontal="center"/>
    </xf>
    <xf numFmtId="0" fontId="1" fillId="4" borderId="20" xfId="0" applyFont="1" applyFill="1" applyBorder="1" applyAlignment="1">
      <alignment horizontal="left"/>
    </xf>
    <xf numFmtId="176" fontId="1" fillId="4" borderId="20" xfId="0" applyNumberFormat="1" applyFont="1" applyFill="1" applyBorder="1" applyAlignment="1">
      <alignment horizontal="center"/>
    </xf>
    <xf numFmtId="177" fontId="1" fillId="4" borderId="20" xfId="0" applyNumberFormat="1" applyFont="1" applyFill="1" applyBorder="1" applyAlignment="1">
      <alignment horizontal="center"/>
    </xf>
    <xf numFmtId="10" fontId="1" fillId="4" borderId="20" xfId="0" applyNumberFormat="1" applyFont="1" applyFill="1" applyBorder="1" applyAlignment="1">
      <alignment horizontal="center"/>
    </xf>
    <xf numFmtId="0" fontId="1" fillId="5" borderId="20" xfId="0" applyFont="1" applyFill="1" applyBorder="1" applyAlignment="1">
      <alignment horizontal="center" vertical="center"/>
    </xf>
    <xf numFmtId="176" fontId="1" fillId="5" borderId="20" xfId="0" applyNumberFormat="1" applyFont="1" applyFill="1" applyBorder="1" applyAlignment="1">
      <alignment horizontal="center" vertical="center"/>
    </xf>
    <xf numFmtId="0" fontId="1" fillId="6" borderId="20" xfId="0" applyFont="1" applyFill="1" applyBorder="1" applyAlignment="1">
      <alignment horizontal="center" vertical="center"/>
    </xf>
    <xf numFmtId="0" fontId="1" fillId="3" borderId="20" xfId="0" applyFont="1" applyFill="1" applyBorder="1" applyAlignment="1">
      <alignment horizontal="left" vertical="center"/>
    </xf>
    <xf numFmtId="176" fontId="1" fillId="3" borderId="20" xfId="0" applyNumberFormat="1" applyFont="1" applyFill="1" applyBorder="1" applyAlignment="1">
      <alignment horizontal="center" vertical="center"/>
    </xf>
    <xf numFmtId="0" fontId="1" fillId="4" borderId="20" xfId="0" applyFont="1" applyFill="1" applyBorder="1" applyAlignment="1">
      <alignment horizontal="left" vertical="center"/>
    </xf>
    <xf numFmtId="176" fontId="1" fillId="4" borderId="20" xfId="0" applyNumberFormat="1" applyFont="1" applyFill="1" applyBorder="1" applyAlignment="1">
      <alignment horizontal="center" vertical="center"/>
    </xf>
    <xf numFmtId="178" fontId="1" fillId="4" borderId="20" xfId="0" applyNumberFormat="1" applyFont="1" applyFill="1" applyBorder="1" applyAlignment="1">
      <alignment horizontal="center" vertical="center"/>
    </xf>
    <xf numFmtId="10" fontId="1" fillId="4" borderId="20" xfId="0" applyNumberFormat="1" applyFont="1" applyFill="1" applyBorder="1" applyAlignment="1">
      <alignment horizontal="center" vertical="center"/>
    </xf>
    <xf numFmtId="177" fontId="1" fillId="3" borderId="20" xfId="0" applyNumberFormat="1" applyFont="1" applyFill="1" applyBorder="1" applyAlignment="1">
      <alignment horizontal="center" vertical="center"/>
    </xf>
    <xf numFmtId="177" fontId="1" fillId="4" borderId="20" xfId="0" applyNumberFormat="1" applyFont="1" applyFill="1" applyBorder="1" applyAlignment="1">
      <alignment horizontal="center" vertical="center"/>
    </xf>
    <xf numFmtId="179" fontId="1" fillId="3" borderId="20" xfId="0" applyNumberFormat="1" applyFont="1" applyFill="1" applyBorder="1" applyAlignment="1">
      <alignment horizontal="center" vertical="center"/>
    </xf>
    <xf numFmtId="179" fontId="1" fillId="4" borderId="20" xfId="0" applyNumberFormat="1" applyFont="1" applyFill="1" applyBorder="1" applyAlignment="1">
      <alignment horizontal="center" vertical="center"/>
    </xf>
    <xf numFmtId="179" fontId="1" fillId="5" borderId="20" xfId="0" applyNumberFormat="1" applyFont="1" applyFill="1" applyBorder="1" applyAlignment="1">
      <alignment horizontal="center" vertical="center"/>
    </xf>
    <xf numFmtId="179" fontId="1" fillId="6" borderId="20" xfId="0" applyNumberFormat="1" applyFont="1" applyFill="1" applyBorder="1" applyAlignment="1">
      <alignment horizontal="center" vertical="center"/>
    </xf>
    <xf numFmtId="176" fontId="1" fillId="6" borderId="20" xfId="0" applyNumberFormat="1" applyFont="1" applyFill="1" applyBorder="1" applyAlignment="1">
      <alignment horizontal="center" vertical="center"/>
    </xf>
    <xf numFmtId="180" fontId="1" fillId="6" borderId="20" xfId="0" applyNumberFormat="1" applyFont="1" applyFill="1" applyBorder="1" applyAlignment="1">
      <alignment horizontal="center" vertical="center"/>
    </xf>
    <xf numFmtId="0" fontId="2" fillId="5" borderId="20" xfId="0" applyFont="1" applyFill="1" applyBorder="1" applyAlignment="1">
      <alignment horizontal="center" vertical="center" wrapText="1"/>
    </xf>
    <xf numFmtId="0" fontId="2" fillId="6" borderId="20" xfId="0" applyFont="1" applyFill="1" applyBorder="1" applyAlignment="1">
      <alignment horizontal="center" vertical="center"/>
    </xf>
    <xf numFmtId="49" fontId="1" fillId="5" borderId="20" xfId="0" applyNumberFormat="1" applyFont="1" applyFill="1" applyBorder="1" applyAlignment="1">
      <alignment horizontal="center" vertical="center"/>
    </xf>
    <xf numFmtId="49" fontId="1" fillId="6" borderId="20" xfId="0" applyNumberFormat="1" applyFont="1" applyFill="1" applyBorder="1" applyAlignment="1">
      <alignment horizontal="center" vertical="center"/>
    </xf>
    <xf numFmtId="181" fontId="1" fillId="6" borderId="20" xfId="0" applyNumberFormat="1" applyFont="1" applyFill="1" applyBorder="1" applyAlignment="1">
      <alignment horizontal="center" vertical="center"/>
    </xf>
    <xf numFmtId="0" fontId="2" fillId="5" borderId="20" xfId="0" applyFont="1" applyFill="1" applyBorder="1" applyAlignment="1">
      <alignment horizontal="center" vertical="center"/>
    </xf>
    <xf numFmtId="0" fontId="1" fillId="5" borderId="20" xfId="0" applyFont="1" applyFill="1" applyBorder="1" applyAlignment="1">
      <alignment horizontal="center"/>
    </xf>
    <xf numFmtId="176" fontId="1" fillId="5" borderId="20" xfId="0" applyNumberFormat="1" applyFont="1" applyFill="1" applyBorder="1" applyAlignment="1">
      <alignment horizontal="center"/>
    </xf>
    <xf numFmtId="176" fontId="1" fillId="4" borderId="20" xfId="0" applyNumberFormat="1" applyFont="1" applyFill="1" applyBorder="1" applyAlignment="1">
      <alignment horizontal="left"/>
    </xf>
    <xf numFmtId="178" fontId="1" fillId="4" borderId="20" xfId="0" applyNumberFormat="1" applyFont="1" applyFill="1" applyBorder="1" applyAlignment="1">
      <alignment horizontal="center"/>
    </xf>
    <xf numFmtId="0" fontId="2" fillId="5" borderId="20" xfId="0" applyFont="1" applyFill="1" applyBorder="1" applyAlignment="1">
      <alignment horizontal="center"/>
    </xf>
    <xf numFmtId="0" fontId="1" fillId="6" borderId="20" xfId="0" applyFont="1" applyFill="1" applyBorder="1" applyAlignment="1">
      <alignment horizontal="center"/>
    </xf>
    <xf numFmtId="180" fontId="1" fillId="5" borderId="20" xfId="0" applyNumberFormat="1" applyFont="1" applyFill="1" applyBorder="1" applyAlignment="1">
      <alignment horizontal="center" vertical="center"/>
    </xf>
    <xf numFmtId="176" fontId="1" fillId="6" borderId="20" xfId="0" applyNumberFormat="1" applyFont="1" applyFill="1" applyBorder="1" applyAlignment="1">
      <alignment horizontal="center"/>
    </xf>
    <xf numFmtId="0" fontId="2" fillId="6" borderId="20" xfId="0" applyFont="1" applyFill="1" applyBorder="1" applyAlignment="1">
      <alignment horizontal="center"/>
    </xf>
    <xf numFmtId="177" fontId="1" fillId="6" borderId="20" xfId="0" applyNumberFormat="1" applyFont="1" applyFill="1" applyBorder="1" applyAlignment="1">
      <alignment horizontal="center" vertical="center"/>
    </xf>
    <xf numFmtId="178" fontId="1" fillId="6" borderId="20" xfId="0" applyNumberFormat="1" applyFont="1" applyFill="1" applyBorder="1" applyAlignment="1">
      <alignment horizontal="center"/>
    </xf>
    <xf numFmtId="0" fontId="2" fillId="7" borderId="20" xfId="0" applyFont="1" applyFill="1" applyBorder="1" applyAlignment="1">
      <alignment horizontal="center" vertical="center"/>
    </xf>
    <xf numFmtId="0" fontId="2" fillId="7" borderId="25" xfId="0" applyFont="1" applyFill="1" applyBorder="1" applyAlignment="1">
      <alignment horizontal="center" vertical="center"/>
    </xf>
    <xf numFmtId="176" fontId="2" fillId="7" borderId="25" xfId="0" applyNumberFormat="1" applyFont="1" applyFill="1" applyBorder="1" applyAlignment="1">
      <alignment horizontal="center" vertical="center"/>
    </xf>
    <xf numFmtId="180" fontId="2" fillId="7" borderId="25" xfId="0" applyNumberFormat="1" applyFont="1" applyFill="1" applyBorder="1" applyAlignment="1">
      <alignment horizontal="center" vertical="center"/>
    </xf>
    <xf numFmtId="0" fontId="2" fillId="7" borderId="22" xfId="0" applyFont="1" applyFill="1" applyBorder="1" applyAlignment="1">
      <alignment horizontal="center" vertical="center"/>
    </xf>
    <xf numFmtId="0" fontId="2" fillId="7" borderId="26" xfId="0" applyFont="1" applyFill="1" applyBorder="1" applyAlignment="1">
      <alignment horizontal="center" vertical="center"/>
    </xf>
    <xf numFmtId="176" fontId="2" fillId="7" borderId="26" xfId="0" applyNumberFormat="1" applyFont="1" applyFill="1" applyBorder="1" applyAlignment="1">
      <alignment horizontal="center" vertical="center"/>
    </xf>
    <xf numFmtId="180" fontId="2" fillId="7" borderId="26" xfId="0" applyNumberFormat="1" applyFont="1" applyFill="1" applyBorder="1" applyAlignment="1">
      <alignment horizontal="center" vertical="center"/>
    </xf>
    <xf numFmtId="0" fontId="1" fillId="5" borderId="21" xfId="0" applyFont="1" applyFill="1" applyBorder="1" applyAlignment="1">
      <alignment vertical="center"/>
    </xf>
    <xf numFmtId="182" fontId="1" fillId="6" borderId="20" xfId="0" applyNumberFormat="1" applyFont="1" applyFill="1" applyBorder="1" applyAlignment="1">
      <alignment horizontal="center" vertical="center"/>
    </xf>
    <xf numFmtId="178" fontId="1" fillId="3" borderId="20" xfId="0" applyNumberFormat="1" applyFont="1" applyFill="1" applyBorder="1" applyAlignment="1">
      <alignment horizontal="center"/>
    </xf>
    <xf numFmtId="0" fontId="2" fillId="8" borderId="20" xfId="0" applyFont="1" applyFill="1" applyBorder="1" applyAlignment="1">
      <alignment horizontal="center" vertical="center"/>
    </xf>
    <xf numFmtId="0" fontId="2" fillId="8" borderId="25" xfId="0" applyFont="1" applyFill="1" applyBorder="1" applyAlignment="1">
      <alignment horizontal="center" vertical="center"/>
    </xf>
    <xf numFmtId="176" fontId="2" fillId="8" borderId="25" xfId="0" applyNumberFormat="1" applyFont="1" applyFill="1" applyBorder="1" applyAlignment="1">
      <alignment horizontal="center"/>
    </xf>
    <xf numFmtId="177" fontId="2" fillId="8" borderId="25" xfId="0" applyNumberFormat="1" applyFont="1" applyFill="1" applyBorder="1" applyAlignment="1">
      <alignment horizontal="center" vertical="center"/>
    </xf>
    <xf numFmtId="182" fontId="2" fillId="8" borderId="25" xfId="0" applyNumberFormat="1" applyFont="1" applyFill="1" applyBorder="1" applyAlignment="1">
      <alignment horizontal="center" vertical="center"/>
    </xf>
    <xf numFmtId="0" fontId="2" fillId="8" borderId="22" xfId="0" applyFont="1" applyFill="1" applyBorder="1" applyAlignment="1">
      <alignment horizontal="center" vertical="center"/>
    </xf>
    <xf numFmtId="0" fontId="2" fillId="8" borderId="26" xfId="0" applyFont="1" applyFill="1" applyBorder="1" applyAlignment="1">
      <alignment horizontal="center" vertical="center"/>
    </xf>
    <xf numFmtId="176" fontId="2" fillId="8" borderId="26" xfId="0" applyNumberFormat="1" applyFont="1" applyFill="1" applyBorder="1" applyAlignment="1">
      <alignment horizontal="center"/>
    </xf>
    <xf numFmtId="177" fontId="2" fillId="8" borderId="26" xfId="0" applyNumberFormat="1" applyFont="1" applyFill="1" applyBorder="1" applyAlignment="1">
      <alignment horizontal="center" vertical="center"/>
    </xf>
    <xf numFmtId="182" fontId="2" fillId="8" borderId="26" xfId="0" applyNumberFormat="1" applyFont="1" applyFill="1" applyBorder="1" applyAlignment="1">
      <alignment horizontal="center" vertical="center"/>
    </xf>
    <xf numFmtId="176" fontId="2" fillId="8" borderId="26" xfId="0" applyNumberFormat="1" applyFont="1" applyFill="1" applyBorder="1" applyAlignment="1">
      <alignment horizontal="center" vertical="center"/>
    </xf>
    <xf numFmtId="0" fontId="2" fillId="4" borderId="20" xfId="0" applyFont="1" applyFill="1" applyBorder="1" applyAlignment="1">
      <alignment horizontal="center"/>
    </xf>
    <xf numFmtId="17" fontId="1" fillId="3" borderId="20" xfId="0" applyNumberFormat="1" applyFont="1" applyFill="1" applyBorder="1" applyAlignment="1">
      <alignment horizontal="center"/>
    </xf>
    <xf numFmtId="0" fontId="5" fillId="3" borderId="20" xfId="0" applyFont="1" applyFill="1" applyBorder="1" applyAlignment="1">
      <alignment horizontal="left"/>
    </xf>
    <xf numFmtId="0" fontId="6" fillId="9" borderId="20" xfId="0" applyFont="1" applyFill="1" applyBorder="1" applyAlignment="1">
      <alignment horizontal="center"/>
    </xf>
    <xf numFmtId="179" fontId="6" fillId="9" borderId="20" xfId="0" applyNumberFormat="1" applyFont="1" applyFill="1" applyBorder="1" applyAlignment="1">
      <alignment horizontal="center" vertical="center"/>
    </xf>
    <xf numFmtId="177" fontId="6" fillId="9" borderId="20" xfId="0" applyNumberFormat="1" applyFont="1" applyFill="1" applyBorder="1" applyAlignment="1">
      <alignment horizontal="center"/>
    </xf>
    <xf numFmtId="176" fontId="6" fillId="9" borderId="20" xfId="0" applyNumberFormat="1" applyFont="1" applyFill="1" applyBorder="1" applyAlignment="1">
      <alignment horizontal="center"/>
    </xf>
    <xf numFmtId="176" fontId="6" fillId="9" borderId="20" xfId="0" applyNumberFormat="1" applyFont="1" applyFill="1" applyBorder="1" applyAlignment="1">
      <alignment horizontal="center" vertical="center"/>
    </xf>
    <xf numFmtId="0" fontId="6" fillId="9" borderId="20" xfId="0" applyFont="1" applyFill="1" applyBorder="1" applyAlignment="1">
      <alignment horizontal="left" vertical="center"/>
    </xf>
    <xf numFmtId="177" fontId="0" fillId="9" borderId="20" xfId="0" applyNumberFormat="1" applyFill="1" applyBorder="1" applyAlignment="1">
      <alignment horizontal="center"/>
    </xf>
    <xf numFmtId="0" fontId="2" fillId="10" borderId="20" xfId="0" applyFont="1" applyFill="1" applyBorder="1" applyAlignment="1">
      <alignment horizontal="center"/>
    </xf>
    <xf numFmtId="0" fontId="2" fillId="10" borderId="25" xfId="0" applyFont="1" applyFill="1" applyBorder="1" applyAlignment="1">
      <alignment horizontal="center"/>
    </xf>
    <xf numFmtId="0" fontId="2" fillId="10" borderId="25" xfId="0" applyFont="1" applyFill="1" applyBorder="1" applyAlignment="1">
      <alignment horizontal="left"/>
    </xf>
    <xf numFmtId="176" fontId="2" fillId="10" borderId="25" xfId="0" applyNumberFormat="1" applyFont="1" applyFill="1" applyBorder="1" applyAlignment="1">
      <alignment horizontal="center"/>
    </xf>
    <xf numFmtId="177" fontId="2" fillId="10" borderId="25" xfId="0" applyNumberFormat="1" applyFont="1" applyFill="1" applyBorder="1" applyAlignment="1">
      <alignment horizontal="center"/>
    </xf>
    <xf numFmtId="178" fontId="2" fillId="10" borderId="25" xfId="0" applyNumberFormat="1" applyFont="1" applyFill="1" applyBorder="1" applyAlignment="1">
      <alignment horizontal="center" vertical="center"/>
    </xf>
    <xf numFmtId="10" fontId="2" fillId="10" borderId="25" xfId="0" applyNumberFormat="1" applyFont="1" applyFill="1" applyBorder="1" applyAlignment="1">
      <alignment horizontal="center"/>
    </xf>
    <xf numFmtId="0" fontId="2" fillId="10" borderId="22" xfId="0" applyFont="1" applyFill="1" applyBorder="1" applyAlignment="1">
      <alignment horizontal="center"/>
    </xf>
    <xf numFmtId="0" fontId="2" fillId="10" borderId="26" xfId="0" applyFont="1" applyFill="1" applyBorder="1" applyAlignment="1">
      <alignment horizontal="center"/>
    </xf>
    <xf numFmtId="0" fontId="2" fillId="10" borderId="26" xfId="0" applyFont="1" applyFill="1" applyBorder="1" applyAlignment="1">
      <alignment horizontal="left"/>
    </xf>
    <xf numFmtId="176" fontId="2" fillId="10" borderId="26" xfId="0" applyNumberFormat="1" applyFont="1" applyFill="1" applyBorder="1" applyAlignment="1">
      <alignment horizontal="center"/>
    </xf>
    <xf numFmtId="177" fontId="2" fillId="10" borderId="26" xfId="0" applyNumberFormat="1" applyFont="1" applyFill="1" applyBorder="1" applyAlignment="1">
      <alignment horizontal="center"/>
    </xf>
    <xf numFmtId="178" fontId="2" fillId="10" borderId="26" xfId="0" applyNumberFormat="1" applyFont="1" applyFill="1" applyBorder="1" applyAlignment="1">
      <alignment horizontal="center" vertical="center"/>
    </xf>
    <xf numFmtId="10" fontId="2" fillId="10" borderId="26" xfId="0" applyNumberFormat="1" applyFont="1" applyFill="1" applyBorder="1" applyAlignment="1">
      <alignment horizontal="center"/>
    </xf>
    <xf numFmtId="0" fontId="6" fillId="11" borderId="20" xfId="0" applyFont="1" applyFill="1" applyBorder="1" applyAlignment="1">
      <alignment horizontal="center"/>
    </xf>
    <xf numFmtId="179" fontId="6" fillId="11" borderId="20" xfId="0" applyNumberFormat="1" applyFont="1" applyFill="1" applyBorder="1" applyAlignment="1">
      <alignment horizontal="center" vertical="center"/>
    </xf>
    <xf numFmtId="176" fontId="6" fillId="11" borderId="20" xfId="0" applyNumberFormat="1" applyFont="1" applyFill="1" applyBorder="1" applyAlignment="1">
      <alignment horizontal="center" vertical="center"/>
    </xf>
    <xf numFmtId="177" fontId="6" fillId="11" borderId="20" xfId="0" applyNumberFormat="1" applyFont="1" applyFill="1" applyBorder="1" applyAlignment="1">
      <alignment horizontal="center" vertical="center"/>
    </xf>
    <xf numFmtId="176" fontId="6" fillId="11" borderId="20" xfId="0" applyNumberFormat="1" applyFont="1" applyFill="1" applyBorder="1" applyAlignment="1">
      <alignment horizontal="center"/>
    </xf>
    <xf numFmtId="177" fontId="0" fillId="11" borderId="20" xfId="0" applyNumberFormat="1" applyFill="1" applyBorder="1" applyAlignment="1">
      <alignment horizontal="center" vertical="center"/>
    </xf>
    <xf numFmtId="176" fontId="0" fillId="11" borderId="20" xfId="0" applyNumberFormat="1" applyFill="1" applyBorder="1" applyAlignment="1">
      <alignment horizontal="center" vertical="center"/>
    </xf>
    <xf numFmtId="178" fontId="6" fillId="11" borderId="20" xfId="0" applyNumberFormat="1" applyFont="1" applyFill="1" applyBorder="1" applyAlignment="1">
      <alignment horizontal="center" vertical="center"/>
    </xf>
    <xf numFmtId="176" fontId="0" fillId="11" borderId="20" xfId="0" applyNumberFormat="1" applyFill="1" applyBorder="1" applyAlignment="1">
      <alignment horizontal="center"/>
    </xf>
    <xf numFmtId="177" fontId="6" fillId="11" borderId="20" xfId="0" applyNumberFormat="1" applyFont="1" applyFill="1" applyBorder="1" applyAlignment="1">
      <alignment horizontal="center"/>
    </xf>
    <xf numFmtId="179" fontId="1" fillId="4" borderId="20" xfId="0" applyNumberFormat="1" applyFont="1" applyFill="1" applyBorder="1" applyAlignment="1">
      <alignment horizontal="center"/>
    </xf>
    <xf numFmtId="0" fontId="7" fillId="12" borderId="0" xfId="0" applyFont="1" applyFill="1"/>
    <xf numFmtId="178" fontId="1" fillId="0" borderId="0" xfId="0" applyNumberFormat="1" applyFont="1" applyAlignment="1">
      <alignment horizontal="center"/>
    </xf>
    <xf numFmtId="0" fontId="1" fillId="3" borderId="20" xfId="0" applyFont="1" applyFill="1" applyBorder="1"/>
    <xf numFmtId="0" fontId="1" fillId="0" borderId="0" xfId="0" applyFont="1" applyAlignment="1">
      <alignment horizontal="center" vertical="center"/>
    </xf>
    <xf numFmtId="178" fontId="1" fillId="0" borderId="0" xfId="0" applyNumberFormat="1" applyFont="1" applyAlignment="1">
      <alignment horizontal="center" vertical="center"/>
    </xf>
    <xf numFmtId="178" fontId="1" fillId="3" borderId="20" xfId="0" applyNumberFormat="1" applyFont="1" applyFill="1" applyBorder="1" applyAlignment="1">
      <alignment horizontal="center" vertical="center"/>
    </xf>
    <xf numFmtId="178" fontId="1" fillId="0" borderId="0" xfId="0" applyNumberFormat="1" applyFont="1"/>
    <xf numFmtId="178" fontId="1" fillId="3" borderId="20" xfId="0" applyNumberFormat="1" applyFont="1" applyFill="1" applyBorder="1"/>
    <xf numFmtId="179" fontId="1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/>
    </xf>
    <xf numFmtId="176" fontId="1" fillId="0" borderId="0" xfId="0" applyNumberFormat="1" applyFont="1" applyAlignment="1">
      <alignment horizontal="center" vertical="center"/>
    </xf>
    <xf numFmtId="176" fontId="1" fillId="0" borderId="0" xfId="0" applyNumberFormat="1" applyFont="1" applyAlignment="1">
      <alignment horizontal="center"/>
    </xf>
    <xf numFmtId="176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  <xf numFmtId="177" fontId="1" fillId="0" borderId="0" xfId="3" applyNumberFormat="1" applyFont="1" applyAlignment="1">
      <alignment horizontal="center" vertical="center"/>
    </xf>
    <xf numFmtId="176" fontId="1" fillId="0" borderId="0" xfId="3" applyNumberFormat="1" applyFont="1" applyAlignment="1">
      <alignment horizontal="center" vertical="center"/>
    </xf>
    <xf numFmtId="176" fontId="2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/>
    </xf>
    <xf numFmtId="183" fontId="1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center" vertical="center"/>
    </xf>
    <xf numFmtId="178" fontId="6" fillId="0" borderId="0" xfId="0" applyNumberFormat="1" applyFont="1" applyAlignment="1">
      <alignment horizontal="center"/>
    </xf>
    <xf numFmtId="178" fontId="6" fillId="9" borderId="20" xfId="0" applyNumberFormat="1" applyFont="1" applyFill="1" applyBorder="1" applyAlignment="1">
      <alignment horizontal="center"/>
    </xf>
    <xf numFmtId="177" fontId="1" fillId="0" borderId="0" xfId="0" applyNumberFormat="1" applyFont="1" applyAlignment="1">
      <alignment horizontal="center" vertical="center"/>
    </xf>
    <xf numFmtId="177" fontId="0" fillId="0" borderId="0" xfId="0" applyNumberFormat="1"/>
    <xf numFmtId="176" fontId="0" fillId="0" borderId="0" xfId="0" applyNumberFormat="1" applyAlignment="1">
      <alignment vertical="center"/>
    </xf>
    <xf numFmtId="176" fontId="0" fillId="0" borderId="0" xfId="0" applyNumberFormat="1"/>
    <xf numFmtId="176" fontId="1" fillId="0" borderId="0" xfId="0" applyNumberFormat="1" applyFont="1"/>
    <xf numFmtId="176" fontId="1" fillId="0" borderId="0" xfId="0" applyNumberFormat="1" applyFont="1" applyAlignment="1">
      <alignment horizontal="center" wrapText="1"/>
    </xf>
    <xf numFmtId="0" fontId="5" fillId="0" borderId="0" xfId="0" applyFont="1" applyAlignment="1">
      <alignment horizontal="center" vertical="center"/>
    </xf>
    <xf numFmtId="176" fontId="1" fillId="0" borderId="0" xfId="0" applyNumberFormat="1" applyFont="1" applyAlignment="1">
      <alignment horizontal="center" vertical="center" wrapText="1"/>
    </xf>
    <xf numFmtId="49" fontId="1" fillId="0" borderId="0" xfId="0" applyNumberFormat="1" applyFont="1" applyAlignment="1">
      <alignment horizontal="center" vertical="center"/>
    </xf>
    <xf numFmtId="176" fontId="1" fillId="0" borderId="0" xfId="0" applyNumberFormat="1" applyFont="1" applyAlignment="1">
      <alignment horizontal="right" vertical="center"/>
    </xf>
    <xf numFmtId="177" fontId="1" fillId="0" borderId="0" xfId="0" applyNumberFormat="1" applyFont="1"/>
    <xf numFmtId="177" fontId="1" fillId="0" borderId="0" xfId="0" applyNumberFormat="1" applyFont="1" applyAlignment="1">
      <alignment vertical="center"/>
    </xf>
    <xf numFmtId="0" fontId="10" fillId="0" borderId="31" xfId="0" applyFont="1" applyBorder="1" applyAlignment="1">
      <alignment horizontal="center" vertical="center" wrapText="1"/>
    </xf>
    <xf numFmtId="176" fontId="5" fillId="0" borderId="0" xfId="0" applyNumberFormat="1" applyFont="1" applyAlignment="1">
      <alignment vertical="center"/>
    </xf>
    <xf numFmtId="0" fontId="11" fillId="0" borderId="31" xfId="0" applyFont="1" applyBorder="1" applyAlignment="1">
      <alignment horizontal="center" vertical="center" wrapText="1"/>
    </xf>
    <xf numFmtId="177" fontId="5" fillId="0" borderId="0" xfId="0" applyNumberFormat="1" applyFont="1"/>
    <xf numFmtId="0" fontId="0" fillId="0" borderId="0" xfId="0" applyAlignment="1">
      <alignment vertical="center"/>
    </xf>
    <xf numFmtId="10" fontId="0" fillId="0" borderId="0" xfId="0" applyNumberFormat="1" applyAlignment="1">
      <alignment vertical="center"/>
    </xf>
    <xf numFmtId="181" fontId="0" fillId="0" borderId="0" xfId="0" applyNumberFormat="1" applyAlignment="1">
      <alignment vertical="center"/>
    </xf>
    <xf numFmtId="49" fontId="1" fillId="0" borderId="0" xfId="0" applyNumberFormat="1" applyFont="1" applyAlignment="1">
      <alignment horizontal="center"/>
    </xf>
    <xf numFmtId="178" fontId="1" fillId="0" borderId="0" xfId="0" applyNumberFormat="1" applyFont="1" applyAlignment="1">
      <alignment horizontal="right"/>
    </xf>
    <xf numFmtId="177" fontId="12" fillId="0" borderId="0" xfId="0" applyNumberFormat="1" applyFont="1" applyAlignment="1">
      <alignment horizontal="center" vertical="center"/>
    </xf>
    <xf numFmtId="49" fontId="5" fillId="0" borderId="0" xfId="0" applyNumberFormat="1" applyFont="1" applyAlignment="1">
      <alignment horizontal="left" vertical="center"/>
    </xf>
    <xf numFmtId="0" fontId="12" fillId="0" borderId="0" xfId="0" applyFont="1" applyAlignment="1">
      <alignment horizontal="center" vertical="center"/>
    </xf>
    <xf numFmtId="178" fontId="6" fillId="0" borderId="0" xfId="0" applyNumberFormat="1" applyFont="1" applyAlignment="1">
      <alignment horizontal="center" vertical="center"/>
    </xf>
    <xf numFmtId="176" fontId="1" fillId="0" borderId="0" xfId="0" applyNumberFormat="1" applyFont="1" applyAlignment="1">
      <alignment horizontal="right"/>
    </xf>
    <xf numFmtId="179" fontId="14" fillId="0" borderId="0" xfId="0" applyNumberFormat="1" applyFont="1" applyAlignment="1">
      <alignment horizontal="center" vertical="center"/>
    </xf>
    <xf numFmtId="177" fontId="15" fillId="13" borderId="32" xfId="2" applyNumberFormat="1" applyFont="1" applyAlignment="1">
      <alignment horizontal="center"/>
    </xf>
    <xf numFmtId="177" fontId="1" fillId="14" borderId="33" xfId="1" applyNumberFormat="1" applyFont="1" applyAlignment="1">
      <alignment horizontal="center"/>
    </xf>
    <xf numFmtId="176" fontId="1" fillId="14" borderId="33" xfId="1" applyNumberFormat="1" applyFont="1" applyAlignment="1">
      <alignment horizontal="center"/>
    </xf>
    <xf numFmtId="176" fontId="1" fillId="14" borderId="34" xfId="1" applyNumberFormat="1" applyFont="1" applyBorder="1" applyAlignment="1">
      <alignment horizontal="center"/>
    </xf>
    <xf numFmtId="177" fontId="1" fillId="15" borderId="20" xfId="0" applyNumberFormat="1" applyFont="1" applyFill="1" applyBorder="1" applyAlignment="1">
      <alignment horizontal="center"/>
    </xf>
    <xf numFmtId="0" fontId="1" fillId="15" borderId="20" xfId="0" applyFont="1" applyFill="1" applyBorder="1"/>
    <xf numFmtId="177" fontId="1" fillId="16" borderId="20" xfId="0" applyNumberFormat="1" applyFont="1" applyFill="1" applyBorder="1"/>
    <xf numFmtId="177" fontId="1" fillId="16" borderId="20" xfId="0" applyNumberFormat="1" applyFont="1" applyFill="1" applyBorder="1" applyAlignment="1">
      <alignment horizontal="center"/>
    </xf>
    <xf numFmtId="176" fontId="1" fillId="16" borderId="20" xfId="0" applyNumberFormat="1" applyFont="1" applyFill="1" applyBorder="1" applyAlignment="1">
      <alignment horizontal="center"/>
    </xf>
    <xf numFmtId="177" fontId="15" fillId="13" borderId="32" xfId="2" applyNumberFormat="1" applyFont="1" applyAlignment="1">
      <alignment horizontal="center" vertical="center"/>
    </xf>
    <xf numFmtId="177" fontId="1" fillId="14" borderId="33" xfId="1" applyNumberFormat="1" applyFont="1" applyAlignment="1">
      <alignment horizontal="center" vertical="center"/>
    </xf>
    <xf numFmtId="176" fontId="1" fillId="14" borderId="33" xfId="1" applyNumberFormat="1" applyFont="1" applyAlignment="1">
      <alignment horizontal="center" vertical="center"/>
    </xf>
    <xf numFmtId="177" fontId="1" fillId="15" borderId="20" xfId="0" applyNumberFormat="1" applyFont="1" applyFill="1" applyBorder="1" applyAlignment="1">
      <alignment horizontal="center" vertical="center"/>
    </xf>
    <xf numFmtId="178" fontId="1" fillId="15" borderId="20" xfId="0" applyNumberFormat="1" applyFont="1" applyFill="1" applyBorder="1" applyAlignment="1">
      <alignment horizontal="center" vertical="center"/>
    </xf>
    <xf numFmtId="176" fontId="1" fillId="16" borderId="20" xfId="0" applyNumberFormat="1" applyFont="1" applyFill="1" applyBorder="1" applyAlignment="1">
      <alignment horizontal="center" vertical="center"/>
    </xf>
    <xf numFmtId="177" fontId="1" fillId="16" borderId="20" xfId="0" applyNumberFormat="1" applyFont="1" applyFill="1" applyBorder="1" applyAlignment="1">
      <alignment horizontal="center" vertical="center"/>
    </xf>
    <xf numFmtId="49" fontId="15" fillId="13" borderId="32" xfId="2" applyNumberFormat="1" applyFont="1" applyAlignment="1">
      <alignment horizontal="center" vertical="center"/>
    </xf>
    <xf numFmtId="176" fontId="1" fillId="14" borderId="34" xfId="1" applyNumberFormat="1" applyFont="1" applyBorder="1" applyAlignment="1">
      <alignment horizontal="center" vertical="center"/>
    </xf>
    <xf numFmtId="176" fontId="1" fillId="15" borderId="20" xfId="0" applyNumberFormat="1" applyFont="1" applyFill="1" applyBorder="1" applyAlignment="1">
      <alignment horizontal="center" vertical="center"/>
    </xf>
    <xf numFmtId="177" fontId="5" fillId="16" borderId="20" xfId="0" applyNumberFormat="1" applyFont="1" applyFill="1" applyBorder="1" applyAlignment="1">
      <alignment horizontal="center" vertical="center"/>
    </xf>
    <xf numFmtId="178" fontId="1" fillId="15" borderId="20" xfId="0" applyNumberFormat="1" applyFont="1" applyFill="1" applyBorder="1" applyAlignment="1">
      <alignment horizontal="center"/>
    </xf>
    <xf numFmtId="49" fontId="5" fillId="0" borderId="0" xfId="0" applyNumberFormat="1" applyFont="1" applyAlignment="1">
      <alignment horizontal="center" vertical="center"/>
    </xf>
    <xf numFmtId="177" fontId="1" fillId="17" borderId="20" xfId="0" applyNumberFormat="1" applyFont="1" applyFill="1" applyBorder="1" applyAlignment="1">
      <alignment horizontal="center"/>
    </xf>
    <xf numFmtId="0" fontId="1" fillId="17" borderId="20" xfId="0" applyFont="1" applyFill="1" applyBorder="1"/>
    <xf numFmtId="177" fontId="1" fillId="17" borderId="20" xfId="0" applyNumberFormat="1" applyFont="1" applyFill="1" applyBorder="1" applyAlignment="1">
      <alignment horizontal="center" vertical="center"/>
    </xf>
    <xf numFmtId="178" fontId="1" fillId="17" borderId="20" xfId="0" applyNumberFormat="1" applyFont="1" applyFill="1" applyBorder="1" applyAlignment="1">
      <alignment horizontal="center"/>
    </xf>
    <xf numFmtId="49" fontId="1" fillId="0" borderId="0" xfId="3" applyNumberFormat="1" applyFont="1" applyAlignment="1">
      <alignment horizontal="center" vertical="center"/>
    </xf>
    <xf numFmtId="0" fontId="16" fillId="18" borderId="37" xfId="0" applyFont="1" applyFill="1" applyBorder="1" applyAlignment="1">
      <alignment horizontal="left" vertical="center" wrapText="1"/>
    </xf>
    <xf numFmtId="0" fontId="16" fillId="0" borderId="37" xfId="0" applyFont="1" applyBorder="1" applyAlignment="1">
      <alignment vertical="center" wrapText="1"/>
    </xf>
    <xf numFmtId="0" fontId="18" fillId="0" borderId="37" xfId="0" applyFont="1" applyBorder="1" applyAlignment="1">
      <alignment vertical="center" wrapText="1"/>
    </xf>
    <xf numFmtId="0" fontId="19" fillId="0" borderId="0" xfId="0" applyFont="1"/>
    <xf numFmtId="0" fontId="1" fillId="12" borderId="0" xfId="0" applyFont="1" applyFill="1" applyAlignment="1">
      <alignment horizontal="center" vertical="center"/>
    </xf>
    <xf numFmtId="177" fontId="5" fillId="12" borderId="0" xfId="0" applyNumberFormat="1" applyFont="1" applyFill="1"/>
    <xf numFmtId="49" fontId="1" fillId="12" borderId="0" xfId="0" applyNumberFormat="1" applyFont="1" applyFill="1" applyAlignment="1">
      <alignment horizontal="center" vertical="center"/>
    </xf>
    <xf numFmtId="177" fontId="1" fillId="12" borderId="0" xfId="0" applyNumberFormat="1" applyFont="1" applyFill="1" applyAlignment="1">
      <alignment horizontal="center" vertical="center"/>
    </xf>
    <xf numFmtId="179" fontId="1" fillId="12" borderId="0" xfId="0" applyNumberFormat="1" applyFont="1" applyFill="1" applyAlignment="1">
      <alignment horizontal="center" vertical="center"/>
    </xf>
    <xf numFmtId="176" fontId="1" fillId="12" borderId="0" xfId="0" applyNumberFormat="1" applyFont="1" applyFill="1" applyAlignment="1">
      <alignment vertical="center"/>
    </xf>
    <xf numFmtId="176" fontId="1" fillId="12" borderId="0" xfId="0" applyNumberFormat="1" applyFont="1" applyFill="1"/>
    <xf numFmtId="178" fontId="1" fillId="12" borderId="0" xfId="0" applyNumberFormat="1" applyFont="1" applyFill="1" applyAlignment="1">
      <alignment horizontal="center"/>
    </xf>
    <xf numFmtId="177" fontId="1" fillId="12" borderId="0" xfId="0" applyNumberFormat="1" applyFont="1" applyFill="1" applyAlignment="1">
      <alignment vertical="center"/>
    </xf>
    <xf numFmtId="176" fontId="1" fillId="12" borderId="0" xfId="0" applyNumberFormat="1" applyFont="1" applyFill="1" applyAlignment="1">
      <alignment horizontal="center"/>
    </xf>
    <xf numFmtId="176" fontId="1" fillId="12" borderId="0" xfId="0" applyNumberFormat="1" applyFont="1" applyFill="1" applyAlignment="1">
      <alignment horizontal="center" wrapText="1"/>
    </xf>
    <xf numFmtId="0" fontId="19" fillId="12" borderId="0" xfId="0" applyFont="1" applyFill="1"/>
    <xf numFmtId="176" fontId="19" fillId="12" borderId="0" xfId="0" applyNumberFormat="1" applyFont="1" applyFill="1" applyAlignment="1">
      <alignment vertical="center"/>
    </xf>
    <xf numFmtId="176" fontId="19" fillId="12" borderId="0" xfId="0" applyNumberFormat="1" applyFont="1" applyFill="1"/>
    <xf numFmtId="49" fontId="1" fillId="12" borderId="0" xfId="0" applyNumberFormat="1" applyFont="1" applyFill="1" applyAlignment="1">
      <alignment horizontal="center"/>
    </xf>
    <xf numFmtId="178" fontId="1" fillId="12" borderId="0" xfId="0" applyNumberFormat="1" applyFont="1" applyFill="1" applyAlignment="1">
      <alignment horizontal="center" vertical="center"/>
    </xf>
    <xf numFmtId="0" fontId="5" fillId="12" borderId="0" xfId="0" applyFont="1" applyFill="1" applyAlignment="1">
      <alignment horizontal="center" vertical="center"/>
    </xf>
    <xf numFmtId="177" fontId="12" fillId="12" borderId="0" xfId="0" applyNumberFormat="1" applyFont="1" applyFill="1" applyAlignment="1">
      <alignment horizontal="center" vertical="center"/>
    </xf>
    <xf numFmtId="177" fontId="1" fillId="12" borderId="0" xfId="0" applyNumberFormat="1" applyFont="1" applyFill="1"/>
    <xf numFmtId="176" fontId="1" fillId="12" borderId="0" xfId="0" applyNumberFormat="1" applyFont="1" applyFill="1" applyAlignment="1">
      <alignment horizontal="center" vertical="center"/>
    </xf>
    <xf numFmtId="0" fontId="0" fillId="12" borderId="0" xfId="0" applyFill="1"/>
    <xf numFmtId="176" fontId="0" fillId="12" borderId="0" xfId="0" applyNumberFormat="1" applyFill="1" applyAlignment="1">
      <alignment vertical="center"/>
    </xf>
    <xf numFmtId="176" fontId="0" fillId="12" borderId="0" xfId="0" applyNumberFormat="1" applyFill="1"/>
    <xf numFmtId="177" fontId="12" fillId="0" borderId="0" xfId="0" applyNumberFormat="1" applyFont="1" applyAlignment="1">
      <alignment vertical="center"/>
    </xf>
    <xf numFmtId="176" fontId="19" fillId="0" borderId="0" xfId="0" applyNumberFormat="1" applyFont="1" applyAlignment="1">
      <alignment vertical="center"/>
    </xf>
    <xf numFmtId="176" fontId="19" fillId="0" borderId="0" xfId="0" applyNumberFormat="1" applyFont="1"/>
    <xf numFmtId="178" fontId="1" fillId="3" borderId="20" xfId="0" applyNumberFormat="1" applyFont="1" applyFill="1" applyBorder="1" applyAlignment="1">
      <alignment horizontal="right"/>
    </xf>
    <xf numFmtId="0" fontId="2" fillId="6" borderId="20" xfId="0" applyFont="1" applyFill="1" applyBorder="1" applyAlignment="1">
      <alignment horizontal="center" vertical="center" wrapText="1"/>
    </xf>
    <xf numFmtId="180" fontId="1" fillId="0" borderId="0" xfId="0" applyNumberFormat="1" applyFont="1" applyAlignment="1">
      <alignment horizontal="center" vertical="center"/>
    </xf>
    <xf numFmtId="180" fontId="1" fillId="0" borderId="0" xfId="0" applyNumberFormat="1" applyFont="1" applyAlignment="1">
      <alignment horizontal="center"/>
    </xf>
    <xf numFmtId="0" fontId="18" fillId="18" borderId="38" xfId="0" applyFont="1" applyFill="1" applyBorder="1" applyAlignment="1">
      <alignment horizontal="left" vertical="center" wrapText="1"/>
    </xf>
    <xf numFmtId="0" fontId="22" fillId="0" borderId="37" xfId="0" applyFont="1" applyBorder="1" applyAlignment="1">
      <alignment horizontal="left" vertical="center" wrapText="1"/>
    </xf>
    <xf numFmtId="182" fontId="1" fillId="0" borderId="0" xfId="0" applyNumberFormat="1" applyFont="1"/>
    <xf numFmtId="0" fontId="2" fillId="8" borderId="24" xfId="0" applyFont="1" applyFill="1" applyBorder="1" applyAlignment="1">
      <alignment horizontal="center" vertical="center"/>
    </xf>
    <xf numFmtId="0" fontId="2" fillId="8" borderId="27" xfId="0" applyFont="1" applyFill="1" applyBorder="1" applyAlignment="1">
      <alignment horizontal="center" vertical="center"/>
    </xf>
    <xf numFmtId="0" fontId="2" fillId="8" borderId="26" xfId="0" applyFont="1" applyFill="1" applyBorder="1" applyAlignment="1">
      <alignment horizontal="center" vertical="center"/>
    </xf>
    <xf numFmtId="0" fontId="2" fillId="8" borderId="27" xfId="0" applyFont="1" applyFill="1" applyBorder="1" applyAlignment="1">
      <alignment horizontal="center" vertical="center" wrapText="1"/>
    </xf>
    <xf numFmtId="0" fontId="2" fillId="6" borderId="21" xfId="0" applyFont="1" applyFill="1" applyBorder="1" applyAlignment="1">
      <alignment horizontal="center" vertical="center"/>
    </xf>
    <xf numFmtId="0" fontId="1" fillId="6" borderId="23" xfId="0" applyFont="1" applyFill="1" applyBorder="1" applyAlignment="1">
      <alignment horizontal="center" vertical="center"/>
    </xf>
    <xf numFmtId="0" fontId="1" fillId="6" borderId="22" xfId="0" applyFont="1" applyFill="1" applyBorder="1" applyAlignment="1">
      <alignment horizontal="center" vertical="center"/>
    </xf>
    <xf numFmtId="0" fontId="2" fillId="6" borderId="21" xfId="0" applyFont="1" applyFill="1" applyBorder="1" applyAlignment="1">
      <alignment horizontal="center"/>
    </xf>
    <xf numFmtId="0" fontId="1" fillId="6" borderId="23" xfId="0" applyFont="1" applyFill="1" applyBorder="1" applyAlignment="1">
      <alignment horizontal="center"/>
    </xf>
    <xf numFmtId="0" fontId="1" fillId="6" borderId="22" xfId="0" applyFont="1" applyFill="1" applyBorder="1" applyAlignment="1">
      <alignment horizontal="center"/>
    </xf>
    <xf numFmtId="0" fontId="2" fillId="6" borderId="21" xfId="0" applyFont="1" applyFill="1" applyBorder="1" applyAlignment="1">
      <alignment horizontal="center" vertical="center" wrapText="1"/>
    </xf>
    <xf numFmtId="182" fontId="1" fillId="6" borderId="21" xfId="0" applyNumberFormat="1" applyFont="1" applyFill="1" applyBorder="1" applyAlignment="1">
      <alignment horizontal="center" vertical="center"/>
    </xf>
    <xf numFmtId="182" fontId="1" fillId="6" borderId="22" xfId="0" applyNumberFormat="1" applyFont="1" applyFill="1" applyBorder="1" applyAlignment="1">
      <alignment horizontal="center" vertical="center"/>
    </xf>
    <xf numFmtId="0" fontId="1" fillId="6" borderId="20" xfId="0" applyFont="1" applyFill="1" applyBorder="1" applyAlignment="1">
      <alignment horizontal="center" vertical="center"/>
    </xf>
    <xf numFmtId="179" fontId="1" fillId="6" borderId="21" xfId="0" applyNumberFormat="1" applyFont="1" applyFill="1" applyBorder="1" applyAlignment="1">
      <alignment horizontal="center" vertical="center"/>
    </xf>
    <xf numFmtId="179" fontId="1" fillId="6" borderId="22" xfId="0" applyNumberFormat="1" applyFont="1" applyFill="1" applyBorder="1" applyAlignment="1">
      <alignment horizontal="center" vertical="center"/>
    </xf>
    <xf numFmtId="176" fontId="1" fillId="16" borderId="20" xfId="0" applyNumberFormat="1" applyFont="1" applyFill="1" applyBorder="1" applyAlignment="1">
      <alignment horizontal="center" vertical="center"/>
    </xf>
    <xf numFmtId="177" fontId="1" fillId="16" borderId="20" xfId="0" applyNumberFormat="1" applyFont="1" applyFill="1" applyBorder="1" applyAlignment="1">
      <alignment horizontal="center" vertical="center"/>
    </xf>
    <xf numFmtId="177" fontId="1" fillId="0" borderId="0" xfId="0" applyNumberFormat="1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177" fontId="1" fillId="14" borderId="33" xfId="1" applyNumberFormat="1" applyFont="1" applyAlignment="1">
      <alignment horizontal="center" vertical="center"/>
    </xf>
    <xf numFmtId="177" fontId="15" fillId="13" borderId="32" xfId="2" applyNumberFormat="1" applyFont="1" applyAlignment="1">
      <alignment horizontal="center" vertical="center"/>
    </xf>
    <xf numFmtId="176" fontId="1" fillId="14" borderId="33" xfId="1" applyNumberFormat="1" applyFont="1" applyAlignment="1">
      <alignment horizontal="center" vertical="center"/>
    </xf>
    <xf numFmtId="178" fontId="1" fillId="15" borderId="20" xfId="0" applyNumberFormat="1" applyFont="1" applyFill="1" applyBorder="1" applyAlignment="1">
      <alignment horizontal="center" vertical="center"/>
    </xf>
    <xf numFmtId="177" fontId="5" fillId="16" borderId="35" xfId="0" applyNumberFormat="1" applyFont="1" applyFill="1" applyBorder="1" applyAlignment="1">
      <alignment horizontal="center" vertical="center"/>
    </xf>
    <xf numFmtId="177" fontId="1" fillId="16" borderId="36" xfId="0" applyNumberFormat="1" applyFont="1" applyFill="1" applyBorder="1" applyAlignment="1">
      <alignment horizontal="center" vertical="center"/>
    </xf>
    <xf numFmtId="177" fontId="1" fillId="16" borderId="25" xfId="0" applyNumberFormat="1" applyFont="1" applyFill="1" applyBorder="1" applyAlignment="1">
      <alignment horizontal="center" vertical="center"/>
    </xf>
    <xf numFmtId="177" fontId="1" fillId="15" borderId="20" xfId="0" applyNumberFormat="1" applyFont="1" applyFill="1" applyBorder="1" applyAlignment="1">
      <alignment horizontal="center" vertical="center"/>
    </xf>
    <xf numFmtId="0" fontId="10" fillId="0" borderId="31" xfId="0" applyFont="1" applyBorder="1" applyAlignment="1">
      <alignment horizontal="center" vertical="center" wrapText="1"/>
    </xf>
    <xf numFmtId="176" fontId="1" fillId="0" borderId="28" xfId="0" applyNumberFormat="1" applyFont="1" applyBorder="1" applyAlignment="1">
      <alignment horizontal="center" vertical="center"/>
    </xf>
    <xf numFmtId="176" fontId="1" fillId="0" borderId="0" xfId="0" applyNumberFormat="1" applyFont="1" applyAlignment="1">
      <alignment horizontal="center" vertical="center"/>
    </xf>
    <xf numFmtId="176" fontId="1" fillId="0" borderId="28" xfId="0" applyNumberFormat="1" applyFont="1" applyBorder="1" applyAlignment="1">
      <alignment horizontal="right" vertical="center"/>
    </xf>
    <xf numFmtId="176" fontId="1" fillId="0" borderId="0" xfId="0" applyNumberFormat="1" applyFont="1" applyAlignment="1">
      <alignment horizontal="right" vertical="center"/>
    </xf>
    <xf numFmtId="177" fontId="1" fillId="0" borderId="28" xfId="0" applyNumberFormat="1" applyFont="1" applyBorder="1" applyAlignment="1">
      <alignment horizontal="center" vertical="center"/>
    </xf>
    <xf numFmtId="176" fontId="1" fillId="0" borderId="0" xfId="0" applyNumberFormat="1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176" fontId="5" fillId="0" borderId="28" xfId="0" applyNumberFormat="1" applyFont="1" applyBorder="1" applyAlignment="1">
      <alignment horizontal="center" vertical="center"/>
    </xf>
    <xf numFmtId="0" fontId="1" fillId="12" borderId="0" xfId="0" applyFont="1" applyFill="1" applyAlignment="1">
      <alignment horizontal="center" vertical="center" wrapText="1"/>
    </xf>
    <xf numFmtId="0" fontId="1" fillId="12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8" fillId="0" borderId="29" xfId="0" applyFont="1" applyBorder="1" applyAlignment="1">
      <alignment horizontal="center" vertical="center" wrapText="1"/>
    </xf>
    <xf numFmtId="0" fontId="9" fillId="0" borderId="30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180" fontId="1" fillId="0" borderId="0" xfId="0" applyNumberFormat="1" applyFont="1" applyAlignment="1">
      <alignment horizontal="center" vertical="center"/>
    </xf>
    <xf numFmtId="180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178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/>
    </xf>
    <xf numFmtId="178" fontId="1" fillId="0" borderId="0" xfId="0" applyNumberFormat="1" applyFont="1" applyAlignment="1">
      <alignment horizontal="center" vertical="center" wrapText="1"/>
    </xf>
    <xf numFmtId="178" fontId="5" fillId="0" borderId="0" xfId="0" applyNumberFormat="1" applyFont="1" applyAlignment="1">
      <alignment horizontal="center" vertical="center" wrapText="1"/>
    </xf>
    <xf numFmtId="0" fontId="2" fillId="3" borderId="21" xfId="0" applyFont="1" applyFill="1" applyBorder="1" applyAlignment="1">
      <alignment horizontal="center" vertical="center"/>
    </xf>
    <xf numFmtId="0" fontId="1" fillId="3" borderId="23" xfId="0" applyFont="1" applyFill="1" applyBorder="1" applyAlignment="1">
      <alignment horizontal="center" vertical="center"/>
    </xf>
    <xf numFmtId="0" fontId="1" fillId="3" borderId="22" xfId="0" applyFont="1" applyFill="1" applyBorder="1" applyAlignment="1">
      <alignment horizontal="center" vertical="center"/>
    </xf>
    <xf numFmtId="0" fontId="1" fillId="3" borderId="20" xfId="0" applyFont="1" applyFill="1" applyBorder="1" applyAlignment="1">
      <alignment horizontal="center" vertical="center"/>
    </xf>
    <xf numFmtId="0" fontId="1" fillId="3" borderId="20" xfId="0" applyFont="1" applyFill="1" applyBorder="1" applyAlignment="1">
      <alignment horizontal="left" vertical="center"/>
    </xf>
    <xf numFmtId="0" fontId="5" fillId="3" borderId="20" xfId="0" applyFont="1" applyFill="1" applyBorder="1" applyAlignment="1">
      <alignment horizontal="center" vertical="center"/>
    </xf>
    <xf numFmtId="0" fontId="2" fillId="3" borderId="23" xfId="0" applyFont="1" applyFill="1" applyBorder="1" applyAlignment="1">
      <alignment horizontal="center" vertical="center"/>
    </xf>
    <xf numFmtId="0" fontId="2" fillId="3" borderId="22" xfId="0" applyFont="1" applyFill="1" applyBorder="1" applyAlignment="1">
      <alignment horizontal="center" vertical="center"/>
    </xf>
    <xf numFmtId="176" fontId="1" fillId="3" borderId="20" xfId="0" applyNumberFormat="1" applyFont="1" applyFill="1" applyBorder="1" applyAlignment="1">
      <alignment horizontal="center" vertical="center"/>
    </xf>
    <xf numFmtId="0" fontId="2" fillId="3" borderId="21" xfId="0" applyFont="1" applyFill="1" applyBorder="1" applyAlignment="1">
      <alignment horizontal="center" vertical="center" wrapText="1"/>
    </xf>
    <xf numFmtId="176" fontId="1" fillId="3" borderId="21" xfId="0" applyNumberFormat="1" applyFont="1" applyFill="1" applyBorder="1" applyAlignment="1">
      <alignment horizontal="center" vertical="center"/>
    </xf>
    <xf numFmtId="176" fontId="1" fillId="3" borderId="22" xfId="0" applyNumberFormat="1" applyFont="1" applyFill="1" applyBorder="1" applyAlignment="1">
      <alignment horizontal="center" vertical="center"/>
    </xf>
    <xf numFmtId="0" fontId="2" fillId="10" borderId="27" xfId="0" applyFont="1" applyFill="1" applyBorder="1" applyAlignment="1">
      <alignment horizontal="center" vertical="center"/>
    </xf>
    <xf numFmtId="0" fontId="2" fillId="4" borderId="21" xfId="0" applyFont="1" applyFill="1" applyBorder="1" applyAlignment="1">
      <alignment horizontal="center" vertical="center"/>
    </xf>
    <xf numFmtId="0" fontId="1" fillId="4" borderId="23" xfId="0" applyFont="1" applyFill="1" applyBorder="1" applyAlignment="1">
      <alignment horizontal="center" vertical="center"/>
    </xf>
    <xf numFmtId="0" fontId="1" fillId="4" borderId="22" xfId="0" applyFont="1" applyFill="1" applyBorder="1" applyAlignment="1">
      <alignment horizontal="center" vertical="center"/>
    </xf>
    <xf numFmtId="0" fontId="2" fillId="10" borderId="24" xfId="0" applyFont="1" applyFill="1" applyBorder="1" applyAlignment="1">
      <alignment horizontal="center" vertical="center"/>
    </xf>
    <xf numFmtId="0" fontId="2" fillId="10" borderId="26" xfId="0" applyFont="1" applyFill="1" applyBorder="1" applyAlignment="1">
      <alignment horizontal="center" vertical="center"/>
    </xf>
    <xf numFmtId="0" fontId="2" fillId="4" borderId="21" xfId="0" applyFont="1" applyFill="1" applyBorder="1" applyAlignment="1">
      <alignment horizontal="center" vertical="center" wrapText="1"/>
    </xf>
    <xf numFmtId="0" fontId="2" fillId="4" borderId="23" xfId="0" applyFont="1" applyFill="1" applyBorder="1" applyAlignment="1">
      <alignment horizontal="center" vertical="center"/>
    </xf>
    <xf numFmtId="0" fontId="2" fillId="4" borderId="22" xfId="0" applyFont="1" applyFill="1" applyBorder="1" applyAlignment="1">
      <alignment horizontal="center" vertical="center"/>
    </xf>
    <xf numFmtId="0" fontId="1" fillId="4" borderId="20" xfId="0" applyFont="1" applyFill="1" applyBorder="1" applyAlignment="1">
      <alignment horizontal="center" vertical="center"/>
    </xf>
    <xf numFmtId="10" fontId="1" fillId="4" borderId="20" xfId="0" applyNumberFormat="1" applyFont="1" applyFill="1" applyBorder="1" applyAlignment="1">
      <alignment horizontal="center" vertical="center"/>
    </xf>
    <xf numFmtId="0" fontId="1" fillId="4" borderId="20" xfId="0" applyFont="1" applyFill="1" applyBorder="1" applyAlignment="1">
      <alignment horizontal="left" vertical="center"/>
    </xf>
    <xf numFmtId="176" fontId="1" fillId="4" borderId="20" xfId="0" applyNumberFormat="1" applyFont="1" applyFill="1" applyBorder="1" applyAlignment="1">
      <alignment horizontal="center" vertical="center"/>
    </xf>
    <xf numFmtId="178" fontId="1" fillId="4" borderId="20" xfId="0" applyNumberFormat="1" applyFont="1" applyFill="1" applyBorder="1" applyAlignment="1">
      <alignment horizontal="center" vertical="center"/>
    </xf>
    <xf numFmtId="0" fontId="2" fillId="7" borderId="27" xfId="0" applyFont="1" applyFill="1" applyBorder="1" applyAlignment="1">
      <alignment horizontal="center" vertical="center"/>
    </xf>
    <xf numFmtId="0" fontId="2" fillId="7" borderId="26" xfId="0" applyFont="1" applyFill="1" applyBorder="1" applyAlignment="1">
      <alignment horizontal="center" vertical="center"/>
    </xf>
    <xf numFmtId="0" fontId="1" fillId="5" borderId="21" xfId="0" applyFont="1" applyFill="1" applyBorder="1" applyAlignment="1">
      <alignment horizontal="center" vertical="center"/>
    </xf>
    <xf numFmtId="0" fontId="1" fillId="5" borderId="22" xfId="0" applyFont="1" applyFill="1" applyBorder="1" applyAlignment="1">
      <alignment horizontal="center" vertical="center"/>
    </xf>
    <xf numFmtId="0" fontId="2" fillId="5" borderId="21" xfId="0" applyFont="1" applyFill="1" applyBorder="1" applyAlignment="1">
      <alignment horizontal="center" vertical="center"/>
    </xf>
    <xf numFmtId="0" fontId="1" fillId="5" borderId="23" xfId="0" applyFont="1" applyFill="1" applyBorder="1" applyAlignment="1">
      <alignment horizontal="center" vertical="center"/>
    </xf>
    <xf numFmtId="0" fontId="2" fillId="7" borderId="24" xfId="0" applyFont="1" applyFill="1" applyBorder="1" applyAlignment="1">
      <alignment horizontal="center" vertical="center"/>
    </xf>
    <xf numFmtId="0" fontId="2" fillId="5" borderId="21" xfId="0" applyFont="1" applyFill="1" applyBorder="1" applyAlignment="1">
      <alignment horizontal="center" vertical="center" wrapText="1"/>
    </xf>
    <xf numFmtId="176" fontId="1" fillId="5" borderId="20" xfId="0" applyNumberFormat="1" applyFont="1" applyFill="1" applyBorder="1" applyAlignment="1">
      <alignment horizontal="center" vertical="center"/>
    </xf>
    <xf numFmtId="0" fontId="1" fillId="5" borderId="20" xfId="0" applyFont="1" applyFill="1" applyBorder="1" applyAlignment="1">
      <alignment horizontal="center" vertical="center"/>
    </xf>
  </cellXfs>
  <cellStyles count="4">
    <cellStyle name="常规" xfId="0" builtinId="0"/>
    <cellStyle name="常规 2" xfId="3" xr:uid="{00000000-0005-0000-0000-000031000000}"/>
    <cellStyle name="输入" xfId="2" builtinId="20"/>
    <cellStyle name="注释" xfId="1" builtinId="1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3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2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23</xdr:col>
      <xdr:colOff>206828</xdr:colOff>
      <xdr:row>0</xdr:row>
      <xdr:rowOff>0</xdr:rowOff>
    </xdr:from>
    <xdr:to>
      <xdr:col>36</xdr:col>
      <xdr:colOff>18523</xdr:colOff>
      <xdr:row>27</xdr:row>
      <xdr:rowOff>146175</xdr:rowOff>
    </xdr:to>
    <xdr:pic>
      <xdr:nvPicPr>
        <xdr:cNvPr id="5" name="图片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2075140" y="0"/>
          <a:ext cx="8727440" cy="1362456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2026project\008jingbo_liqing\&#26032;&#24314;&#25991;&#20214;&#22841;\&#28151;&#21512;&#26009;&#23454;&#39564;&#25968;&#25454;&#34920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2026project\008jingbo_liqing\&#20877;&#29983;&#27813;&#38738;&#28151;&#21512;&#26009;&#23454;&#39564;&#25968;&#25454;&#34920;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11374\Downloads\&#20877;&#29983;&#27813;&#38738;&#28151;&#21512;&#26009;&#23454;&#39564;&#25968;&#25454;&#34920;(1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流程图"/>
      <sheetName val="集料筛分及密度"/>
      <sheetName val="级配"/>
      <sheetName val="体积指标"/>
      <sheetName val="浸水"/>
      <sheetName val="冻融"/>
      <sheetName val="高低温性能"/>
    </sheetNames>
    <sheetDataSet>
      <sheetData sheetId="0"/>
      <sheetData sheetId="1">
        <row r="8">
          <cell r="S8">
            <v>2.7242297971172902</v>
          </cell>
          <cell r="T8">
            <v>2.70766524592382</v>
          </cell>
        </row>
        <row r="9">
          <cell r="S9">
            <v>2.7173719223647201</v>
          </cell>
          <cell r="T9">
            <v>2.6843344319634102</v>
          </cell>
        </row>
        <row r="10">
          <cell r="S10">
            <v>2.72228773584906</v>
          </cell>
          <cell r="T10">
            <v>2.68066743383199</v>
          </cell>
        </row>
        <row r="11">
          <cell r="Z11">
            <v>2.7402234636871499</v>
          </cell>
          <cell r="AA11">
            <v>2.6452464788732399</v>
          </cell>
        </row>
        <row r="13">
          <cell r="S13">
            <v>2.71666446412052</v>
          </cell>
          <cell r="T13">
            <v>2.6933906922174402</v>
          </cell>
        </row>
        <row r="14">
          <cell r="Z14">
            <v>2.5628227194492301</v>
          </cell>
          <cell r="AA14">
            <v>2.5337837837837802</v>
          </cell>
        </row>
        <row r="39">
          <cell r="Z39">
            <v>2.7292051756007401</v>
          </cell>
          <cell r="AA39">
            <v>2.6426690079016701</v>
          </cell>
        </row>
      </sheetData>
      <sheetData sheetId="2"/>
      <sheetData sheetId="3"/>
      <sheetData sheetId="4"/>
      <sheetData sheetId="5"/>
      <sheetData sheetId="6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再生沥青混合料设计流程"/>
      <sheetName val="集料筛分及密度"/>
      <sheetName val="级配"/>
      <sheetName val="体积指标"/>
      <sheetName val="路用性能测试"/>
    </sheetNames>
    <sheetDataSet>
      <sheetData sheetId="0"/>
      <sheetData sheetId="1"/>
      <sheetData sheetId="2">
        <row r="458">
          <cell r="F458">
            <v>0.15</v>
          </cell>
        </row>
        <row r="459">
          <cell r="F459">
            <v>0.2</v>
          </cell>
        </row>
        <row r="460">
          <cell r="F460">
            <v>0.3</v>
          </cell>
        </row>
        <row r="461">
          <cell r="F461">
            <v>0.35</v>
          </cell>
        </row>
        <row r="462">
          <cell r="F462">
            <v>0</v>
          </cell>
        </row>
        <row r="463">
          <cell r="F463">
            <v>0</v>
          </cell>
        </row>
        <row r="464">
          <cell r="F464">
            <v>0</v>
          </cell>
        </row>
        <row r="465">
          <cell r="F465">
            <v>0.4</v>
          </cell>
        </row>
        <row r="466">
          <cell r="F466">
            <v>0.6</v>
          </cell>
        </row>
        <row r="471">
          <cell r="F471">
            <v>0.2</v>
          </cell>
        </row>
        <row r="472">
          <cell r="F472">
            <v>0.25</v>
          </cell>
        </row>
        <row r="473">
          <cell r="F473">
            <v>0.25</v>
          </cell>
        </row>
        <row r="474">
          <cell r="F474">
            <v>0.3</v>
          </cell>
        </row>
        <row r="475">
          <cell r="F475">
            <v>0</v>
          </cell>
        </row>
        <row r="476">
          <cell r="F476">
            <v>0</v>
          </cell>
        </row>
        <row r="477">
          <cell r="F477">
            <v>0</v>
          </cell>
        </row>
        <row r="478">
          <cell r="F478">
            <v>0.3</v>
          </cell>
        </row>
        <row r="479">
          <cell r="F479">
            <v>0.7</v>
          </cell>
        </row>
        <row r="601">
          <cell r="F601">
            <v>0.3</v>
          </cell>
        </row>
        <row r="602">
          <cell r="F602">
            <v>0.3</v>
          </cell>
        </row>
        <row r="603">
          <cell r="F603">
            <v>0.2</v>
          </cell>
        </row>
        <row r="604">
          <cell r="F604">
            <v>0.2</v>
          </cell>
        </row>
        <row r="605">
          <cell r="F605">
            <v>0</v>
          </cell>
        </row>
        <row r="606">
          <cell r="F606">
            <v>0.4</v>
          </cell>
        </row>
        <row r="607">
          <cell r="F607">
            <v>0.6</v>
          </cell>
        </row>
        <row r="608">
          <cell r="F608">
            <v>0</v>
          </cell>
        </row>
        <row r="609">
          <cell r="F609">
            <v>0</v>
          </cell>
        </row>
        <row r="614">
          <cell r="F614">
            <v>0.4</v>
          </cell>
        </row>
        <row r="615">
          <cell r="F615">
            <v>0.2</v>
          </cell>
        </row>
        <row r="616">
          <cell r="F616">
            <v>0.4</v>
          </cell>
        </row>
        <row r="617">
          <cell r="F617">
            <v>0</v>
          </cell>
        </row>
        <row r="618">
          <cell r="F618">
            <v>0</v>
          </cell>
        </row>
        <row r="619">
          <cell r="F619">
            <v>0.6</v>
          </cell>
        </row>
        <row r="620">
          <cell r="F620">
            <v>0.4</v>
          </cell>
        </row>
        <row r="621">
          <cell r="F621">
            <v>0</v>
          </cell>
        </row>
        <row r="622">
          <cell r="F622">
            <v>0</v>
          </cell>
        </row>
        <row r="627">
          <cell r="F627">
            <v>0.33</v>
          </cell>
        </row>
        <row r="628">
          <cell r="F628">
            <v>0.33</v>
          </cell>
        </row>
        <row r="629">
          <cell r="F629">
            <v>0.25</v>
          </cell>
        </row>
        <row r="630">
          <cell r="F630">
            <v>0.09</v>
          </cell>
        </row>
        <row r="631">
          <cell r="F631">
            <v>0</v>
          </cell>
        </row>
        <row r="632">
          <cell r="F632">
            <v>1</v>
          </cell>
        </row>
        <row r="633">
          <cell r="F633">
            <v>0</v>
          </cell>
        </row>
        <row r="634">
          <cell r="F634">
            <v>0</v>
          </cell>
        </row>
        <row r="635">
          <cell r="F635">
            <v>0</v>
          </cell>
        </row>
        <row r="640">
          <cell r="F640">
            <v>0.25</v>
          </cell>
        </row>
        <row r="641">
          <cell r="F641">
            <v>0.33</v>
          </cell>
        </row>
        <row r="642">
          <cell r="F642">
            <v>0.25</v>
          </cell>
        </row>
        <row r="643">
          <cell r="F643">
            <v>0.14000000000000001</v>
          </cell>
        </row>
        <row r="644">
          <cell r="F644">
            <v>0.03</v>
          </cell>
        </row>
        <row r="645">
          <cell r="F645">
            <v>1</v>
          </cell>
        </row>
        <row r="646">
          <cell r="F646">
            <v>0</v>
          </cell>
        </row>
        <row r="647">
          <cell r="F647">
            <v>0</v>
          </cell>
        </row>
        <row r="648">
          <cell r="F648">
            <v>0</v>
          </cell>
        </row>
        <row r="653">
          <cell r="F653">
            <v>0.5</v>
          </cell>
        </row>
        <row r="654">
          <cell r="F654">
            <v>0.33</v>
          </cell>
        </row>
        <row r="655">
          <cell r="F655">
            <v>0.17</v>
          </cell>
        </row>
        <row r="656">
          <cell r="F656">
            <v>0</v>
          </cell>
        </row>
        <row r="657">
          <cell r="F657">
            <v>0</v>
          </cell>
        </row>
        <row r="658">
          <cell r="F658">
            <v>1</v>
          </cell>
        </row>
        <row r="659">
          <cell r="F659">
            <v>0</v>
          </cell>
        </row>
        <row r="660">
          <cell r="F660">
            <v>0</v>
          </cell>
        </row>
        <row r="661">
          <cell r="F661">
            <v>0</v>
          </cell>
        </row>
        <row r="666">
          <cell r="F666">
            <v>0.3</v>
          </cell>
        </row>
        <row r="667">
          <cell r="F667">
            <v>0.5</v>
          </cell>
        </row>
        <row r="668">
          <cell r="F668">
            <v>0.2</v>
          </cell>
        </row>
        <row r="669">
          <cell r="F669">
            <v>0</v>
          </cell>
        </row>
        <row r="670">
          <cell r="F670">
            <v>0</v>
          </cell>
        </row>
        <row r="671">
          <cell r="F671">
            <v>0.6</v>
          </cell>
        </row>
        <row r="672">
          <cell r="F672">
            <v>0.4</v>
          </cell>
        </row>
        <row r="673">
          <cell r="F673">
            <v>0</v>
          </cell>
        </row>
        <row r="674">
          <cell r="F674">
            <v>0</v>
          </cell>
        </row>
        <row r="679">
          <cell r="F679">
            <v>0.64</v>
          </cell>
        </row>
        <row r="680">
          <cell r="F680">
            <v>0.16</v>
          </cell>
        </row>
        <row r="681">
          <cell r="F681">
            <v>0.2</v>
          </cell>
        </row>
        <row r="682">
          <cell r="F682">
            <v>0</v>
          </cell>
        </row>
        <row r="683">
          <cell r="F683">
            <v>0</v>
          </cell>
        </row>
        <row r="684">
          <cell r="F684">
            <v>0.4</v>
          </cell>
        </row>
        <row r="685">
          <cell r="F685">
            <v>0.6</v>
          </cell>
        </row>
        <row r="686">
          <cell r="F686">
            <v>0</v>
          </cell>
        </row>
        <row r="687">
          <cell r="F687">
            <v>0</v>
          </cell>
        </row>
        <row r="692">
          <cell r="F692">
            <v>0.5</v>
          </cell>
        </row>
        <row r="693">
          <cell r="F693">
            <v>0.41</v>
          </cell>
        </row>
        <row r="694">
          <cell r="F694">
            <v>0.09</v>
          </cell>
        </row>
        <row r="695">
          <cell r="F695">
            <v>0</v>
          </cell>
        </row>
        <row r="696">
          <cell r="F696">
            <v>0</v>
          </cell>
        </row>
        <row r="697">
          <cell r="F697">
            <v>1</v>
          </cell>
        </row>
        <row r="698">
          <cell r="F698">
            <v>0</v>
          </cell>
        </row>
        <row r="699">
          <cell r="F699">
            <v>0</v>
          </cell>
        </row>
        <row r="700">
          <cell r="F700">
            <v>0</v>
          </cell>
        </row>
        <row r="705">
          <cell r="F705">
            <v>0.5</v>
          </cell>
        </row>
        <row r="706">
          <cell r="F706">
            <v>0.3</v>
          </cell>
        </row>
        <row r="707">
          <cell r="F707">
            <v>0.2</v>
          </cell>
        </row>
        <row r="708">
          <cell r="F708">
            <v>0</v>
          </cell>
        </row>
        <row r="709">
          <cell r="F709">
            <v>0</v>
          </cell>
        </row>
        <row r="710">
          <cell r="F710">
            <v>1</v>
          </cell>
        </row>
        <row r="711">
          <cell r="F711">
            <v>0</v>
          </cell>
        </row>
        <row r="712">
          <cell r="F712">
            <v>0</v>
          </cell>
        </row>
        <row r="713">
          <cell r="F713">
            <v>0</v>
          </cell>
        </row>
        <row r="718">
          <cell r="F718">
            <v>0.5</v>
          </cell>
        </row>
        <row r="719">
          <cell r="F719">
            <v>0.375</v>
          </cell>
        </row>
        <row r="720">
          <cell r="F720">
            <v>0.125</v>
          </cell>
        </row>
        <row r="721">
          <cell r="F721">
            <v>0</v>
          </cell>
        </row>
        <row r="722">
          <cell r="F722">
            <v>0</v>
          </cell>
        </row>
        <row r="723">
          <cell r="F723">
            <v>1</v>
          </cell>
        </row>
        <row r="724">
          <cell r="F724">
            <v>0</v>
          </cell>
        </row>
        <row r="725">
          <cell r="F725">
            <v>0</v>
          </cell>
        </row>
        <row r="726">
          <cell r="F726">
            <v>0</v>
          </cell>
        </row>
        <row r="731">
          <cell r="F731">
            <v>0.48</v>
          </cell>
        </row>
        <row r="732">
          <cell r="F732">
            <v>0.2</v>
          </cell>
        </row>
        <row r="733">
          <cell r="F733">
            <v>0.3</v>
          </cell>
        </row>
        <row r="734">
          <cell r="F734">
            <v>0</v>
          </cell>
        </row>
        <row r="735">
          <cell r="F735">
            <v>0.02</v>
          </cell>
        </row>
        <row r="736">
          <cell r="F736">
            <v>0.4</v>
          </cell>
        </row>
        <row r="737">
          <cell r="F737">
            <v>0.6</v>
          </cell>
        </row>
        <row r="738">
          <cell r="F738">
            <v>0</v>
          </cell>
        </row>
        <row r="739">
          <cell r="F739">
            <v>0</v>
          </cell>
        </row>
        <row r="744">
          <cell r="F744">
            <v>0.4</v>
          </cell>
        </row>
        <row r="745">
          <cell r="F745">
            <v>0.28000000000000003</v>
          </cell>
        </row>
        <row r="746">
          <cell r="F746">
            <v>0.28000000000000003</v>
          </cell>
        </row>
        <row r="747">
          <cell r="F747">
            <v>0</v>
          </cell>
        </row>
        <row r="748">
          <cell r="F748">
            <v>0.04</v>
          </cell>
        </row>
        <row r="749">
          <cell r="F749">
            <v>1</v>
          </cell>
        </row>
        <row r="750">
          <cell r="F750">
            <v>0</v>
          </cell>
        </row>
        <row r="751">
          <cell r="F751">
            <v>0</v>
          </cell>
        </row>
        <row r="752">
          <cell r="F752">
            <v>0</v>
          </cell>
        </row>
        <row r="757">
          <cell r="F757">
            <v>0.5</v>
          </cell>
        </row>
        <row r="758">
          <cell r="F758">
            <v>0.34</v>
          </cell>
        </row>
        <row r="759">
          <cell r="F759">
            <v>0.16</v>
          </cell>
        </row>
        <row r="760">
          <cell r="F760">
            <v>0</v>
          </cell>
        </row>
        <row r="761">
          <cell r="F761">
            <v>0</v>
          </cell>
        </row>
        <row r="762">
          <cell r="F762">
            <v>0.64</v>
          </cell>
        </row>
        <row r="763">
          <cell r="F763">
            <v>0.36</v>
          </cell>
        </row>
        <row r="764">
          <cell r="F764">
            <v>0</v>
          </cell>
        </row>
        <row r="765">
          <cell r="F765">
            <v>0</v>
          </cell>
        </row>
      </sheetData>
      <sheetData sheetId="3"/>
      <sheetData sheetId="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再生沥青混合料设计流程"/>
      <sheetName val="集料筛分及密度"/>
      <sheetName val="级配"/>
      <sheetName val="体积指标"/>
      <sheetName val="路用性能测试"/>
    </sheetNames>
    <sheetDataSet>
      <sheetData sheetId="0"/>
      <sheetData sheetId="1"/>
      <sheetData sheetId="2">
        <row r="523">
          <cell r="F523">
            <v>0.28000000000000003</v>
          </cell>
        </row>
        <row r="524">
          <cell r="F524">
            <v>0.2</v>
          </cell>
        </row>
        <row r="525">
          <cell r="F525">
            <v>0.2</v>
          </cell>
        </row>
        <row r="526">
          <cell r="F526">
            <v>0.3</v>
          </cell>
        </row>
        <row r="527">
          <cell r="F527">
            <v>0.02</v>
          </cell>
        </row>
        <row r="528">
          <cell r="F528">
            <v>0</v>
          </cell>
        </row>
        <row r="529">
          <cell r="F529">
            <v>0</v>
          </cell>
        </row>
        <row r="530">
          <cell r="F530">
            <v>1</v>
          </cell>
        </row>
        <row r="531">
          <cell r="F531">
            <v>0</v>
          </cell>
        </row>
        <row r="536">
          <cell r="F536">
            <v>0.36</v>
          </cell>
        </row>
        <row r="537">
          <cell r="F537">
            <v>0.26</v>
          </cell>
        </row>
        <row r="538">
          <cell r="F538">
            <v>0.18</v>
          </cell>
        </row>
        <row r="539">
          <cell r="F539">
            <v>0.18</v>
          </cell>
        </row>
        <row r="540">
          <cell r="F540">
            <v>0.02</v>
          </cell>
        </row>
        <row r="541">
          <cell r="F541">
            <v>0</v>
          </cell>
        </row>
        <row r="542">
          <cell r="F542">
            <v>0</v>
          </cell>
        </row>
        <row r="543">
          <cell r="F543">
            <v>1</v>
          </cell>
        </row>
        <row r="544">
          <cell r="F544">
            <v>0</v>
          </cell>
        </row>
      </sheetData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2"/>
  <sheetViews>
    <sheetView workbookViewId="0">
      <selection activeCell="G4" sqref="G4"/>
    </sheetView>
  </sheetViews>
  <sheetFormatPr defaultColWidth="9" defaultRowHeight="13.8"/>
  <cols>
    <col min="1" max="1" width="22" style="2" customWidth="1"/>
    <col min="2" max="2" width="16.33203125" style="2" customWidth="1"/>
    <col min="3" max="3" width="27.88671875" style="2" customWidth="1"/>
    <col min="4" max="4" width="20.33203125" style="2" customWidth="1"/>
    <col min="5" max="5" width="22.6640625" style="2" customWidth="1"/>
    <col min="6" max="6" width="24.77734375" style="2" customWidth="1"/>
    <col min="7" max="7" width="28.5546875" customWidth="1"/>
  </cols>
  <sheetData>
    <row r="1" spans="1:7" ht="16.8" thickBot="1">
      <c r="A1" s="203" t="s">
        <v>0</v>
      </c>
      <c r="B1" s="203" t="s">
        <v>1</v>
      </c>
      <c r="C1" s="203" t="s">
        <v>529</v>
      </c>
      <c r="D1" s="203" t="s">
        <v>2</v>
      </c>
      <c r="E1" s="203" t="s">
        <v>3</v>
      </c>
      <c r="F1" s="203" t="s">
        <v>4</v>
      </c>
      <c r="G1" s="237" t="s">
        <v>584</v>
      </c>
    </row>
    <row r="2" spans="1:7" ht="48" thickBot="1">
      <c r="A2" s="204" t="s">
        <v>530</v>
      </c>
      <c r="B2" s="204" t="s">
        <v>5</v>
      </c>
      <c r="C2" s="204" t="s">
        <v>531</v>
      </c>
      <c r="D2" s="204" t="s">
        <v>6</v>
      </c>
      <c r="E2" s="204" t="s">
        <v>7</v>
      </c>
      <c r="F2" s="204" t="s">
        <v>532</v>
      </c>
      <c r="G2" s="238" t="s">
        <v>583</v>
      </c>
    </row>
    <row r="3" spans="1:7" ht="111.6" thickBot="1">
      <c r="A3" s="204" t="s">
        <v>5</v>
      </c>
      <c r="B3" s="204" t="s">
        <v>533</v>
      </c>
      <c r="C3" s="204" t="s">
        <v>534</v>
      </c>
      <c r="D3" s="204" t="s">
        <v>8</v>
      </c>
      <c r="E3" s="204" t="s">
        <v>9</v>
      </c>
      <c r="F3" s="204" t="s">
        <v>535</v>
      </c>
    </row>
    <row r="4" spans="1:7" ht="94.8">
      <c r="A4" s="204" t="s">
        <v>5</v>
      </c>
      <c r="B4" s="204" t="s">
        <v>536</v>
      </c>
      <c r="C4" s="204" t="s">
        <v>537</v>
      </c>
      <c r="D4" s="204" t="s">
        <v>10</v>
      </c>
      <c r="E4" s="204" t="s">
        <v>11</v>
      </c>
      <c r="F4" s="204" t="s">
        <v>12</v>
      </c>
    </row>
    <row r="5" spans="1:7" ht="48.6">
      <c r="A5" s="204" t="s">
        <v>538</v>
      </c>
      <c r="B5" s="204" t="s">
        <v>5</v>
      </c>
      <c r="C5" s="204" t="s">
        <v>13</v>
      </c>
      <c r="D5" s="204" t="s">
        <v>14</v>
      </c>
      <c r="E5" s="204" t="s">
        <v>539</v>
      </c>
      <c r="F5" s="204" t="s">
        <v>15</v>
      </c>
    </row>
    <row r="6" spans="1:7" ht="80.400000000000006">
      <c r="A6" s="204" t="s">
        <v>5</v>
      </c>
      <c r="B6" s="204" t="s">
        <v>540</v>
      </c>
      <c r="C6" s="204" t="s">
        <v>541</v>
      </c>
      <c r="D6" s="204" t="s">
        <v>16</v>
      </c>
      <c r="E6" s="204" t="s">
        <v>542</v>
      </c>
      <c r="F6" s="204" t="s">
        <v>543</v>
      </c>
    </row>
    <row r="7" spans="1:7" ht="111.6">
      <c r="A7" s="204" t="s">
        <v>5</v>
      </c>
      <c r="B7" s="204" t="s">
        <v>544</v>
      </c>
      <c r="C7" s="204" t="s">
        <v>545</v>
      </c>
      <c r="D7" s="204" t="s">
        <v>17</v>
      </c>
      <c r="E7" s="204" t="s">
        <v>18</v>
      </c>
      <c r="F7" s="204" t="s">
        <v>19</v>
      </c>
    </row>
    <row r="8" spans="1:7" ht="64.8">
      <c r="A8" s="204" t="s">
        <v>546</v>
      </c>
      <c r="B8" s="204" t="s">
        <v>5</v>
      </c>
      <c r="C8" s="204" t="s">
        <v>547</v>
      </c>
      <c r="D8" s="204" t="s">
        <v>20</v>
      </c>
      <c r="E8" s="204" t="s">
        <v>21</v>
      </c>
      <c r="F8" s="204" t="s">
        <v>22</v>
      </c>
    </row>
    <row r="9" spans="1:7" ht="83.4">
      <c r="A9" s="204" t="s">
        <v>5</v>
      </c>
      <c r="B9" s="204" t="s">
        <v>548</v>
      </c>
      <c r="C9" s="204" t="s">
        <v>549</v>
      </c>
      <c r="D9" s="204" t="s">
        <v>23</v>
      </c>
      <c r="E9" s="205" t="s">
        <v>24</v>
      </c>
      <c r="F9" s="204" t="s">
        <v>25</v>
      </c>
    </row>
    <row r="10" spans="1:7" ht="121.8">
      <c r="A10" s="204" t="s">
        <v>5</v>
      </c>
      <c r="B10" s="204" t="s">
        <v>550</v>
      </c>
      <c r="C10" s="204" t="s">
        <v>551</v>
      </c>
      <c r="D10" s="204" t="s">
        <v>26</v>
      </c>
      <c r="E10" s="205" t="s">
        <v>27</v>
      </c>
      <c r="F10" s="204" t="s">
        <v>28</v>
      </c>
    </row>
    <row r="11" spans="1:7" ht="84">
      <c r="A11" s="204" t="s">
        <v>5</v>
      </c>
      <c r="B11" s="204" t="s">
        <v>552</v>
      </c>
      <c r="C11" s="204" t="s">
        <v>553</v>
      </c>
      <c r="D11" s="204" t="s">
        <v>29</v>
      </c>
      <c r="E11" s="204" t="s">
        <v>30</v>
      </c>
      <c r="F11" s="204" t="s">
        <v>31</v>
      </c>
    </row>
    <row r="12" spans="1:7" ht="98.4">
      <c r="A12" s="204" t="s">
        <v>5</v>
      </c>
      <c r="B12" s="204" t="s">
        <v>554</v>
      </c>
      <c r="C12" s="204" t="s">
        <v>555</v>
      </c>
      <c r="D12" s="204" t="s">
        <v>32</v>
      </c>
      <c r="E12" s="204" t="s">
        <v>33</v>
      </c>
      <c r="F12" s="204" t="s">
        <v>34</v>
      </c>
    </row>
  </sheetData>
  <sheetProtection formatCells="0" insertHyperlinks="0" autoFilter="0"/>
  <phoneticPr fontId="34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246"/>
  <sheetViews>
    <sheetView tabSelected="1" workbookViewId="0">
      <pane xSplit="3" ySplit="2" topLeftCell="D3" activePane="bottomRight" state="frozen"/>
      <selection pane="topRight"/>
      <selection pane="bottomLeft"/>
      <selection pane="bottomRight" activeCell="B27" sqref="B27"/>
    </sheetView>
  </sheetViews>
  <sheetFormatPr defaultColWidth="9" defaultRowHeight="13.8"/>
  <cols>
    <col min="1" max="1" width="9.33203125" style="159" customWidth="1"/>
    <col min="2" max="2" width="8.88671875" style="159"/>
    <col min="3" max="3" width="14.21875" style="168" customWidth="1"/>
    <col min="4" max="15" width="8.88671875" style="176"/>
    <col min="16" max="18" width="8.88671875" style="177"/>
    <col min="19" max="19" width="14.33203125" style="178" customWidth="1"/>
    <col min="20" max="20" width="12.33203125" style="178" customWidth="1"/>
    <col min="21" max="21" width="11.6640625" style="179" customWidth="1"/>
    <col min="22" max="22" width="15.33203125" style="180" customWidth="1"/>
    <col min="23" max="23" width="14.6640625" style="180" customWidth="1"/>
    <col min="24" max="24" width="19.88671875" style="180" customWidth="1"/>
    <col min="25" max="25" width="14.88671875" style="180" customWidth="1"/>
    <col min="26" max="26" width="11.77734375" style="181" customWidth="1"/>
    <col min="27" max="27" width="12.77734375" style="181" customWidth="1"/>
    <col min="28" max="28" width="12.109375" style="181" customWidth="1"/>
    <col min="29" max="29" width="12.109375" style="182" customWidth="1"/>
    <col min="30" max="30" width="14" style="182" customWidth="1"/>
    <col min="31" max="31" width="12.109375" style="182" customWidth="1"/>
    <col min="32" max="32" width="14.6640625" style="182" customWidth="1"/>
    <col min="33" max="34" width="12.109375" style="183" customWidth="1"/>
    <col min="35" max="35" width="11.109375" style="184" customWidth="1"/>
    <col min="36" max="36" width="9.77734375" style="183" customWidth="1"/>
  </cols>
  <sheetData>
    <row r="1" spans="1:36" ht="26.4" customHeight="1">
      <c r="A1" s="258" t="s">
        <v>35</v>
      </c>
      <c r="B1" s="258" t="s">
        <v>36</v>
      </c>
      <c r="C1" s="259" t="s">
        <v>37</v>
      </c>
      <c r="D1" s="261" t="s">
        <v>38</v>
      </c>
      <c r="E1" s="261"/>
      <c r="F1" s="261"/>
      <c r="G1" s="261"/>
      <c r="H1" s="261"/>
      <c r="I1" s="261"/>
      <c r="J1" s="261"/>
      <c r="K1" s="261"/>
      <c r="L1" s="261"/>
      <c r="M1" s="261"/>
      <c r="N1" s="261"/>
      <c r="O1" s="261"/>
      <c r="P1" s="260" t="s">
        <v>39</v>
      </c>
      <c r="Q1" s="260" t="s">
        <v>40</v>
      </c>
      <c r="R1" s="260" t="s">
        <v>41</v>
      </c>
      <c r="S1" s="262" t="s">
        <v>42</v>
      </c>
      <c r="T1" s="262"/>
      <c r="U1" s="262"/>
      <c r="V1" s="267" t="s">
        <v>43</v>
      </c>
      <c r="W1" s="267" t="s">
        <v>44</v>
      </c>
      <c r="X1" s="267" t="s">
        <v>45</v>
      </c>
      <c r="Y1" s="267" t="s">
        <v>46</v>
      </c>
      <c r="Z1" s="263" t="s">
        <v>42</v>
      </c>
      <c r="AA1" s="263"/>
      <c r="AB1" s="263"/>
      <c r="AC1" s="264" t="s">
        <v>47</v>
      </c>
      <c r="AD1" s="265"/>
      <c r="AE1" s="265"/>
      <c r="AF1" s="266"/>
      <c r="AG1" s="264" t="s">
        <v>48</v>
      </c>
      <c r="AH1" s="266"/>
      <c r="AI1" s="256" t="s">
        <v>49</v>
      </c>
      <c r="AJ1" s="257" t="s">
        <v>50</v>
      </c>
    </row>
    <row r="2" spans="1:36" ht="14.4">
      <c r="A2" s="258"/>
      <c r="B2" s="258"/>
      <c r="C2" s="259"/>
      <c r="D2" s="192">
        <v>26.5</v>
      </c>
      <c r="E2" s="192">
        <v>19</v>
      </c>
      <c r="F2" s="192">
        <v>16</v>
      </c>
      <c r="G2" s="192">
        <v>13.2</v>
      </c>
      <c r="H2" s="192">
        <v>9.5</v>
      </c>
      <c r="I2" s="192">
        <v>4.75</v>
      </c>
      <c r="J2" s="192">
        <v>2.36</v>
      </c>
      <c r="K2" s="192">
        <v>1.18</v>
      </c>
      <c r="L2" s="192">
        <v>0.6</v>
      </c>
      <c r="M2" s="192">
        <v>0.3</v>
      </c>
      <c r="N2" s="192">
        <v>0.15</v>
      </c>
      <c r="O2" s="192">
        <v>7.4999999999999997E-2</v>
      </c>
      <c r="P2" s="260"/>
      <c r="Q2" s="260"/>
      <c r="R2" s="260"/>
      <c r="S2" s="187" t="s">
        <v>51</v>
      </c>
      <c r="T2" s="187" t="s">
        <v>52</v>
      </c>
      <c r="U2" s="193" t="s">
        <v>53</v>
      </c>
      <c r="V2" s="267"/>
      <c r="W2" s="267"/>
      <c r="X2" s="267"/>
      <c r="Y2" s="267"/>
      <c r="Z2" s="194" t="s">
        <v>51</v>
      </c>
      <c r="AA2" s="189" t="s">
        <v>52</v>
      </c>
      <c r="AB2" s="189" t="s">
        <v>53</v>
      </c>
      <c r="AC2" s="195" t="s">
        <v>54</v>
      </c>
      <c r="AD2" s="195" t="s">
        <v>55</v>
      </c>
      <c r="AE2" s="195" t="s">
        <v>56</v>
      </c>
      <c r="AF2" s="195" t="s">
        <v>57</v>
      </c>
      <c r="AG2" s="195" t="s">
        <v>58</v>
      </c>
      <c r="AH2" s="195" t="s">
        <v>59</v>
      </c>
      <c r="AI2" s="256"/>
      <c r="AJ2" s="257"/>
    </row>
    <row r="3" spans="1:36" ht="14.4">
      <c r="A3" s="159" t="s">
        <v>60</v>
      </c>
      <c r="B3" s="159" t="s">
        <v>61</v>
      </c>
      <c r="C3" s="157" t="s">
        <v>62</v>
      </c>
      <c r="D3" s="185">
        <v>100</v>
      </c>
      <c r="E3" s="185">
        <v>80.597089814350198</v>
      </c>
      <c r="F3" s="185">
        <v>50.546914199698897</v>
      </c>
      <c r="G3" s="185">
        <v>28.2589061716006</v>
      </c>
      <c r="H3" s="185">
        <v>2.6894129453085802</v>
      </c>
      <c r="I3" s="185">
        <v>0.48670346211740401</v>
      </c>
      <c r="J3" s="176">
        <v>0</v>
      </c>
      <c r="K3" s="176">
        <v>0</v>
      </c>
      <c r="L3" s="176">
        <v>0</v>
      </c>
      <c r="M3" s="176">
        <v>0</v>
      </c>
      <c r="N3" s="176">
        <v>0</v>
      </c>
      <c r="O3" s="176">
        <v>0</v>
      </c>
      <c r="P3" s="186">
        <v>1989</v>
      </c>
      <c r="Q3" s="186">
        <v>1264.3</v>
      </c>
      <c r="R3" s="186">
        <v>2004.2</v>
      </c>
      <c r="S3" s="178">
        <f>P3/(P3-Q3)</f>
        <v>2.7445839657789399</v>
      </c>
      <c r="T3" s="178">
        <f>R3/(R3-Q3)</f>
        <v>2.7087444249222901</v>
      </c>
      <c r="U3" s="179">
        <f>P3/(R3-Q3)</f>
        <v>2.6882011082578701</v>
      </c>
      <c r="AJ3" s="183" t="e">
        <f>(AD3+AC3-AE3-AF3)/(AE3+AF3-AC3)</f>
        <v>#DIV/0!</v>
      </c>
    </row>
    <row r="4" spans="1:36" ht="14.4">
      <c r="A4" s="159" t="s">
        <v>60</v>
      </c>
      <c r="B4" s="159" t="s">
        <v>61</v>
      </c>
      <c r="C4" s="168" t="s">
        <v>63</v>
      </c>
      <c r="D4" s="176">
        <v>100</v>
      </c>
      <c r="E4" s="176">
        <v>100</v>
      </c>
      <c r="F4" s="176">
        <v>100</v>
      </c>
      <c r="G4" s="176">
        <v>100</v>
      </c>
      <c r="H4" s="176">
        <v>98.153116615710999</v>
      </c>
      <c r="I4" s="176">
        <v>11.4057527921632</v>
      </c>
      <c r="J4" s="176">
        <v>1.3477257128595601</v>
      </c>
      <c r="K4" s="176">
        <v>0</v>
      </c>
      <c r="L4" s="176">
        <v>0</v>
      </c>
      <c r="M4" s="176">
        <v>0</v>
      </c>
      <c r="N4" s="176">
        <v>0</v>
      </c>
      <c r="O4" s="176">
        <v>0</v>
      </c>
      <c r="P4" s="186">
        <v>1964.8</v>
      </c>
      <c r="Q4" s="186">
        <v>1249</v>
      </c>
      <c r="R4" s="186">
        <v>1980.3</v>
      </c>
      <c r="S4" s="178">
        <f>P4/(P4-Q4)</f>
        <v>2.7449008102821999</v>
      </c>
      <c r="T4" s="178">
        <f>R4/(R4-Q4)</f>
        <v>2.70791740735676</v>
      </c>
      <c r="U4" s="179">
        <f>P4/(R4-Q4)</f>
        <v>2.68672227539997</v>
      </c>
      <c r="AJ4" s="183" t="e">
        <f>(AG2-AH2)/AH2</f>
        <v>#VALUE!</v>
      </c>
    </row>
    <row r="5" spans="1:36" ht="14.4">
      <c r="A5" s="159" t="s">
        <v>60</v>
      </c>
      <c r="B5" s="159" t="s">
        <v>64</v>
      </c>
      <c r="C5" s="168" t="s">
        <v>65</v>
      </c>
      <c r="D5" s="176">
        <v>100</v>
      </c>
      <c r="E5" s="176">
        <v>100</v>
      </c>
      <c r="F5" s="176">
        <v>100</v>
      </c>
      <c r="G5" s="176">
        <v>100</v>
      </c>
      <c r="H5" s="176">
        <v>100</v>
      </c>
      <c r="I5" s="176">
        <v>99.363636363636402</v>
      </c>
      <c r="J5" s="176">
        <v>62.961820245588697</v>
      </c>
      <c r="K5" s="176">
        <v>43.563409348880398</v>
      </c>
      <c r="L5" s="176">
        <v>26.855123310287901</v>
      </c>
      <c r="M5" s="176">
        <v>14.573625012898599</v>
      </c>
      <c r="N5" s="176">
        <v>7.8312867609121897</v>
      </c>
      <c r="O5" s="176">
        <v>1.8948508925807499</v>
      </c>
      <c r="V5" s="188">
        <v>296.89999999999998</v>
      </c>
      <c r="W5" s="188">
        <v>708.7</v>
      </c>
      <c r="X5" s="188">
        <v>902.3</v>
      </c>
      <c r="Y5" s="188">
        <v>300</v>
      </c>
      <c r="Z5" s="196">
        <f>V5/(V5+W5-X5)</f>
        <v>2.87415295256534</v>
      </c>
      <c r="AA5" s="196">
        <f>Y5/(Y5+W5-X5)</f>
        <v>2.8195488721804498</v>
      </c>
      <c r="AB5" s="196">
        <f>V5/(Y5+W5-X5)</f>
        <v>2.7904135338345801</v>
      </c>
      <c r="AC5" s="183"/>
      <c r="AD5" s="183"/>
      <c r="AE5" s="183"/>
      <c r="AF5" s="183"/>
    </row>
    <row r="6" spans="1:36" ht="14.4">
      <c r="A6" s="159" t="s">
        <v>60</v>
      </c>
      <c r="B6" s="159" t="s">
        <v>66</v>
      </c>
      <c r="C6" s="168" t="s">
        <v>62</v>
      </c>
      <c r="D6" s="176">
        <v>100</v>
      </c>
      <c r="E6" s="176">
        <v>96.805854498493304</v>
      </c>
      <c r="F6" s="176">
        <v>92.423590185105496</v>
      </c>
      <c r="G6" s="176">
        <v>79.362892811020203</v>
      </c>
      <c r="H6" s="176">
        <v>32.303056392595799</v>
      </c>
      <c r="I6" s="176">
        <v>10.9083082221265</v>
      </c>
      <c r="J6" s="176">
        <v>8.9367197589323997</v>
      </c>
      <c r="K6" s="176">
        <v>7.4989238054239999</v>
      </c>
      <c r="L6" s="176">
        <v>5.9750322858372602</v>
      </c>
      <c r="M6" s="176">
        <v>4.2875591907016597</v>
      </c>
      <c r="N6" s="176">
        <v>2.8755919070167701</v>
      </c>
      <c r="O6" s="176">
        <v>1.5497201894102199</v>
      </c>
      <c r="P6" s="186">
        <v>1032.5</v>
      </c>
      <c r="Q6" s="186">
        <v>659.6</v>
      </c>
      <c r="R6" s="186">
        <v>1042.2</v>
      </c>
      <c r="S6" s="178">
        <f>P6/(P6-Q6)</f>
        <v>2.7688388307857301</v>
      </c>
      <c r="T6" s="178">
        <f>R6/(R6-Q6)</f>
        <v>2.7239937271301602</v>
      </c>
      <c r="U6" s="179">
        <f>P6/(R6-Q6)</f>
        <v>2.6986408782017799</v>
      </c>
      <c r="AI6" s="184">
        <v>3.2882011605415902</v>
      </c>
      <c r="AJ6" s="183">
        <v>3.4</v>
      </c>
    </row>
    <row r="7" spans="1:36" ht="14.4">
      <c r="A7" s="159" t="s">
        <v>60</v>
      </c>
      <c r="B7" s="159" t="s">
        <v>67</v>
      </c>
      <c r="C7" s="168" t="s">
        <v>68</v>
      </c>
      <c r="D7" s="176">
        <v>100</v>
      </c>
      <c r="E7" s="176">
        <v>100</v>
      </c>
      <c r="F7" s="176">
        <v>100</v>
      </c>
      <c r="G7" s="176">
        <v>100</v>
      </c>
      <c r="H7" s="176">
        <v>100</v>
      </c>
      <c r="I7" s="176">
        <v>63.157456724367499</v>
      </c>
      <c r="J7" s="176">
        <v>40.687416777629799</v>
      </c>
      <c r="K7" s="176">
        <v>31.0669107856192</v>
      </c>
      <c r="L7" s="176">
        <v>24.275965379494</v>
      </c>
      <c r="M7" s="176">
        <v>17.684753661784299</v>
      </c>
      <c r="N7" s="176">
        <v>11.8258988015979</v>
      </c>
      <c r="O7" s="176">
        <v>8.9214380825565893</v>
      </c>
      <c r="V7" s="188">
        <v>289.8</v>
      </c>
      <c r="W7" s="188">
        <v>708.5</v>
      </c>
      <c r="X7" s="188">
        <v>893.2</v>
      </c>
      <c r="Y7" s="188">
        <v>300.8</v>
      </c>
      <c r="Z7" s="196">
        <f>V7/(V7+W7-X7)</f>
        <v>2.7573739295908699</v>
      </c>
      <c r="AA7" s="196">
        <f>Y7/(Y7+W7-X7)</f>
        <v>2.59086993970715</v>
      </c>
      <c r="AB7" s="196">
        <f>V7/(Y7+W7-X7)</f>
        <v>2.4961240310077502</v>
      </c>
      <c r="AI7" s="184">
        <f>AJ7/(AJ7+100)*100</f>
        <v>3.8461538461538498</v>
      </c>
      <c r="AJ7" s="183">
        <v>4</v>
      </c>
    </row>
    <row r="8" spans="1:36" ht="14.4">
      <c r="A8" s="159" t="s">
        <v>69</v>
      </c>
      <c r="B8" s="159" t="s">
        <v>61</v>
      </c>
      <c r="C8" s="157" t="s">
        <v>62</v>
      </c>
      <c r="D8" s="176">
        <v>100</v>
      </c>
      <c r="E8" s="185">
        <v>93.712215838121494</v>
      </c>
      <c r="F8" s="185">
        <v>66.512615538346196</v>
      </c>
      <c r="G8" s="185">
        <v>33.717212090931802</v>
      </c>
      <c r="H8" s="185">
        <v>5.6632525605795596</v>
      </c>
      <c r="I8" s="185">
        <v>0.44716462653010303</v>
      </c>
      <c r="J8" s="185">
        <v>0</v>
      </c>
      <c r="K8" s="185">
        <v>0</v>
      </c>
      <c r="L8" s="185">
        <v>0</v>
      </c>
      <c r="M8" s="185">
        <v>0</v>
      </c>
      <c r="N8" s="185">
        <v>0</v>
      </c>
      <c r="O8" s="185">
        <v>0</v>
      </c>
      <c r="P8" s="177">
        <v>1994</v>
      </c>
      <c r="Q8" s="177">
        <v>1262.05</v>
      </c>
      <c r="R8" s="177">
        <v>2001.1</v>
      </c>
      <c r="S8" s="178">
        <v>2.7242297971172902</v>
      </c>
      <c r="T8" s="178">
        <v>2.70766524592382</v>
      </c>
      <c r="U8" s="179">
        <v>2.69805831811109</v>
      </c>
    </row>
    <row r="9" spans="1:36" ht="14.4">
      <c r="A9" s="159" t="s">
        <v>69</v>
      </c>
      <c r="B9" s="159" t="s">
        <v>61</v>
      </c>
      <c r="C9" s="168" t="s">
        <v>63</v>
      </c>
      <c r="D9" s="176">
        <v>100</v>
      </c>
      <c r="E9" s="185">
        <v>100</v>
      </c>
      <c r="F9" s="185">
        <v>100</v>
      </c>
      <c r="G9" s="185">
        <v>100</v>
      </c>
      <c r="H9" s="185">
        <v>89.684047392891003</v>
      </c>
      <c r="I9" s="185">
        <v>3.3944908263760398</v>
      </c>
      <c r="J9" s="185">
        <v>1.12983052542118</v>
      </c>
      <c r="K9" s="185">
        <v>1.04234364845272</v>
      </c>
      <c r="L9" s="185">
        <v>0</v>
      </c>
      <c r="M9" s="185">
        <v>0</v>
      </c>
      <c r="N9" s="185">
        <v>0</v>
      </c>
      <c r="O9" s="185">
        <v>0</v>
      </c>
      <c r="P9" s="177">
        <v>1981.1</v>
      </c>
      <c r="Q9" s="177">
        <v>1252.05</v>
      </c>
      <c r="R9" s="177">
        <v>1995.4</v>
      </c>
      <c r="S9" s="178">
        <v>2.7173719223647201</v>
      </c>
      <c r="T9" s="178">
        <v>2.6843344319634102</v>
      </c>
      <c r="U9" s="179">
        <v>2.6650971951301501</v>
      </c>
    </row>
    <row r="10" spans="1:36" ht="14.4">
      <c r="A10" s="159" t="s">
        <v>69</v>
      </c>
      <c r="B10" s="159" t="s">
        <v>61</v>
      </c>
      <c r="C10" s="168" t="s">
        <v>70</v>
      </c>
      <c r="D10" s="176">
        <v>100</v>
      </c>
      <c r="E10" s="185">
        <v>100</v>
      </c>
      <c r="F10" s="185">
        <v>100</v>
      </c>
      <c r="G10" s="185">
        <v>100</v>
      </c>
      <c r="H10" s="185">
        <v>100</v>
      </c>
      <c r="I10" s="185">
        <v>95.985683492719403</v>
      </c>
      <c r="J10" s="185">
        <v>12.6915304652741</v>
      </c>
      <c r="K10" s="185">
        <v>5.8851935417145302</v>
      </c>
      <c r="L10" s="185">
        <v>4.1839728240916401</v>
      </c>
      <c r="M10" s="185">
        <v>3.6277139461626402</v>
      </c>
      <c r="N10" s="185">
        <v>3.3515060707669502</v>
      </c>
      <c r="O10" s="185">
        <v>3.1246478405594398</v>
      </c>
      <c r="P10" s="177">
        <v>692.55</v>
      </c>
      <c r="Q10" s="177">
        <v>438.15</v>
      </c>
      <c r="R10" s="177">
        <v>698.85</v>
      </c>
      <c r="S10" s="178">
        <v>2.72228773584906</v>
      </c>
      <c r="T10" s="178">
        <v>2.68066743383199</v>
      </c>
      <c r="U10" s="179">
        <v>2.6565017261219799</v>
      </c>
    </row>
    <row r="11" spans="1:36" ht="14.4">
      <c r="A11" s="159" t="s">
        <v>69</v>
      </c>
      <c r="B11" s="159" t="s">
        <v>64</v>
      </c>
      <c r="C11" s="168" t="s">
        <v>71</v>
      </c>
      <c r="D11" s="176">
        <v>100</v>
      </c>
      <c r="E11" s="185">
        <v>100</v>
      </c>
      <c r="F11" s="185">
        <v>100</v>
      </c>
      <c r="G11" s="185">
        <v>100</v>
      </c>
      <c r="H11" s="185">
        <v>100</v>
      </c>
      <c r="I11" s="185">
        <v>100</v>
      </c>
      <c r="J11" s="185">
        <v>69.772922022279303</v>
      </c>
      <c r="K11" s="185">
        <v>41.231076835190002</v>
      </c>
      <c r="L11" s="185">
        <v>19.951442445015701</v>
      </c>
      <c r="M11" s="185">
        <v>11.610968294772899</v>
      </c>
      <c r="N11" s="185">
        <v>9.3544701513853408</v>
      </c>
      <c r="O11" s="185">
        <v>7.0408454727221104</v>
      </c>
      <c r="V11" s="188">
        <v>294.3</v>
      </c>
      <c r="W11" s="188">
        <v>708.1</v>
      </c>
      <c r="X11" s="188">
        <v>895</v>
      </c>
      <c r="Y11" s="188">
        <v>300.5</v>
      </c>
      <c r="Z11" s="196">
        <f>V11/(V11+W11-X11)</f>
        <v>2.7402234636871499</v>
      </c>
      <c r="AA11" s="196">
        <f>Y11/(Y11+W11-X11)</f>
        <v>2.6452464788732399</v>
      </c>
      <c r="AB11" s="196">
        <f>V11/(Y11+W11-X11)</f>
        <v>2.5906690140845101</v>
      </c>
      <c r="AC11" s="183"/>
      <c r="AD11" s="183"/>
      <c r="AE11" s="183"/>
      <c r="AF11" s="183"/>
    </row>
    <row r="12" spans="1:36" ht="14.4">
      <c r="A12" s="159" t="s">
        <v>69</v>
      </c>
      <c r="B12" s="159" t="s">
        <v>72</v>
      </c>
      <c r="C12" s="168" t="s">
        <v>73</v>
      </c>
      <c r="D12" s="176">
        <v>100</v>
      </c>
      <c r="E12" s="185">
        <v>100</v>
      </c>
      <c r="F12" s="185">
        <v>100</v>
      </c>
      <c r="G12" s="185">
        <v>100</v>
      </c>
      <c r="H12" s="185">
        <v>100</v>
      </c>
      <c r="I12" s="185">
        <v>100</v>
      </c>
      <c r="J12" s="185">
        <v>100</v>
      </c>
      <c r="K12" s="185">
        <v>100</v>
      </c>
      <c r="L12" s="185">
        <v>100</v>
      </c>
      <c r="M12" s="185">
        <v>99.7</v>
      </c>
      <c r="N12" s="185">
        <v>97.1</v>
      </c>
      <c r="O12" s="185">
        <v>76.599999999999994</v>
      </c>
      <c r="AC12" s="183"/>
      <c r="AD12" s="183"/>
      <c r="AE12" s="183"/>
      <c r="AF12" s="183"/>
    </row>
    <row r="13" spans="1:36">
      <c r="A13" s="159" t="s">
        <v>69</v>
      </c>
      <c r="B13" s="159" t="s">
        <v>74</v>
      </c>
      <c r="C13" s="168" t="s">
        <v>75</v>
      </c>
      <c r="D13" s="176">
        <v>100</v>
      </c>
      <c r="E13" s="185">
        <v>100</v>
      </c>
      <c r="F13" s="185">
        <v>100</v>
      </c>
      <c r="G13" s="185">
        <v>92.75</v>
      </c>
      <c r="H13" s="185">
        <v>55.5</v>
      </c>
      <c r="I13" s="185">
        <v>23.1</v>
      </c>
      <c r="J13" s="185">
        <v>18.350000000000001</v>
      </c>
      <c r="K13" s="185">
        <v>13.95</v>
      </c>
      <c r="L13" s="185">
        <v>10.7</v>
      </c>
      <c r="M13" s="185">
        <v>8.6</v>
      </c>
      <c r="N13" s="185">
        <v>7.55</v>
      </c>
      <c r="O13" s="185">
        <v>6.25</v>
      </c>
      <c r="P13" s="177">
        <v>1027.8499999999999</v>
      </c>
      <c r="Q13" s="177">
        <v>649.5</v>
      </c>
      <c r="R13" s="177">
        <v>1033.05</v>
      </c>
      <c r="S13" s="178">
        <v>2.71666446412052</v>
      </c>
      <c r="T13" s="178">
        <v>2.6933906922174402</v>
      </c>
      <c r="U13" s="179">
        <v>2.6798331377916802</v>
      </c>
      <c r="AC13" s="191">
        <v>519.95000000000005</v>
      </c>
      <c r="AD13" s="191">
        <v>1300</v>
      </c>
      <c r="AE13" s="191">
        <v>594.04999999999995</v>
      </c>
      <c r="AF13" s="191">
        <v>1184.5999999999999</v>
      </c>
      <c r="AI13" s="184">
        <v>3.1784509047796501</v>
      </c>
      <c r="AJ13" s="183">
        <v>3.28279286427628</v>
      </c>
    </row>
    <row r="14" spans="1:36">
      <c r="A14" s="159" t="s">
        <v>69</v>
      </c>
      <c r="B14" s="159" t="s">
        <v>76</v>
      </c>
      <c r="C14" s="168" t="s">
        <v>77</v>
      </c>
      <c r="D14" s="176">
        <v>100</v>
      </c>
      <c r="E14" s="185">
        <v>100</v>
      </c>
      <c r="F14" s="185">
        <v>100</v>
      </c>
      <c r="G14" s="185">
        <v>100</v>
      </c>
      <c r="H14" s="185">
        <v>98.793897786597498</v>
      </c>
      <c r="I14" s="185">
        <v>81.170722175214706</v>
      </c>
      <c r="J14" s="185">
        <v>61.440213202111302</v>
      </c>
      <c r="K14" s="185">
        <v>46.229199858288702</v>
      </c>
      <c r="L14" s="185">
        <v>32.838359207164501</v>
      </c>
      <c r="M14" s="185">
        <v>23.4634747059287</v>
      </c>
      <c r="N14" s="185">
        <v>19.381251249845899</v>
      </c>
      <c r="O14" s="185">
        <v>15.1710288134548</v>
      </c>
      <c r="V14" s="188">
        <v>297.8</v>
      </c>
      <c r="W14" s="188">
        <v>721.8</v>
      </c>
      <c r="X14" s="188">
        <v>903.4</v>
      </c>
      <c r="Y14" s="188">
        <v>300</v>
      </c>
      <c r="Z14" s="196">
        <f>V14/(V14+W14-X14)</f>
        <v>2.5628227194492301</v>
      </c>
      <c r="AA14" s="196">
        <f>Y14/(Y14+W14-X14)</f>
        <v>2.5337837837837802</v>
      </c>
      <c r="AB14" s="196">
        <f>V14/(Y14+W14-X14)</f>
        <v>2.5152027027027</v>
      </c>
      <c r="AC14" s="191">
        <v>520.20000000000005</v>
      </c>
      <c r="AD14" s="191">
        <v>1200</v>
      </c>
      <c r="AE14" s="191">
        <v>657.35</v>
      </c>
      <c r="AF14" s="191">
        <v>994.6</v>
      </c>
      <c r="AI14" s="184">
        <f>AJ14/(AJ14+100)*100</f>
        <v>5.6603773584905701</v>
      </c>
      <c r="AJ14" s="183">
        <v>6</v>
      </c>
    </row>
    <row r="15" spans="1:36" ht="14.4">
      <c r="A15" s="159" t="s">
        <v>78</v>
      </c>
      <c r="B15" s="159" t="s">
        <v>61</v>
      </c>
      <c r="C15" s="168" t="s">
        <v>62</v>
      </c>
      <c r="D15" s="176">
        <v>100</v>
      </c>
      <c r="E15" s="185">
        <v>93.712215838121494</v>
      </c>
      <c r="F15" s="185">
        <v>66.512615538346196</v>
      </c>
      <c r="G15" s="185">
        <v>33.717212090931802</v>
      </c>
      <c r="H15" s="185">
        <v>5.6632525605795596</v>
      </c>
      <c r="I15" s="185">
        <v>0.44716462653010303</v>
      </c>
      <c r="J15" s="185">
        <v>0</v>
      </c>
      <c r="K15" s="185">
        <v>0</v>
      </c>
      <c r="L15" s="185">
        <v>0</v>
      </c>
      <c r="M15" s="185">
        <v>0</v>
      </c>
      <c r="N15" s="185">
        <v>0</v>
      </c>
      <c r="O15" s="185">
        <v>0</v>
      </c>
      <c r="P15" s="177">
        <v>1993.5</v>
      </c>
      <c r="Q15" s="177">
        <v>1261.3</v>
      </c>
      <c r="R15" s="177">
        <v>2001.4</v>
      </c>
      <c r="S15" s="178">
        <f t="shared" ref="S15:S18" si="0">P15/(P15-Q15)</f>
        <v>2.7226167713739402</v>
      </c>
      <c r="T15" s="178">
        <f t="shared" ref="T15:T18" si="1">R15/(R15-Q15)</f>
        <v>2.7042291582218598</v>
      </c>
      <c r="U15" s="179">
        <f t="shared" ref="U15:U18" si="2">P15/(R15-Q15)</f>
        <v>2.6935549250101301</v>
      </c>
    </row>
    <row r="16" spans="1:36" ht="14.4">
      <c r="A16" s="159" t="s">
        <v>78</v>
      </c>
      <c r="B16" s="159" t="s">
        <v>61</v>
      </c>
      <c r="C16" s="168" t="s">
        <v>63</v>
      </c>
      <c r="D16" s="176">
        <v>100</v>
      </c>
      <c r="E16" s="185">
        <v>100</v>
      </c>
      <c r="F16" s="185">
        <v>100</v>
      </c>
      <c r="G16" s="185">
        <v>100</v>
      </c>
      <c r="H16" s="185">
        <v>89.684047392891003</v>
      </c>
      <c r="I16" s="185">
        <v>3.3944908263760398</v>
      </c>
      <c r="J16" s="185">
        <v>1.12983052542118</v>
      </c>
      <c r="K16" s="185">
        <v>1.04234364845272</v>
      </c>
      <c r="L16" s="185">
        <v>0</v>
      </c>
      <c r="M16" s="185">
        <v>0</v>
      </c>
      <c r="N16" s="185">
        <v>0</v>
      </c>
      <c r="O16" s="185">
        <v>0</v>
      </c>
      <c r="P16" s="177">
        <v>1978.5</v>
      </c>
      <c r="Q16" s="177">
        <v>1250.7</v>
      </c>
      <c r="R16" s="177">
        <v>1994.7</v>
      </c>
      <c r="S16" s="178">
        <f t="shared" si="0"/>
        <v>2.7184666117065102</v>
      </c>
      <c r="T16" s="178">
        <f t="shared" si="1"/>
        <v>2.6810483870967698</v>
      </c>
      <c r="U16" s="179">
        <f t="shared" si="2"/>
        <v>2.6592741935483901</v>
      </c>
    </row>
    <row r="17" spans="1:36" ht="14.4">
      <c r="A17" s="159" t="s">
        <v>78</v>
      </c>
      <c r="B17" s="159" t="s">
        <v>61</v>
      </c>
      <c r="C17" s="168" t="s">
        <v>79</v>
      </c>
      <c r="D17" s="176">
        <v>100</v>
      </c>
      <c r="E17" s="185">
        <v>100</v>
      </c>
      <c r="F17" s="185">
        <v>99.586446104589101</v>
      </c>
      <c r="G17" s="185">
        <v>78.9106731027085</v>
      </c>
      <c r="H17" s="185">
        <v>26.3831910352188</v>
      </c>
      <c r="I17" s="185">
        <v>0.77822472512737995</v>
      </c>
      <c r="J17" s="185">
        <v>0.43380262805041397</v>
      </c>
      <c r="K17" s="185">
        <v>0.30670421024403099</v>
      </c>
      <c r="L17" s="185">
        <v>0</v>
      </c>
      <c r="M17" s="185">
        <v>0</v>
      </c>
      <c r="N17" s="185">
        <v>0</v>
      </c>
      <c r="O17" s="185">
        <v>0</v>
      </c>
      <c r="P17" s="177">
        <v>995</v>
      </c>
      <c r="Q17" s="177">
        <v>616</v>
      </c>
      <c r="R17" s="177">
        <v>1002.8</v>
      </c>
      <c r="S17" s="178">
        <f t="shared" si="0"/>
        <v>2.6253298153034299</v>
      </c>
      <c r="T17" s="178">
        <f t="shared" si="1"/>
        <v>2.5925542916235802</v>
      </c>
      <c r="U17" s="179">
        <f t="shared" si="2"/>
        <v>2.5723888314374399</v>
      </c>
    </row>
    <row r="18" spans="1:36" ht="14.4">
      <c r="A18" s="159" t="s">
        <v>78</v>
      </c>
      <c r="B18" s="159" t="s">
        <v>61</v>
      </c>
      <c r="C18" s="168" t="s">
        <v>70</v>
      </c>
      <c r="D18" s="176">
        <v>100</v>
      </c>
      <c r="E18" s="185">
        <v>100</v>
      </c>
      <c r="F18" s="185">
        <v>100</v>
      </c>
      <c r="G18" s="185">
        <v>100</v>
      </c>
      <c r="H18" s="185">
        <v>100</v>
      </c>
      <c r="I18" s="185">
        <v>95.985683492719403</v>
      </c>
      <c r="J18" s="185">
        <v>12.6915304652741</v>
      </c>
      <c r="K18" s="185">
        <v>5.8851935417145302</v>
      </c>
      <c r="L18" s="185">
        <v>4.1839728240916401</v>
      </c>
      <c r="M18" s="185">
        <v>3.6277139461626402</v>
      </c>
      <c r="N18" s="185">
        <v>3.3515060707669502</v>
      </c>
      <c r="O18" s="185">
        <v>3.1246478405594398</v>
      </c>
      <c r="P18" s="177">
        <v>692.6</v>
      </c>
      <c r="Q18" s="177">
        <v>438.3</v>
      </c>
      <c r="R18" s="177">
        <v>698.8</v>
      </c>
      <c r="S18" s="178">
        <f t="shared" si="0"/>
        <v>2.72355485646874</v>
      </c>
      <c r="T18" s="178">
        <f t="shared" si="1"/>
        <v>2.6825335892514399</v>
      </c>
      <c r="U18" s="179">
        <f t="shared" si="2"/>
        <v>2.65873320537428</v>
      </c>
    </row>
    <row r="19" spans="1:36" ht="14.4">
      <c r="A19" s="159" t="s">
        <v>78</v>
      </c>
      <c r="B19" s="159" t="s">
        <v>64</v>
      </c>
      <c r="C19" s="168" t="s">
        <v>71</v>
      </c>
      <c r="D19" s="176">
        <v>100</v>
      </c>
      <c r="E19" s="185">
        <v>100</v>
      </c>
      <c r="F19" s="185">
        <v>100</v>
      </c>
      <c r="G19" s="185">
        <v>100</v>
      </c>
      <c r="H19" s="185">
        <v>100</v>
      </c>
      <c r="I19" s="185">
        <v>100</v>
      </c>
      <c r="J19" s="185">
        <v>69.772922022279303</v>
      </c>
      <c r="K19" s="185">
        <v>41.231076835190002</v>
      </c>
      <c r="L19" s="185">
        <v>19.951442445015701</v>
      </c>
      <c r="M19" s="185">
        <v>11.610968294772899</v>
      </c>
      <c r="N19" s="185">
        <v>9.3544701513853408</v>
      </c>
      <c r="O19" s="185">
        <v>7.0408454727221104</v>
      </c>
      <c r="V19" s="188">
        <v>294.3</v>
      </c>
      <c r="W19" s="188">
        <v>708.1</v>
      </c>
      <c r="X19" s="188">
        <v>895</v>
      </c>
      <c r="Y19" s="188">
        <v>300.5</v>
      </c>
      <c r="Z19" s="196">
        <f>V19/(V19+W19-X19)</f>
        <v>2.7402234636871499</v>
      </c>
      <c r="AA19" s="196">
        <f>Y19/(Y19+W19-X19)</f>
        <v>2.6452464788732399</v>
      </c>
      <c r="AB19" s="196">
        <f>V19/(Y19+W19-X19)</f>
        <v>2.5906690140845101</v>
      </c>
    </row>
    <row r="20" spans="1:36" ht="14.4">
      <c r="A20" s="159" t="s">
        <v>78</v>
      </c>
      <c r="B20" s="159" t="s">
        <v>66</v>
      </c>
      <c r="C20" s="168" t="s">
        <v>75</v>
      </c>
      <c r="D20" s="176">
        <v>100</v>
      </c>
      <c r="E20" s="185">
        <v>100</v>
      </c>
      <c r="F20" s="185">
        <v>100</v>
      </c>
      <c r="G20" s="185">
        <v>92.75</v>
      </c>
      <c r="H20" s="185">
        <v>55.5</v>
      </c>
      <c r="I20" s="185">
        <v>23.1</v>
      </c>
      <c r="J20" s="185">
        <v>18.350000000000001</v>
      </c>
      <c r="K20" s="185">
        <v>13.95</v>
      </c>
      <c r="L20" s="185">
        <v>10.7</v>
      </c>
      <c r="M20" s="185">
        <v>8.6</v>
      </c>
      <c r="N20" s="185">
        <v>7.55</v>
      </c>
      <c r="O20" s="185">
        <v>6.25</v>
      </c>
      <c r="P20" s="177">
        <v>1022.2</v>
      </c>
      <c r="Q20" s="177">
        <v>645.70000000000005</v>
      </c>
      <c r="R20" s="177">
        <v>1027.8</v>
      </c>
      <c r="S20" s="178">
        <f t="shared" ref="S20" si="3">P20/(P20-Q20)</f>
        <v>2.7150066401062398</v>
      </c>
      <c r="T20" s="178">
        <f t="shared" ref="T20" si="4">R20/(R20-Q20)</f>
        <v>2.6898717613190302</v>
      </c>
      <c r="U20" s="179">
        <f t="shared" ref="U20" si="5">P20/(R20-Q20)</f>
        <v>2.6752159120649002</v>
      </c>
      <c r="AC20" s="191">
        <v>519.95000000000005</v>
      </c>
      <c r="AD20" s="191">
        <v>1300</v>
      </c>
      <c r="AE20" s="191">
        <v>594.04999999999995</v>
      </c>
      <c r="AF20" s="191">
        <v>1184.5999999999999</v>
      </c>
      <c r="AI20" s="184">
        <f>100*AJ20/(100+AJ20)</f>
        <v>3.1769230769230901</v>
      </c>
      <c r="AJ20" s="183">
        <f>100*(AD20+AC20-AE20-AF20)/(AE20+AF20-AC20)</f>
        <v>3.2811631047906702</v>
      </c>
    </row>
    <row r="21" spans="1:36" ht="14.4">
      <c r="A21" s="159" t="s">
        <v>78</v>
      </c>
      <c r="B21" s="159" t="s">
        <v>67</v>
      </c>
      <c r="C21" s="168" t="s">
        <v>77</v>
      </c>
      <c r="D21" s="176">
        <v>100</v>
      </c>
      <c r="E21" s="185">
        <v>100</v>
      </c>
      <c r="F21" s="185">
        <v>100</v>
      </c>
      <c r="G21" s="185">
        <v>100</v>
      </c>
      <c r="H21" s="185">
        <v>98.793897786597498</v>
      </c>
      <c r="I21" s="185">
        <v>81.170722175214706</v>
      </c>
      <c r="J21" s="185">
        <v>61.440213202111302</v>
      </c>
      <c r="K21" s="185">
        <v>46.229199858288702</v>
      </c>
      <c r="L21" s="185">
        <v>32.838359207164501</v>
      </c>
      <c r="M21" s="185">
        <v>23.4634747059287</v>
      </c>
      <c r="N21" s="185">
        <v>19.381251249845899</v>
      </c>
      <c r="O21" s="185">
        <v>15.1710288134548</v>
      </c>
      <c r="V21" s="188">
        <v>297.8</v>
      </c>
      <c r="W21" s="188">
        <v>721.8</v>
      </c>
      <c r="X21" s="188">
        <v>903.4</v>
      </c>
      <c r="Y21" s="188">
        <v>300</v>
      </c>
      <c r="Z21" s="196">
        <f>V21/(V21+W21-X21)</f>
        <v>2.5628227194492301</v>
      </c>
      <c r="AA21" s="196">
        <f>Y21/(Y21+W21-X21)</f>
        <v>2.5337837837837802</v>
      </c>
      <c r="AB21" s="196">
        <f>V21/(Y21+W21-X21)</f>
        <v>2.5152027027027</v>
      </c>
      <c r="AC21" s="191">
        <v>520.20000000000005</v>
      </c>
      <c r="AD21" s="191">
        <v>1200</v>
      </c>
      <c r="AE21" s="191">
        <v>657.35</v>
      </c>
      <c r="AF21" s="191">
        <v>994.6</v>
      </c>
      <c r="AI21" s="184">
        <f>100*AJ21/(100+AJ21)</f>
        <v>5.6874999999999902</v>
      </c>
      <c r="AJ21" s="183">
        <f>100*(AD21+AC21-AE21-AF21)/(AE21+AF21-AC21)</f>
        <v>6.0304837640821596</v>
      </c>
    </row>
    <row r="22" spans="1:36">
      <c r="A22" s="159" t="s">
        <v>80</v>
      </c>
      <c r="B22" s="159" t="s">
        <v>81</v>
      </c>
      <c r="C22" s="168" t="s">
        <v>62</v>
      </c>
      <c r="D22" s="176">
        <v>100</v>
      </c>
      <c r="E22" s="185">
        <v>82.345575284429003</v>
      </c>
      <c r="F22" s="185">
        <v>59.458728043033297</v>
      </c>
      <c r="G22" s="185">
        <v>33.822963773980099</v>
      </c>
      <c r="H22" s="185">
        <v>4.98267244251916</v>
      </c>
      <c r="I22" s="185">
        <v>0.71659446851049302</v>
      </c>
      <c r="J22" s="185">
        <v>0</v>
      </c>
      <c r="K22" s="185">
        <v>0</v>
      </c>
      <c r="L22" s="185">
        <v>0</v>
      </c>
      <c r="M22" s="185">
        <v>0</v>
      </c>
      <c r="N22" s="185">
        <v>0</v>
      </c>
      <c r="O22" s="185">
        <v>0</v>
      </c>
      <c r="P22" s="177">
        <v>2061.5</v>
      </c>
      <c r="Q22" s="177">
        <v>1306.8</v>
      </c>
      <c r="R22" s="177">
        <v>2074.3000000000002</v>
      </c>
      <c r="S22" s="178">
        <f t="shared" ref="S22:S24" si="6">P22/(P22-Q22)</f>
        <v>2.7315489598516001</v>
      </c>
      <c r="T22" s="178">
        <f t="shared" ref="T22:T24" si="7">R22/(R22-Q22)</f>
        <v>2.7026710097719899</v>
      </c>
      <c r="U22" s="179">
        <f t="shared" ref="U22:U24" si="8">P22/(R22-Q22)</f>
        <v>2.6859934853420202</v>
      </c>
      <c r="V22" s="188"/>
      <c r="W22" s="188"/>
      <c r="X22" s="188"/>
      <c r="Y22" s="188"/>
    </row>
    <row r="23" spans="1:36">
      <c r="A23" s="159" t="s">
        <v>80</v>
      </c>
      <c r="B23" s="159" t="s">
        <v>81</v>
      </c>
      <c r="C23" s="168" t="s">
        <v>63</v>
      </c>
      <c r="D23" s="176">
        <v>100</v>
      </c>
      <c r="E23" s="185">
        <v>100</v>
      </c>
      <c r="F23" s="185">
        <v>99.5</v>
      </c>
      <c r="G23" s="185">
        <v>66.5</v>
      </c>
      <c r="H23" s="185">
        <v>6.5</v>
      </c>
      <c r="I23" s="185">
        <v>0</v>
      </c>
      <c r="J23" s="185">
        <v>0</v>
      </c>
      <c r="K23" s="185">
        <v>0</v>
      </c>
      <c r="L23" s="185">
        <v>0</v>
      </c>
      <c r="M23" s="185">
        <v>0</v>
      </c>
      <c r="N23" s="185">
        <v>0</v>
      </c>
      <c r="O23" s="185">
        <v>0</v>
      </c>
      <c r="P23" s="177">
        <v>2016.7</v>
      </c>
      <c r="Q23" s="177">
        <v>1313.9</v>
      </c>
      <c r="R23" s="177">
        <v>2026.7</v>
      </c>
      <c r="S23" s="178">
        <f t="shared" si="6"/>
        <v>2.8695219123506002</v>
      </c>
      <c r="T23" s="178">
        <f t="shared" si="7"/>
        <v>2.8432940516273901</v>
      </c>
      <c r="U23" s="179">
        <f t="shared" si="8"/>
        <v>2.82926487093154</v>
      </c>
      <c r="V23" s="188"/>
      <c r="W23" s="188"/>
      <c r="X23" s="188"/>
      <c r="Y23" s="188"/>
    </row>
    <row r="24" spans="1:36">
      <c r="A24" s="159" t="s">
        <v>80</v>
      </c>
      <c r="B24" s="159" t="s">
        <v>81</v>
      </c>
      <c r="C24" s="168" t="s">
        <v>70</v>
      </c>
      <c r="D24" s="176">
        <v>100</v>
      </c>
      <c r="E24" s="185">
        <v>100</v>
      </c>
      <c r="F24" s="185">
        <v>100</v>
      </c>
      <c r="G24" s="185">
        <v>100</v>
      </c>
      <c r="H24" s="185">
        <v>98.5</v>
      </c>
      <c r="I24" s="185">
        <v>25</v>
      </c>
      <c r="J24" s="185">
        <v>3</v>
      </c>
      <c r="K24" s="185">
        <v>2.5</v>
      </c>
      <c r="L24" s="185">
        <v>2</v>
      </c>
      <c r="M24" s="185">
        <v>2</v>
      </c>
      <c r="N24" s="185">
        <v>2</v>
      </c>
      <c r="O24" s="185">
        <v>2</v>
      </c>
      <c r="P24" s="177">
        <v>2031.3</v>
      </c>
      <c r="Q24" s="177">
        <v>1289.0999999999999</v>
      </c>
      <c r="R24" s="177">
        <v>2053</v>
      </c>
      <c r="S24" s="178">
        <f t="shared" si="6"/>
        <v>2.7368633791430899</v>
      </c>
      <c r="T24" s="178">
        <f t="shared" si="7"/>
        <v>2.68752454509753</v>
      </c>
      <c r="U24" s="179">
        <f t="shared" si="8"/>
        <v>2.6591176855609402</v>
      </c>
      <c r="V24" s="188"/>
      <c r="W24" s="188"/>
      <c r="X24" s="188"/>
      <c r="Y24" s="188"/>
    </row>
    <row r="25" spans="1:36">
      <c r="A25" s="159" t="s">
        <v>80</v>
      </c>
      <c r="B25" s="159" t="s">
        <v>82</v>
      </c>
      <c r="C25" s="168" t="s">
        <v>71</v>
      </c>
      <c r="D25" s="176">
        <v>100</v>
      </c>
      <c r="E25" s="185">
        <v>100</v>
      </c>
      <c r="F25" s="185">
        <v>100</v>
      </c>
      <c r="G25" s="185">
        <v>100</v>
      </c>
      <c r="H25" s="185">
        <v>100</v>
      </c>
      <c r="I25" s="185">
        <v>99</v>
      </c>
      <c r="J25" s="185">
        <v>63.5</v>
      </c>
      <c r="K25" s="185">
        <v>45.5</v>
      </c>
      <c r="L25" s="185">
        <v>32</v>
      </c>
      <c r="M25" s="185">
        <v>22</v>
      </c>
      <c r="N25" s="185">
        <v>17</v>
      </c>
      <c r="O25" s="185">
        <v>12</v>
      </c>
      <c r="V25" s="188">
        <v>294.7</v>
      </c>
      <c r="W25" s="188">
        <v>708.9</v>
      </c>
      <c r="X25" s="188">
        <v>901.2</v>
      </c>
      <c r="Y25" s="188">
        <v>300</v>
      </c>
      <c r="Z25" s="196">
        <f>V25/(V25+W25-X25)</f>
        <v>2.8779296875</v>
      </c>
      <c r="AA25" s="196">
        <f>Y25/(Y25+W25-X25)</f>
        <v>2.7855153203342602</v>
      </c>
      <c r="AB25" s="196">
        <f>V25/(Y25+W25-X25)</f>
        <v>2.7363045496750198</v>
      </c>
    </row>
    <row r="26" spans="1:36" ht="14.4">
      <c r="A26" s="159" t="s">
        <v>80</v>
      </c>
      <c r="B26" s="159" t="s">
        <v>66</v>
      </c>
      <c r="C26" s="168" t="s">
        <v>62</v>
      </c>
      <c r="D26" s="176">
        <v>100</v>
      </c>
      <c r="E26" s="185">
        <f t="shared" ref="E26:O27" si="9">AVERAGE(E24,E25)</f>
        <v>100</v>
      </c>
      <c r="F26" s="185">
        <f t="shared" si="9"/>
        <v>100</v>
      </c>
      <c r="G26" s="185">
        <f t="shared" si="9"/>
        <v>100</v>
      </c>
      <c r="H26" s="185">
        <f t="shared" si="9"/>
        <v>99.25</v>
      </c>
      <c r="I26" s="185">
        <f t="shared" si="9"/>
        <v>62</v>
      </c>
      <c r="J26" s="185">
        <f t="shared" si="9"/>
        <v>33.25</v>
      </c>
      <c r="K26" s="185">
        <f t="shared" si="9"/>
        <v>24</v>
      </c>
      <c r="L26" s="185">
        <f t="shared" si="9"/>
        <v>17</v>
      </c>
      <c r="M26" s="185">
        <f t="shared" si="9"/>
        <v>12</v>
      </c>
      <c r="N26" s="185">
        <f t="shared" si="9"/>
        <v>9.5</v>
      </c>
      <c r="O26" s="185">
        <f t="shared" si="9"/>
        <v>7</v>
      </c>
      <c r="P26" s="177">
        <v>1757.6</v>
      </c>
      <c r="Q26" s="177">
        <v>1113.7</v>
      </c>
      <c r="R26" s="177">
        <v>1766.9</v>
      </c>
      <c r="S26" s="178">
        <f t="shared" ref="S26" si="10">P26/(P26-Q26)</f>
        <v>2.7296164000621199</v>
      </c>
      <c r="T26" s="178">
        <f t="shared" ref="T26" si="11">R26/(R26-Q26)</f>
        <v>2.7049908144519299</v>
      </c>
      <c r="U26" s="179">
        <f t="shared" ref="U26" si="12">P26/(R26-Q26)</f>
        <v>2.6907532149418198</v>
      </c>
      <c r="AC26" s="191">
        <v>519.35</v>
      </c>
      <c r="AD26" s="191">
        <v>1200</v>
      </c>
      <c r="AE26" s="191">
        <v>568.04999999999995</v>
      </c>
      <c r="AF26" s="191">
        <v>1117.1500000000001</v>
      </c>
      <c r="AI26" s="184">
        <f>100*AJ26/(100+AJ26)</f>
        <v>2.8458333333333199</v>
      </c>
      <c r="AJ26" s="183">
        <f>100*(AD26+AC26-AE26-AF26)/(AE26+AF26-AC26)</f>
        <v>2.9291932924475601</v>
      </c>
    </row>
    <row r="27" spans="1:36" ht="14.4">
      <c r="A27" s="159" t="s">
        <v>80</v>
      </c>
      <c r="B27" s="159" t="s">
        <v>67</v>
      </c>
      <c r="C27" s="168" t="s">
        <v>68</v>
      </c>
      <c r="D27" s="176">
        <v>100</v>
      </c>
      <c r="E27" s="185">
        <f t="shared" si="9"/>
        <v>100</v>
      </c>
      <c r="F27" s="185">
        <f t="shared" si="9"/>
        <v>100</v>
      </c>
      <c r="G27" s="185">
        <f t="shared" si="9"/>
        <v>100</v>
      </c>
      <c r="H27" s="185">
        <f t="shared" si="9"/>
        <v>99.625</v>
      </c>
      <c r="I27" s="185">
        <f t="shared" si="9"/>
        <v>80.5</v>
      </c>
      <c r="J27" s="185">
        <f t="shared" si="9"/>
        <v>48.375</v>
      </c>
      <c r="K27" s="185">
        <f t="shared" si="9"/>
        <v>34.75</v>
      </c>
      <c r="L27" s="185">
        <f t="shared" si="9"/>
        <v>24.5</v>
      </c>
      <c r="M27" s="185">
        <f t="shared" si="9"/>
        <v>17</v>
      </c>
      <c r="N27" s="185">
        <f t="shared" si="9"/>
        <v>13.25</v>
      </c>
      <c r="O27" s="185">
        <f t="shared" si="9"/>
        <v>9.5</v>
      </c>
      <c r="V27" s="188">
        <v>291.8</v>
      </c>
      <c r="W27" s="188">
        <v>708.7</v>
      </c>
      <c r="X27" s="188">
        <v>892.4</v>
      </c>
      <c r="Y27" s="188">
        <v>300</v>
      </c>
      <c r="Z27" s="196">
        <f>V27/(V27+W27-X27)</f>
        <v>2.6993524514338598</v>
      </c>
      <c r="AA27" s="196">
        <f>Y27/(Y27+W27-X27)</f>
        <v>2.5795356835769501</v>
      </c>
      <c r="AB27" s="196">
        <f>V27/(Y27+W27-X27)</f>
        <v>2.50902837489252</v>
      </c>
      <c r="AC27" s="191">
        <v>519.5</v>
      </c>
      <c r="AD27" s="191">
        <v>1198.5</v>
      </c>
      <c r="AE27" s="191">
        <v>618.35</v>
      </c>
      <c r="AF27" s="191">
        <v>1043.75</v>
      </c>
      <c r="AI27" s="184">
        <f>100*AJ27/(100+AJ27)</f>
        <v>4.6641635377555399</v>
      </c>
      <c r="AJ27" s="183">
        <f>100*(AD27+AC27-AE27-AF27)/(AE27+AF27-AC27)</f>
        <v>4.8923507789252696</v>
      </c>
    </row>
    <row r="28" spans="1:36" ht="14.4">
      <c r="A28" s="159" t="s">
        <v>83</v>
      </c>
      <c r="B28" s="159" t="s">
        <v>61</v>
      </c>
      <c r="C28" s="168" t="s">
        <v>62</v>
      </c>
      <c r="D28" s="176">
        <v>100</v>
      </c>
      <c r="E28" s="185">
        <v>93.712215838121494</v>
      </c>
      <c r="F28" s="185">
        <v>66.512615538346196</v>
      </c>
      <c r="G28" s="185">
        <v>33.717212090931802</v>
      </c>
      <c r="H28" s="185">
        <v>5.6632525605795596</v>
      </c>
      <c r="I28" s="185">
        <v>0.44716462653010303</v>
      </c>
      <c r="J28" s="185">
        <v>0</v>
      </c>
      <c r="K28" s="185">
        <v>0</v>
      </c>
      <c r="L28" s="185">
        <v>0</v>
      </c>
      <c r="M28" s="185">
        <v>0</v>
      </c>
      <c r="N28" s="185">
        <v>0</v>
      </c>
      <c r="O28" s="185">
        <v>0</v>
      </c>
      <c r="P28" s="177">
        <v>1993.5</v>
      </c>
      <c r="Q28" s="177">
        <v>1261.3</v>
      </c>
      <c r="R28" s="177">
        <v>2001.4</v>
      </c>
      <c r="S28" s="178">
        <f t="shared" ref="S28:S31" si="13">P28/(P28-Q28)</f>
        <v>2.7226167713739402</v>
      </c>
      <c r="T28" s="178">
        <f t="shared" ref="T28:T31" si="14">R28/(R28-Q28)</f>
        <v>2.7042291582218598</v>
      </c>
      <c r="U28" s="179">
        <f t="shared" ref="U28:U31" si="15">P28/(R28-Q28)</f>
        <v>2.6935549250101301</v>
      </c>
    </row>
    <row r="29" spans="1:36" ht="14.4">
      <c r="A29" s="159" t="s">
        <v>83</v>
      </c>
      <c r="B29" s="159" t="s">
        <v>61</v>
      </c>
      <c r="C29" s="168" t="s">
        <v>63</v>
      </c>
      <c r="D29" s="176">
        <v>100</v>
      </c>
      <c r="E29" s="185">
        <v>100</v>
      </c>
      <c r="F29" s="185">
        <v>100</v>
      </c>
      <c r="G29" s="185">
        <v>100</v>
      </c>
      <c r="H29" s="185">
        <v>89.684047392891003</v>
      </c>
      <c r="I29" s="185">
        <v>3.3944908263760398</v>
      </c>
      <c r="J29" s="185">
        <v>1.12983052542118</v>
      </c>
      <c r="K29" s="185">
        <v>1.04234364845272</v>
      </c>
      <c r="L29" s="185">
        <v>0</v>
      </c>
      <c r="M29" s="185">
        <v>0</v>
      </c>
      <c r="N29" s="185">
        <v>0</v>
      </c>
      <c r="O29" s="185">
        <v>0</v>
      </c>
      <c r="P29" s="177">
        <v>1978.5</v>
      </c>
      <c r="Q29" s="177">
        <v>1250.7</v>
      </c>
      <c r="R29" s="177">
        <v>1994.7</v>
      </c>
      <c r="S29" s="178">
        <f t="shared" si="13"/>
        <v>2.7184666117065102</v>
      </c>
      <c r="T29" s="178">
        <f t="shared" si="14"/>
        <v>2.6810483870967698</v>
      </c>
      <c r="U29" s="179">
        <f t="shared" si="15"/>
        <v>2.6592741935483901</v>
      </c>
    </row>
    <row r="30" spans="1:36" ht="14.4">
      <c r="A30" s="159" t="s">
        <v>83</v>
      </c>
      <c r="B30" s="159" t="s">
        <v>61</v>
      </c>
      <c r="C30" s="168" t="s">
        <v>79</v>
      </c>
      <c r="D30" s="176">
        <v>100</v>
      </c>
      <c r="E30" s="185">
        <v>100</v>
      </c>
      <c r="F30" s="185">
        <v>99.586446104589101</v>
      </c>
      <c r="G30" s="185">
        <v>78.9106731027085</v>
      </c>
      <c r="H30" s="185">
        <v>26.3831910352188</v>
      </c>
      <c r="I30" s="185">
        <v>0.77822472512737995</v>
      </c>
      <c r="J30" s="185">
        <v>0.43380262805041397</v>
      </c>
      <c r="K30" s="185">
        <v>0.30670421024403099</v>
      </c>
      <c r="L30" s="185">
        <v>0</v>
      </c>
      <c r="M30" s="185">
        <v>0</v>
      </c>
      <c r="N30" s="185">
        <v>0</v>
      </c>
      <c r="O30" s="185">
        <v>0</v>
      </c>
      <c r="P30" s="177">
        <v>995</v>
      </c>
      <c r="Q30" s="177">
        <v>616</v>
      </c>
      <c r="R30" s="177">
        <v>1002.8</v>
      </c>
      <c r="S30" s="178">
        <f t="shared" si="13"/>
        <v>2.6253298153034299</v>
      </c>
      <c r="T30" s="178">
        <f t="shared" si="14"/>
        <v>2.5925542916235802</v>
      </c>
      <c r="U30" s="179">
        <f t="shared" si="15"/>
        <v>2.5723888314374399</v>
      </c>
    </row>
    <row r="31" spans="1:36" ht="14.4">
      <c r="A31" s="159" t="s">
        <v>83</v>
      </c>
      <c r="B31" s="159" t="s">
        <v>61</v>
      </c>
      <c r="C31" s="168" t="s">
        <v>70</v>
      </c>
      <c r="D31" s="176">
        <v>100</v>
      </c>
      <c r="E31" s="185">
        <v>100</v>
      </c>
      <c r="F31" s="185">
        <v>100</v>
      </c>
      <c r="G31" s="185">
        <v>100</v>
      </c>
      <c r="H31" s="185">
        <v>100</v>
      </c>
      <c r="I31" s="185">
        <v>95.985683492719403</v>
      </c>
      <c r="J31" s="185">
        <v>12.6915304652741</v>
      </c>
      <c r="K31" s="185">
        <v>5.8851935417145302</v>
      </c>
      <c r="L31" s="185">
        <v>4.1839728240916401</v>
      </c>
      <c r="M31" s="185">
        <v>3.6277139461626402</v>
      </c>
      <c r="N31" s="185">
        <v>3.3515060707669502</v>
      </c>
      <c r="O31" s="185">
        <v>3.1246478405594398</v>
      </c>
      <c r="P31" s="177">
        <v>692.6</v>
      </c>
      <c r="Q31" s="177">
        <v>438.3</v>
      </c>
      <c r="R31" s="177">
        <v>698.8</v>
      </c>
      <c r="S31" s="178">
        <f t="shared" si="13"/>
        <v>2.72355485646874</v>
      </c>
      <c r="T31" s="178">
        <f t="shared" si="14"/>
        <v>2.6825335892514399</v>
      </c>
      <c r="U31" s="179">
        <f t="shared" si="15"/>
        <v>2.65873320537428</v>
      </c>
    </row>
    <row r="32" spans="1:36" ht="14.4">
      <c r="A32" s="159" t="s">
        <v>83</v>
      </c>
      <c r="B32" s="159" t="s">
        <v>64</v>
      </c>
      <c r="C32" s="168" t="s">
        <v>71</v>
      </c>
      <c r="D32" s="176">
        <v>100</v>
      </c>
      <c r="E32" s="185">
        <v>100</v>
      </c>
      <c r="F32" s="185">
        <v>100</v>
      </c>
      <c r="G32" s="185">
        <v>100</v>
      </c>
      <c r="H32" s="185">
        <v>100</v>
      </c>
      <c r="I32" s="185">
        <v>100</v>
      </c>
      <c r="J32" s="185">
        <v>69.772922022279303</v>
      </c>
      <c r="K32" s="185">
        <v>41.231076835190002</v>
      </c>
      <c r="L32" s="185">
        <v>19.951442445015701</v>
      </c>
      <c r="M32" s="185">
        <v>11.610968294772899</v>
      </c>
      <c r="N32" s="185">
        <v>9.3544701513853408</v>
      </c>
      <c r="O32" s="185">
        <v>7.0408454727221104</v>
      </c>
      <c r="V32" s="188">
        <v>294.3</v>
      </c>
      <c r="W32" s="188">
        <v>708.1</v>
      </c>
      <c r="X32" s="188">
        <v>895</v>
      </c>
      <c r="Y32" s="188">
        <v>300.5</v>
      </c>
      <c r="Z32" s="196">
        <f>V32/(V32+W32-X32)</f>
        <v>2.7402234636871499</v>
      </c>
      <c r="AA32" s="196">
        <f>Y32/(Y32+W32-X32)</f>
        <v>2.6452464788732399</v>
      </c>
      <c r="AB32" s="196">
        <f>V32/(Y32+W32-X32)</f>
        <v>2.5906690140845101</v>
      </c>
    </row>
    <row r="33" spans="1:36" ht="14.4">
      <c r="A33" s="159" t="s">
        <v>83</v>
      </c>
      <c r="B33" s="159" t="s">
        <v>72</v>
      </c>
      <c r="C33" s="168" t="s">
        <v>73</v>
      </c>
      <c r="D33" s="176">
        <v>100</v>
      </c>
      <c r="E33" s="185">
        <v>100</v>
      </c>
      <c r="F33" s="185">
        <v>100</v>
      </c>
      <c r="G33" s="185">
        <v>100</v>
      </c>
      <c r="H33" s="185">
        <v>100</v>
      </c>
      <c r="I33" s="185">
        <v>100</v>
      </c>
      <c r="J33" s="185">
        <v>100</v>
      </c>
      <c r="K33" s="185">
        <v>100</v>
      </c>
      <c r="L33" s="185">
        <v>100</v>
      </c>
      <c r="M33" s="185">
        <v>99.7</v>
      </c>
      <c r="N33" s="185">
        <v>97.1</v>
      </c>
      <c r="O33" s="185">
        <v>76.599999999999994</v>
      </c>
      <c r="V33" s="188">
        <v>295.3</v>
      </c>
      <c r="W33" s="188">
        <v>722</v>
      </c>
      <c r="X33" s="188">
        <v>909.1</v>
      </c>
      <c r="Y33" s="188">
        <v>301</v>
      </c>
      <c r="Z33" s="196">
        <f>V33/(V33+W33-X33)</f>
        <v>2.7292051756007401</v>
      </c>
      <c r="AA33" s="196">
        <f>Y33/(Y33+W33-X33)</f>
        <v>2.6426690079016701</v>
      </c>
      <c r="AB33" s="196">
        <f>V33/(Y33+W33-X33)</f>
        <v>2.5926251097453901</v>
      </c>
    </row>
    <row r="34" spans="1:36" ht="14.4">
      <c r="A34" s="159" t="s">
        <v>84</v>
      </c>
      <c r="B34" s="159" t="s">
        <v>61</v>
      </c>
      <c r="C34" s="168" t="s">
        <v>85</v>
      </c>
      <c r="D34" s="176">
        <v>100</v>
      </c>
      <c r="E34" s="176">
        <v>14.7525</v>
      </c>
      <c r="F34" s="176">
        <v>3.64</v>
      </c>
      <c r="G34" s="176">
        <v>0.127500000000005</v>
      </c>
      <c r="H34" s="176">
        <v>0</v>
      </c>
      <c r="I34" s="176">
        <v>0</v>
      </c>
      <c r="J34" s="176">
        <v>0</v>
      </c>
      <c r="K34" s="176">
        <v>0</v>
      </c>
      <c r="L34" s="176">
        <v>0</v>
      </c>
      <c r="M34" s="176">
        <v>0</v>
      </c>
      <c r="N34" s="176">
        <v>0</v>
      </c>
      <c r="O34" s="176">
        <v>0</v>
      </c>
      <c r="P34" s="177">
        <v>1430.1</v>
      </c>
      <c r="Q34" s="177">
        <v>906</v>
      </c>
      <c r="R34" s="177">
        <v>1434.9</v>
      </c>
      <c r="S34" s="178">
        <f t="shared" ref="S34:S38" si="16">P34/(P34-Q34)</f>
        <v>2.72867773325701</v>
      </c>
      <c r="T34" s="178">
        <f t="shared" ref="T34:T38" si="17">R34/(R34-Q34)</f>
        <v>2.7129892229154802</v>
      </c>
      <c r="U34" s="179">
        <f t="shared" ref="U34:U38" si="18">P34/(R34-Q34)</f>
        <v>2.70391378332388</v>
      </c>
    </row>
    <row r="35" spans="1:36" ht="14.4">
      <c r="A35" s="159" t="s">
        <v>84</v>
      </c>
      <c r="B35" s="159" t="s">
        <v>61</v>
      </c>
      <c r="C35" s="168" t="s">
        <v>86</v>
      </c>
      <c r="D35" s="176">
        <v>100</v>
      </c>
      <c r="E35" s="176">
        <v>99.47</v>
      </c>
      <c r="F35" s="176">
        <v>94.023333333333298</v>
      </c>
      <c r="G35" s="176">
        <v>16.586666666666702</v>
      </c>
      <c r="H35" s="176">
        <v>0.45000000000000301</v>
      </c>
      <c r="I35" s="176">
        <v>0.27333333333333298</v>
      </c>
      <c r="J35" s="176">
        <v>0</v>
      </c>
      <c r="K35" s="176">
        <v>0</v>
      </c>
      <c r="L35" s="176">
        <v>0</v>
      </c>
      <c r="M35" s="176">
        <v>0</v>
      </c>
      <c r="N35" s="176">
        <v>0</v>
      </c>
      <c r="O35" s="176">
        <v>0</v>
      </c>
      <c r="P35" s="177">
        <v>1601.4</v>
      </c>
      <c r="Q35" s="177">
        <v>1013.6</v>
      </c>
      <c r="R35" s="177">
        <v>1609.4</v>
      </c>
      <c r="S35" s="178">
        <f t="shared" si="16"/>
        <v>2.7243960530792801</v>
      </c>
      <c r="T35" s="178">
        <f t="shared" si="17"/>
        <v>2.7012420275260198</v>
      </c>
      <c r="U35" s="179">
        <f t="shared" si="18"/>
        <v>2.68781470292044</v>
      </c>
    </row>
    <row r="36" spans="1:36" ht="14.4">
      <c r="A36" s="159" t="s">
        <v>84</v>
      </c>
      <c r="B36" s="159" t="s">
        <v>61</v>
      </c>
      <c r="C36" s="168" t="s">
        <v>87</v>
      </c>
      <c r="D36" s="176">
        <v>100</v>
      </c>
      <c r="E36" s="176">
        <v>100</v>
      </c>
      <c r="F36" s="176">
        <v>100</v>
      </c>
      <c r="G36" s="176">
        <v>97.423333333333304</v>
      </c>
      <c r="H36" s="176">
        <v>44.356666666666698</v>
      </c>
      <c r="I36" s="176">
        <v>0.283333333333324</v>
      </c>
      <c r="J36" s="176">
        <v>0.19333333333333499</v>
      </c>
      <c r="K36" s="176">
        <v>0.103333333333332</v>
      </c>
      <c r="L36" s="176">
        <v>0</v>
      </c>
      <c r="M36" s="176">
        <v>0</v>
      </c>
      <c r="N36" s="176">
        <v>0</v>
      </c>
      <c r="O36" s="176">
        <v>0</v>
      </c>
      <c r="P36" s="177">
        <v>1344.9</v>
      </c>
      <c r="Q36" s="177">
        <v>851.2</v>
      </c>
      <c r="R36" s="177">
        <v>1351.3</v>
      </c>
      <c r="S36" s="178">
        <f t="shared" si="16"/>
        <v>2.7241239619201898</v>
      </c>
      <c r="T36" s="178">
        <f t="shared" si="17"/>
        <v>2.7020595880823799</v>
      </c>
      <c r="U36" s="179">
        <f t="shared" si="18"/>
        <v>2.6892621475704899</v>
      </c>
    </row>
    <row r="37" spans="1:36" ht="14.4">
      <c r="A37" s="159" t="s">
        <v>84</v>
      </c>
      <c r="B37" s="159" t="s">
        <v>61</v>
      </c>
      <c r="C37" s="168" t="s">
        <v>88</v>
      </c>
      <c r="D37" s="176">
        <v>100</v>
      </c>
      <c r="E37" s="176">
        <v>100</v>
      </c>
      <c r="F37" s="176">
        <v>100</v>
      </c>
      <c r="G37" s="176">
        <v>100</v>
      </c>
      <c r="H37" s="176">
        <v>96.67</v>
      </c>
      <c r="I37" s="176">
        <v>3.0533333333333301</v>
      </c>
      <c r="J37" s="176">
        <v>0.62999999999999501</v>
      </c>
      <c r="K37" s="176">
        <v>0</v>
      </c>
      <c r="L37" s="176">
        <v>0</v>
      </c>
      <c r="M37" s="176">
        <v>0</v>
      </c>
      <c r="N37" s="176">
        <v>0</v>
      </c>
      <c r="O37" s="176">
        <v>0</v>
      </c>
      <c r="P37" s="177">
        <v>1486.6</v>
      </c>
      <c r="Q37" s="177">
        <v>940.3</v>
      </c>
      <c r="R37" s="177">
        <v>1494.8</v>
      </c>
      <c r="S37" s="178">
        <f t="shared" si="16"/>
        <v>2.7212154493867802</v>
      </c>
      <c r="T37" s="178">
        <f t="shared" si="17"/>
        <v>2.69576194770063</v>
      </c>
      <c r="U37" s="179">
        <f t="shared" si="18"/>
        <v>2.6809738503156</v>
      </c>
    </row>
    <row r="38" spans="1:36" ht="14.4">
      <c r="A38" s="159" t="s">
        <v>84</v>
      </c>
      <c r="B38" s="159" t="s">
        <v>61</v>
      </c>
      <c r="C38" s="168" t="s">
        <v>89</v>
      </c>
      <c r="D38" s="176">
        <v>100</v>
      </c>
      <c r="E38" s="176">
        <v>100</v>
      </c>
      <c r="F38" s="176">
        <v>100</v>
      </c>
      <c r="G38" s="176">
        <v>100</v>
      </c>
      <c r="H38" s="176">
        <v>100</v>
      </c>
      <c r="I38" s="176">
        <v>70.359936297776699</v>
      </c>
      <c r="J38" s="176">
        <v>8.4791666666666696</v>
      </c>
      <c r="K38" s="176">
        <v>4.50416666666667</v>
      </c>
      <c r="L38" s="176">
        <v>2.56666666666667</v>
      </c>
      <c r="M38" s="176">
        <v>1.8375000000000099</v>
      </c>
      <c r="N38" s="176">
        <v>1.5875000000000099</v>
      </c>
      <c r="O38" s="176">
        <v>1.4208333333333401</v>
      </c>
      <c r="P38" s="177">
        <v>941.2</v>
      </c>
      <c r="Q38" s="177">
        <v>595.4</v>
      </c>
      <c r="R38" s="177">
        <v>950.5</v>
      </c>
      <c r="S38" s="178">
        <f t="shared" si="16"/>
        <v>2.7218045112781901</v>
      </c>
      <c r="T38" s="178">
        <f t="shared" si="17"/>
        <v>2.6767107856941701</v>
      </c>
      <c r="U38" s="179">
        <f t="shared" si="18"/>
        <v>2.6505209800056302</v>
      </c>
    </row>
    <row r="39" spans="1:36" ht="14.4">
      <c r="A39" s="159" t="s">
        <v>84</v>
      </c>
      <c r="B39" s="159" t="s">
        <v>64</v>
      </c>
      <c r="C39" s="168" t="s">
        <v>90</v>
      </c>
      <c r="D39" s="176">
        <v>100</v>
      </c>
      <c r="E39" s="176">
        <v>100</v>
      </c>
      <c r="F39" s="176">
        <v>100</v>
      </c>
      <c r="G39" s="176">
        <v>100</v>
      </c>
      <c r="H39" s="176">
        <v>100</v>
      </c>
      <c r="I39" s="176">
        <v>100</v>
      </c>
      <c r="J39" s="176">
        <v>81.364999999999995</v>
      </c>
      <c r="K39" s="176">
        <v>59.195</v>
      </c>
      <c r="L39" s="176">
        <v>34.704999999999998</v>
      </c>
      <c r="M39" s="176">
        <v>19.21</v>
      </c>
      <c r="N39" s="176">
        <v>13.9</v>
      </c>
      <c r="O39" s="176">
        <v>11.54</v>
      </c>
      <c r="V39" s="188">
        <v>295.3</v>
      </c>
      <c r="W39" s="188">
        <v>722</v>
      </c>
      <c r="X39" s="188">
        <v>909.1</v>
      </c>
      <c r="Y39" s="188">
        <v>301</v>
      </c>
      <c r="Z39" s="196">
        <f>V39/(V39+W39-X39)</f>
        <v>2.7292051756007401</v>
      </c>
      <c r="AA39" s="196">
        <f>Y39/(Y39+W39-X39)</f>
        <v>2.6426690079016701</v>
      </c>
      <c r="AB39" s="196">
        <f>V39/(Y39+W39-X39)</f>
        <v>2.5926251097453901</v>
      </c>
    </row>
    <row r="40" spans="1:36" ht="14.4">
      <c r="A40" s="159" t="s">
        <v>84</v>
      </c>
      <c r="B40" s="159" t="s">
        <v>72</v>
      </c>
      <c r="C40" s="168" t="s">
        <v>91</v>
      </c>
      <c r="D40" s="176">
        <v>100</v>
      </c>
      <c r="E40" s="176">
        <v>100</v>
      </c>
      <c r="F40" s="176">
        <v>100</v>
      </c>
      <c r="G40" s="176">
        <v>100</v>
      </c>
      <c r="H40" s="176">
        <v>100</v>
      </c>
      <c r="I40" s="176">
        <v>100</v>
      </c>
      <c r="J40" s="176">
        <v>100</v>
      </c>
      <c r="K40" s="176">
        <v>100</v>
      </c>
      <c r="L40" s="176">
        <v>100</v>
      </c>
      <c r="M40" s="176">
        <v>99.6875</v>
      </c>
      <c r="N40" s="176">
        <v>97.112499999999997</v>
      </c>
      <c r="O40" s="176">
        <v>76.612499999999997</v>
      </c>
    </row>
    <row r="41" spans="1:36" ht="14.4">
      <c r="A41" s="159" t="s">
        <v>84</v>
      </c>
      <c r="B41" s="159" t="s">
        <v>66</v>
      </c>
      <c r="C41" s="168" t="s">
        <v>75</v>
      </c>
      <c r="D41" s="176">
        <v>100</v>
      </c>
      <c r="E41" s="185">
        <v>100</v>
      </c>
      <c r="F41" s="185">
        <v>100</v>
      </c>
      <c r="G41" s="185">
        <v>93.432996697340897</v>
      </c>
      <c r="H41" s="185">
        <v>58.675273069939301</v>
      </c>
      <c r="I41" s="185">
        <v>63.708953924631899</v>
      </c>
      <c r="J41" s="185">
        <v>26.868671226368999</v>
      </c>
      <c r="K41" s="185">
        <v>21.3218663827885</v>
      </c>
      <c r="L41" s="185">
        <v>16.778918934786098</v>
      </c>
      <c r="M41" s="185">
        <v>13.464796697460701</v>
      </c>
      <c r="N41" s="185">
        <v>11.690906934266099</v>
      </c>
      <c r="O41" s="185">
        <v>9.6660408408271596</v>
      </c>
      <c r="P41" s="177">
        <v>1022.2</v>
      </c>
      <c r="Q41" s="177">
        <v>645.70000000000005</v>
      </c>
      <c r="R41" s="177">
        <v>1027.8</v>
      </c>
      <c r="S41" s="178">
        <f t="shared" ref="S41" si="19">P41/(P41-Q41)</f>
        <v>2.7150066401062398</v>
      </c>
      <c r="T41" s="178">
        <f t="shared" ref="T41" si="20">R41/(R41-Q41)</f>
        <v>2.6898717613190302</v>
      </c>
      <c r="U41" s="179">
        <f t="shared" ref="U41" si="21">P41/(R41-Q41)</f>
        <v>2.6752159120649002</v>
      </c>
      <c r="AC41" s="191">
        <v>520.4</v>
      </c>
      <c r="AD41" s="191">
        <v>1200</v>
      </c>
      <c r="AE41" s="191">
        <v>629.54999999999995</v>
      </c>
      <c r="AF41" s="191">
        <v>1046.45</v>
      </c>
      <c r="AI41" s="184">
        <f>100*AJ41/(100+AJ41)</f>
        <v>3.7000000000000099</v>
      </c>
      <c r="AJ41" s="183">
        <f>100*(AD41+AC41-AE41-AF41)/(AE41+AF41-AC41)</f>
        <v>3.8421599169262799</v>
      </c>
    </row>
    <row r="42" spans="1:36" ht="14.4">
      <c r="A42" s="159" t="s">
        <v>84</v>
      </c>
      <c r="B42" s="159" t="s">
        <v>67</v>
      </c>
      <c r="C42" s="168" t="s">
        <v>77</v>
      </c>
      <c r="D42" s="176">
        <v>100</v>
      </c>
      <c r="E42" s="185">
        <v>100</v>
      </c>
      <c r="F42" s="185">
        <v>100</v>
      </c>
      <c r="G42" s="185">
        <v>100</v>
      </c>
      <c r="H42" s="185">
        <v>100</v>
      </c>
      <c r="I42" s="185">
        <v>77.241522094924903</v>
      </c>
      <c r="J42" s="185">
        <v>51.494987695398102</v>
      </c>
      <c r="K42" s="185">
        <v>39.093199690333201</v>
      </c>
      <c r="L42" s="185">
        <v>29.767484014555301</v>
      </c>
      <c r="M42" s="185">
        <v>22.9094735030666</v>
      </c>
      <c r="N42" s="185">
        <v>18.817885283799701</v>
      </c>
      <c r="O42" s="185">
        <v>13.6321265175802</v>
      </c>
      <c r="V42" s="188">
        <v>297.8</v>
      </c>
      <c r="W42" s="188">
        <v>721.8</v>
      </c>
      <c r="X42" s="188">
        <v>903.4</v>
      </c>
      <c r="Y42" s="188">
        <v>300</v>
      </c>
      <c r="Z42" s="196">
        <f>V42/(V42+W42-X42)</f>
        <v>2.5628227194492301</v>
      </c>
      <c r="AA42" s="196">
        <f>Y42/(Y42+W42-X42)</f>
        <v>2.5337837837837802</v>
      </c>
      <c r="AB42" s="196">
        <f>V42/(Y42+W42-X42)</f>
        <v>2.5152027027027</v>
      </c>
      <c r="AC42" s="191">
        <v>520.65</v>
      </c>
      <c r="AD42" s="191">
        <v>1000</v>
      </c>
      <c r="AE42" s="191">
        <v>637.4</v>
      </c>
      <c r="AF42" s="191">
        <v>829.75</v>
      </c>
      <c r="AI42" s="184">
        <f>100*AJ42/(100+AJ42)</f>
        <v>5.3500000000000103</v>
      </c>
      <c r="AJ42" s="183">
        <f>100*(AD42+AC42-AE42-AF42)/(AE42+AF42-AC42)</f>
        <v>5.6524035921817299</v>
      </c>
    </row>
    <row r="43" spans="1:36" ht="14.4">
      <c r="A43" s="159" t="s">
        <v>92</v>
      </c>
      <c r="B43" s="159" t="s">
        <v>61</v>
      </c>
      <c r="C43" s="168" t="s">
        <v>62</v>
      </c>
      <c r="D43" s="176">
        <v>100</v>
      </c>
      <c r="E43" s="176">
        <v>79.248879444938098</v>
      </c>
      <c r="F43" s="176">
        <v>48.359849175369298</v>
      </c>
      <c r="G43" s="176">
        <v>22.409362273888899</v>
      </c>
      <c r="H43" s="176">
        <v>3.2062953055868602</v>
      </c>
      <c r="I43" s="176">
        <v>1.1608629201134799</v>
      </c>
      <c r="J43" s="176">
        <v>1.1608629201134799</v>
      </c>
      <c r="K43" s="176">
        <v>1.1608629201134799</v>
      </c>
      <c r="L43" s="176">
        <v>1.1608629201134799</v>
      </c>
      <c r="M43" s="176">
        <v>1.1608629201134799</v>
      </c>
      <c r="N43" s="176">
        <v>1.1608629201134799</v>
      </c>
      <c r="O43" s="176">
        <v>1.1608629201134799</v>
      </c>
      <c r="P43" s="177">
        <v>1499.6</v>
      </c>
      <c r="Q43" s="177">
        <v>958.2</v>
      </c>
      <c r="R43" s="177">
        <v>1507.9</v>
      </c>
      <c r="S43" s="178">
        <f t="shared" ref="S43:S45" si="22">P43/(P43-Q43)</f>
        <v>2.76985592907277</v>
      </c>
      <c r="T43" s="178">
        <f t="shared" ref="T43:T45" si="23">R43/(R43-Q43)</f>
        <v>2.7431326177915198</v>
      </c>
      <c r="U43" s="179">
        <f t="shared" ref="U43:U45" si="24">P43/(R43-Q43)</f>
        <v>2.7280334728033502</v>
      </c>
    </row>
    <row r="44" spans="1:36" ht="14.4">
      <c r="A44" s="159" t="s">
        <v>92</v>
      </c>
      <c r="B44" s="159" t="s">
        <v>61</v>
      </c>
      <c r="C44" s="168" t="s">
        <v>79</v>
      </c>
      <c r="D44" s="176">
        <v>100</v>
      </c>
      <c r="E44" s="176">
        <v>100</v>
      </c>
      <c r="F44" s="176">
        <v>98.037567108959905</v>
      </c>
      <c r="G44" s="176">
        <v>75.7291666666667</v>
      </c>
      <c r="H44" s="176">
        <v>23.796906728977198</v>
      </c>
      <c r="I44" s="176">
        <v>2.5733504409023902</v>
      </c>
      <c r="J44" s="176">
        <v>2.3425373445714901</v>
      </c>
      <c r="K44" s="176">
        <v>2.3425373445714901</v>
      </c>
      <c r="L44" s="176">
        <v>2.3425373445714901</v>
      </c>
      <c r="M44" s="176">
        <v>2.3425373445714901</v>
      </c>
      <c r="N44" s="176">
        <v>2.3425373445714901</v>
      </c>
      <c r="O44" s="176">
        <v>2.3425373445714901</v>
      </c>
      <c r="P44" s="177">
        <v>1073.7</v>
      </c>
      <c r="Q44" s="177">
        <v>692.2</v>
      </c>
      <c r="R44" s="177">
        <v>1084.3</v>
      </c>
      <c r="S44" s="178">
        <f t="shared" si="22"/>
        <v>2.8144167758846699</v>
      </c>
      <c r="T44" s="178">
        <f t="shared" si="23"/>
        <v>2.7653659780668201</v>
      </c>
      <c r="U44" s="179">
        <f t="shared" si="24"/>
        <v>2.7383320581484298</v>
      </c>
    </row>
    <row r="45" spans="1:36" ht="14.4">
      <c r="A45" s="159" t="s">
        <v>92</v>
      </c>
      <c r="B45" s="159" t="s">
        <v>61</v>
      </c>
      <c r="C45" s="168" t="s">
        <v>63</v>
      </c>
      <c r="D45" s="176">
        <v>100</v>
      </c>
      <c r="E45" s="176">
        <v>100</v>
      </c>
      <c r="F45" s="176">
        <v>100</v>
      </c>
      <c r="G45" s="176">
        <v>100</v>
      </c>
      <c r="H45" s="176">
        <v>100</v>
      </c>
      <c r="I45" s="176">
        <v>15.9987983405973</v>
      </c>
      <c r="J45" s="176">
        <v>5.8437940259727101</v>
      </c>
      <c r="K45" s="176">
        <v>12.6578818537859</v>
      </c>
      <c r="L45" s="176">
        <v>4.8038163425044704</v>
      </c>
      <c r="M45" s="176">
        <v>4.5889553298452803</v>
      </c>
      <c r="N45" s="176">
        <v>4.2487910887944098</v>
      </c>
      <c r="O45" s="176">
        <v>3.6704534683114498</v>
      </c>
      <c r="P45" s="177">
        <v>897.5</v>
      </c>
      <c r="Q45" s="177">
        <v>575.1</v>
      </c>
      <c r="R45" s="177">
        <v>906.7</v>
      </c>
      <c r="S45" s="178">
        <f t="shared" si="22"/>
        <v>2.7838089330024798</v>
      </c>
      <c r="T45" s="178">
        <f t="shared" si="23"/>
        <v>2.7343184559710498</v>
      </c>
      <c r="U45" s="179">
        <f t="shared" si="24"/>
        <v>2.7065741857659802</v>
      </c>
    </row>
    <row r="46" spans="1:36">
      <c r="A46" s="159" t="s">
        <v>92</v>
      </c>
      <c r="B46" s="159" t="s">
        <v>82</v>
      </c>
      <c r="C46" s="168" t="s">
        <v>65</v>
      </c>
      <c r="D46" s="176">
        <v>100</v>
      </c>
      <c r="E46" s="176">
        <v>100</v>
      </c>
      <c r="F46" s="176">
        <v>100</v>
      </c>
      <c r="G46" s="176">
        <v>100</v>
      </c>
      <c r="H46" s="176">
        <v>100</v>
      </c>
      <c r="I46" s="176">
        <v>93.593595596567894</v>
      </c>
      <c r="J46" s="176">
        <v>70.729120198265207</v>
      </c>
      <c r="K46" s="176">
        <v>53.367073818374898</v>
      </c>
      <c r="L46" s="176">
        <v>44.224946008143</v>
      </c>
      <c r="M46" s="176">
        <v>34.685622234023697</v>
      </c>
      <c r="N46" s="176">
        <v>26.4095946185166</v>
      </c>
      <c r="O46" s="176">
        <v>20.063020003540501</v>
      </c>
      <c r="V46" s="188">
        <v>294.85000000000002</v>
      </c>
      <c r="W46" s="188">
        <v>632.4</v>
      </c>
      <c r="X46" s="188">
        <v>818.18</v>
      </c>
      <c r="Y46" s="188">
        <v>300</v>
      </c>
      <c r="Z46" s="196">
        <f>V46/(V46+W46-X46)</f>
        <v>2.7033098010451999</v>
      </c>
      <c r="AA46" s="196">
        <f>Y46/(Y46+W46-X46)</f>
        <v>2.6265102433899501</v>
      </c>
      <c r="AB46" s="196">
        <f>V46/(Y46+W46-X46)</f>
        <v>2.58142181754509</v>
      </c>
    </row>
    <row r="47" spans="1:36" ht="14.4">
      <c r="A47" s="159" t="s">
        <v>92</v>
      </c>
      <c r="B47" s="159" t="s">
        <v>72</v>
      </c>
      <c r="C47" s="168" t="s">
        <v>91</v>
      </c>
      <c r="D47" s="176">
        <v>100</v>
      </c>
      <c r="E47" s="176">
        <v>100</v>
      </c>
      <c r="F47" s="176">
        <v>100</v>
      </c>
      <c r="G47" s="176">
        <v>100</v>
      </c>
      <c r="H47" s="176">
        <v>100</v>
      </c>
      <c r="I47" s="176">
        <v>100</v>
      </c>
      <c r="J47" s="176">
        <v>100</v>
      </c>
      <c r="K47" s="176">
        <v>100</v>
      </c>
      <c r="L47" s="176">
        <v>100</v>
      </c>
      <c r="M47" s="176">
        <v>97.4</v>
      </c>
      <c r="N47" s="176">
        <v>90.2</v>
      </c>
      <c r="O47" s="176">
        <v>78.2</v>
      </c>
      <c r="V47" s="188"/>
      <c r="W47" s="188"/>
      <c r="X47" s="188"/>
      <c r="Y47" s="188"/>
    </row>
    <row r="48" spans="1:36" ht="14.4">
      <c r="A48" s="159" t="s">
        <v>92</v>
      </c>
      <c r="B48" s="159" t="s">
        <v>66</v>
      </c>
      <c r="C48" s="168" t="s">
        <v>62</v>
      </c>
      <c r="D48" s="176">
        <v>100</v>
      </c>
      <c r="E48" s="176">
        <v>100</v>
      </c>
      <c r="F48" s="176">
        <v>95.413957186355702</v>
      </c>
      <c r="G48" s="176">
        <v>83.648148879171899</v>
      </c>
      <c r="H48" s="176">
        <v>53.292351135263502</v>
      </c>
      <c r="I48" s="176">
        <v>32.055164073470301</v>
      </c>
      <c r="J48" s="176">
        <v>23.443185190451501</v>
      </c>
      <c r="K48" s="176">
        <v>18.6628392776935</v>
      </c>
      <c r="L48" s="176">
        <v>16.439530218911301</v>
      </c>
      <c r="M48" s="176">
        <v>13.5248385692075</v>
      </c>
      <c r="N48" s="176">
        <v>10.5017690002766</v>
      </c>
      <c r="O48" s="176">
        <v>7.4739355632115796</v>
      </c>
      <c r="P48" s="177">
        <v>840.7</v>
      </c>
      <c r="Q48" s="177">
        <v>547.1</v>
      </c>
      <c r="R48" s="177">
        <v>853.6</v>
      </c>
      <c r="S48" s="178">
        <f t="shared" ref="S48" si="25">P48/(P48-Q48)</f>
        <v>2.86341961852861</v>
      </c>
      <c r="T48" s="178">
        <f t="shared" ref="T48" si="26">R48/(R48-Q48)</f>
        <v>2.7849918433931502</v>
      </c>
      <c r="U48" s="179">
        <f t="shared" ref="U48" si="27">P48/(R48-Q48)</f>
        <v>2.7429037520391502</v>
      </c>
      <c r="V48" s="188"/>
      <c r="W48" s="188"/>
      <c r="X48" s="188"/>
      <c r="Y48" s="188"/>
      <c r="AG48" s="191">
        <v>1304.3</v>
      </c>
      <c r="AH48" s="191">
        <v>1243.5999999999999</v>
      </c>
      <c r="AI48" s="184">
        <f>100*AJ48/(100+AJ48)</f>
        <v>4.6538373073679402</v>
      </c>
      <c r="AJ48" s="183">
        <f>100*(AG48-AH48)/AH48</f>
        <v>4.8809906722418797</v>
      </c>
    </row>
    <row r="49" spans="1:36" ht="14.4">
      <c r="A49" s="159" t="s">
        <v>92</v>
      </c>
      <c r="B49" s="159" t="s">
        <v>67</v>
      </c>
      <c r="C49" s="168" t="s">
        <v>68</v>
      </c>
      <c r="D49" s="176">
        <v>100</v>
      </c>
      <c r="E49" s="176">
        <v>100</v>
      </c>
      <c r="F49" s="176">
        <v>100</v>
      </c>
      <c r="G49" s="176">
        <v>100</v>
      </c>
      <c r="H49" s="176">
        <v>96.477572031584202</v>
      </c>
      <c r="I49" s="176">
        <v>67.045423462632996</v>
      </c>
      <c r="J49" s="176">
        <v>47.3470804829117</v>
      </c>
      <c r="K49" s="176">
        <v>37.212801707415402</v>
      </c>
      <c r="L49" s="176">
        <v>32.405709309563001</v>
      </c>
      <c r="M49" s="176">
        <v>25.442578638762999</v>
      </c>
      <c r="N49" s="176">
        <v>19.095311151447898</v>
      </c>
      <c r="O49" s="176">
        <v>12.0610257703232</v>
      </c>
      <c r="V49" s="188">
        <v>294.85000000000002</v>
      </c>
      <c r="W49" s="188">
        <v>642.6</v>
      </c>
      <c r="X49" s="188">
        <v>829.14</v>
      </c>
      <c r="Y49" s="188">
        <v>300</v>
      </c>
      <c r="Z49" s="196">
        <f>V49/(V49+W49-X49)</f>
        <v>2.72227864463115</v>
      </c>
      <c r="AA49" s="196">
        <f>Y49/(Y49+W49-X49)</f>
        <v>2.6441036488630298</v>
      </c>
      <c r="AB49" s="196">
        <f>V49/(Y49+W49-X49)</f>
        <v>2.5987132028908899</v>
      </c>
      <c r="AG49" s="191">
        <v>601.29999999999995</v>
      </c>
      <c r="AH49" s="191">
        <v>567.85</v>
      </c>
      <c r="AI49" s="184">
        <f>100*AJ49/(100+AJ49)</f>
        <v>5.5629469482787197</v>
      </c>
      <c r="AJ49" s="183">
        <f>100*(AG49-AH49)/AH49</f>
        <v>5.8906401338381498</v>
      </c>
    </row>
    <row r="50" spans="1:36">
      <c r="A50" s="159" t="s">
        <v>93</v>
      </c>
      <c r="B50" s="159" t="s">
        <v>94</v>
      </c>
      <c r="C50" s="168" t="s">
        <v>91</v>
      </c>
      <c r="D50" s="176">
        <v>100</v>
      </c>
      <c r="E50" s="176">
        <v>100</v>
      </c>
      <c r="F50" s="176">
        <v>100</v>
      </c>
      <c r="G50" s="176">
        <v>100</v>
      </c>
      <c r="H50" s="176">
        <v>98.122159585135705</v>
      </c>
      <c r="I50" s="176">
        <v>53.698742219503004</v>
      </c>
      <c r="J50" s="176">
        <v>30.769230769230798</v>
      </c>
      <c r="K50" s="176">
        <v>22.3196420042912</v>
      </c>
      <c r="L50" s="176">
        <v>18.599937319475899</v>
      </c>
      <c r="M50" s="176">
        <v>14.450283007127499</v>
      </c>
      <c r="N50" s="176">
        <v>11.3020282557548</v>
      </c>
      <c r="O50" s="176">
        <v>8.5468771481273809</v>
      </c>
      <c r="AG50" s="191">
        <v>588.79999999999995</v>
      </c>
      <c r="AH50" s="191">
        <v>554.15</v>
      </c>
      <c r="AI50" s="184">
        <f>100*AJ50/(100+AJ50)</f>
        <v>5.8848505434782599</v>
      </c>
      <c r="AJ50" s="183">
        <f>100*(AG50-AH50)/AH50</f>
        <v>6.25281963367319</v>
      </c>
    </row>
    <row r="51" spans="1:36" ht="14.4">
      <c r="A51" s="159" t="s">
        <v>95</v>
      </c>
      <c r="B51" s="159" t="s">
        <v>61</v>
      </c>
      <c r="C51" s="168" t="s">
        <v>79</v>
      </c>
      <c r="D51" s="176">
        <v>100</v>
      </c>
      <c r="E51" s="176">
        <v>100</v>
      </c>
      <c r="F51" s="176">
        <v>100</v>
      </c>
      <c r="G51" s="176">
        <v>79.426666666666705</v>
      </c>
      <c r="H51" s="176">
        <v>23.62</v>
      </c>
      <c r="I51" s="176">
        <v>4.0166666666666702</v>
      </c>
      <c r="J51" s="176">
        <v>0.68666666666666698</v>
      </c>
      <c r="K51" s="176">
        <v>0.53666666666666896</v>
      </c>
      <c r="L51" s="176">
        <v>0.53666666666666896</v>
      </c>
      <c r="M51" s="176">
        <v>0.53666666666666896</v>
      </c>
      <c r="N51" s="176">
        <v>0.53666666666666896</v>
      </c>
      <c r="O51" s="176">
        <v>0.53666666666666896</v>
      </c>
      <c r="AG51" s="191"/>
      <c r="AH51" s="191"/>
    </row>
    <row r="52" spans="1:36" ht="14.4">
      <c r="A52" s="159" t="s">
        <v>95</v>
      </c>
      <c r="B52" s="159" t="s">
        <v>61</v>
      </c>
      <c r="C52" s="168" t="s">
        <v>63</v>
      </c>
      <c r="D52" s="176">
        <v>100</v>
      </c>
      <c r="E52" s="176">
        <v>100</v>
      </c>
      <c r="F52" s="176">
        <v>100</v>
      </c>
      <c r="G52" s="176">
        <v>100</v>
      </c>
      <c r="H52" s="176">
        <v>98.037499999999994</v>
      </c>
      <c r="I52" s="176">
        <v>23.737500000000001</v>
      </c>
      <c r="J52" s="176">
        <v>3.7416666666666698</v>
      </c>
      <c r="K52" s="176">
        <v>1.63333333333333</v>
      </c>
      <c r="L52" s="176">
        <v>1.2666666666666599</v>
      </c>
      <c r="M52" s="176">
        <v>1.2666666666666599</v>
      </c>
      <c r="N52" s="176">
        <v>1.2666666666666599</v>
      </c>
      <c r="O52" s="176">
        <v>1.2666666666666599</v>
      </c>
      <c r="AG52" s="191"/>
      <c r="AH52" s="191"/>
    </row>
    <row r="53" spans="1:36">
      <c r="A53" s="159" t="s">
        <v>95</v>
      </c>
      <c r="B53" s="159" t="s">
        <v>82</v>
      </c>
      <c r="C53" s="168" t="s">
        <v>65</v>
      </c>
      <c r="D53" s="176">
        <v>100</v>
      </c>
      <c r="E53" s="176">
        <v>100</v>
      </c>
      <c r="F53" s="176">
        <v>100</v>
      </c>
      <c r="G53" s="176">
        <v>100</v>
      </c>
      <c r="H53" s="176">
        <v>100</v>
      </c>
      <c r="I53" s="176">
        <v>99.84</v>
      </c>
      <c r="J53" s="176">
        <v>82.034999999999997</v>
      </c>
      <c r="K53" s="176">
        <v>61.365000000000002</v>
      </c>
      <c r="L53" s="176">
        <v>48.57</v>
      </c>
      <c r="M53" s="176">
        <v>30.76</v>
      </c>
      <c r="N53" s="176">
        <v>18.524999999999999</v>
      </c>
      <c r="O53" s="176">
        <v>11.77</v>
      </c>
      <c r="AG53" s="191"/>
      <c r="AH53" s="191"/>
    </row>
    <row r="54" spans="1:36" ht="14.4">
      <c r="A54" s="159" t="s">
        <v>95</v>
      </c>
      <c r="B54" s="157" t="s">
        <v>72</v>
      </c>
      <c r="C54" s="168" t="s">
        <v>91</v>
      </c>
      <c r="D54" s="176">
        <v>100</v>
      </c>
      <c r="E54" s="176">
        <v>100</v>
      </c>
      <c r="F54" s="176">
        <v>100</v>
      </c>
      <c r="G54" s="176">
        <v>100</v>
      </c>
      <c r="H54" s="176">
        <v>100</v>
      </c>
      <c r="I54" s="176">
        <v>100</v>
      </c>
      <c r="J54" s="176">
        <v>100</v>
      </c>
      <c r="K54" s="176">
        <v>100</v>
      </c>
      <c r="L54" s="176">
        <v>100</v>
      </c>
      <c r="M54" s="176">
        <v>97.4</v>
      </c>
      <c r="N54" s="176">
        <v>90.2</v>
      </c>
      <c r="O54" s="176">
        <v>78.2</v>
      </c>
      <c r="AG54" s="191"/>
      <c r="AH54" s="191"/>
    </row>
    <row r="55" spans="1:36" ht="14.4">
      <c r="A55" s="159" t="s">
        <v>95</v>
      </c>
      <c r="B55" s="159" t="s">
        <v>66</v>
      </c>
      <c r="C55" s="168" t="s">
        <v>96</v>
      </c>
      <c r="D55" s="176">
        <v>100</v>
      </c>
      <c r="E55" s="176">
        <v>100</v>
      </c>
      <c r="F55" s="176">
        <v>100</v>
      </c>
      <c r="G55" s="176">
        <v>95.403681847380696</v>
      </c>
      <c r="H55" s="176">
        <v>70.922845793101601</v>
      </c>
      <c r="I55" s="176">
        <v>26.2313111796756</v>
      </c>
      <c r="J55" s="176">
        <v>18.670139824994099</v>
      </c>
      <c r="K55" s="176">
        <v>15.2530437980742</v>
      </c>
      <c r="L55" s="176">
        <v>13.337980575609</v>
      </c>
      <c r="M55" s="176">
        <v>10.3716920122351</v>
      </c>
      <c r="N55" s="176">
        <v>7.4989307598344999</v>
      </c>
      <c r="O55" s="176">
        <v>5.1864596750841097</v>
      </c>
      <c r="P55" s="177">
        <v>1022.3</v>
      </c>
      <c r="Q55" s="177">
        <v>666.7</v>
      </c>
      <c r="R55" s="177">
        <v>1039.45</v>
      </c>
      <c r="S55" s="178">
        <f t="shared" ref="S55" si="28">P55/(P55-Q55)</f>
        <v>2.8748593925759298</v>
      </c>
      <c r="T55" s="178">
        <f t="shared" ref="T55" si="29">R55/(R55-Q55)</f>
        <v>2.78859825620389</v>
      </c>
      <c r="U55" s="179">
        <f t="shared" ref="U55" si="30">P55/(R55-Q55)</f>
        <v>2.7425888665325302</v>
      </c>
      <c r="AG55" s="191">
        <v>1001.56666666667</v>
      </c>
      <c r="AH55" s="191">
        <v>957.1</v>
      </c>
      <c r="AI55" s="184">
        <f t="shared" ref="AI55:AI56" si="31">100*AJ55/(100+AJ55)</f>
        <v>4.4397111192468302</v>
      </c>
      <c r="AJ55" s="183">
        <f t="shared" ref="AJ55:AJ56" si="32">100*(AG55-AH55)/AH55</f>
        <v>4.6459791731971603</v>
      </c>
    </row>
    <row r="56" spans="1:36" ht="14.4">
      <c r="A56" s="159" t="s">
        <v>95</v>
      </c>
      <c r="B56" s="159" t="s">
        <v>67</v>
      </c>
      <c r="C56" s="168" t="s">
        <v>97</v>
      </c>
      <c r="D56" s="176">
        <v>100</v>
      </c>
      <c r="E56" s="176">
        <v>100</v>
      </c>
      <c r="F56" s="176">
        <v>100</v>
      </c>
      <c r="G56" s="176">
        <v>100</v>
      </c>
      <c r="H56" s="176">
        <v>100</v>
      </c>
      <c r="I56" s="176">
        <v>84.767233633466006</v>
      </c>
      <c r="J56" s="176">
        <v>59.795547613357499</v>
      </c>
      <c r="K56" s="176">
        <v>44.125173050139303</v>
      </c>
      <c r="L56" s="176">
        <v>35.677500355661998</v>
      </c>
      <c r="M56" s="176">
        <v>24.865460871911999</v>
      </c>
      <c r="N56" s="176">
        <v>17.067525948208001</v>
      </c>
      <c r="O56" s="176">
        <v>12.0151866347161</v>
      </c>
      <c r="V56" s="188">
        <v>287.05</v>
      </c>
      <c r="W56" s="188">
        <v>637.04999999999995</v>
      </c>
      <c r="X56" s="188">
        <v>823.42499999999995</v>
      </c>
      <c r="Y56" s="188">
        <v>300</v>
      </c>
      <c r="Z56" s="196">
        <f>V56/(V56+W56-X56)</f>
        <v>2.85125403526198</v>
      </c>
      <c r="AA56" s="196">
        <f>Y56/(Y56+W56-X56)</f>
        <v>2.6402640264026398</v>
      </c>
      <c r="AB56" s="196">
        <f>V56/(Y56+W56-X56)</f>
        <v>2.52629262926293</v>
      </c>
      <c r="AG56" s="191">
        <v>601.20000000000005</v>
      </c>
      <c r="AH56" s="191">
        <v>561.06666666666695</v>
      </c>
      <c r="AI56" s="184">
        <f t="shared" si="31"/>
        <v>6.67553781326232</v>
      </c>
      <c r="AJ56" s="183">
        <f t="shared" si="32"/>
        <v>7.1530418250950101</v>
      </c>
    </row>
    <row r="57" spans="1:36" ht="14.4">
      <c r="A57" s="159" t="s">
        <v>98</v>
      </c>
      <c r="B57" s="159" t="s">
        <v>61</v>
      </c>
      <c r="C57" s="157" t="s">
        <v>62</v>
      </c>
      <c r="D57" s="176">
        <v>100</v>
      </c>
      <c r="E57" s="176">
        <v>93.5</v>
      </c>
      <c r="F57" s="176">
        <v>66.400000000000006</v>
      </c>
      <c r="G57" s="176">
        <v>28.4</v>
      </c>
      <c r="H57" s="176">
        <v>1.7</v>
      </c>
      <c r="I57" s="176">
        <v>0.8</v>
      </c>
      <c r="J57" s="176">
        <v>0.8</v>
      </c>
      <c r="K57" s="176">
        <v>0.8</v>
      </c>
      <c r="L57" s="176">
        <v>0.8</v>
      </c>
      <c r="M57" s="176">
        <v>0.8</v>
      </c>
      <c r="N57" s="176">
        <v>0.8</v>
      </c>
      <c r="O57" s="176">
        <v>0.8</v>
      </c>
      <c r="P57" s="177">
        <v>1983.2</v>
      </c>
      <c r="Q57" s="177">
        <v>1267.4000000000001</v>
      </c>
      <c r="R57" s="177">
        <v>2001.6</v>
      </c>
      <c r="S57" s="178">
        <f t="shared" ref="S57:S58" si="33">P57/(P57-Q57)</f>
        <v>2.77060631461302</v>
      </c>
      <c r="T57" s="178">
        <f t="shared" ref="T57:T58" si="34">R57/(R57-Q57)</f>
        <v>2.7262326341596301</v>
      </c>
      <c r="U57" s="179">
        <f t="shared" ref="U57:U58" si="35">P57/(R57-Q57)</f>
        <v>2.70117134295832</v>
      </c>
    </row>
    <row r="58" spans="1:36" ht="14.4">
      <c r="A58" s="159" t="s">
        <v>98</v>
      </c>
      <c r="B58" s="159" t="s">
        <v>61</v>
      </c>
      <c r="C58" s="168" t="s">
        <v>63</v>
      </c>
      <c r="D58" s="176">
        <v>100</v>
      </c>
      <c r="E58" s="176">
        <v>100</v>
      </c>
      <c r="F58" s="176">
        <v>100</v>
      </c>
      <c r="G58" s="176">
        <v>100</v>
      </c>
      <c r="H58" s="176">
        <v>94.446666666666701</v>
      </c>
      <c r="I58" s="176">
        <v>5.9733333333333301</v>
      </c>
      <c r="J58" s="176">
        <v>0.35999999999999899</v>
      </c>
      <c r="K58" s="176">
        <v>0.35999999999999899</v>
      </c>
      <c r="L58" s="176">
        <v>0.35999999999999899</v>
      </c>
      <c r="M58" s="176">
        <v>0.35999999999999899</v>
      </c>
      <c r="N58" s="176">
        <v>0.35999999999999899</v>
      </c>
      <c r="O58" s="176">
        <v>0.35999999999999899</v>
      </c>
      <c r="P58" s="177">
        <v>1464.6</v>
      </c>
      <c r="Q58" s="177">
        <v>932.5</v>
      </c>
      <c r="R58" s="177">
        <v>1478.5</v>
      </c>
      <c r="S58" s="178">
        <f t="shared" si="33"/>
        <v>2.7524901334335699</v>
      </c>
      <c r="T58" s="178">
        <f t="shared" si="34"/>
        <v>2.7078754578754598</v>
      </c>
      <c r="U58" s="179">
        <f t="shared" si="35"/>
        <v>2.68241758241758</v>
      </c>
    </row>
    <row r="59" spans="1:36" ht="14.4">
      <c r="A59" s="159" t="s">
        <v>98</v>
      </c>
      <c r="B59" s="159" t="s">
        <v>64</v>
      </c>
      <c r="C59" s="168" t="s">
        <v>65</v>
      </c>
      <c r="D59" s="176">
        <v>100</v>
      </c>
      <c r="E59" s="176">
        <v>100</v>
      </c>
      <c r="F59" s="176">
        <v>100</v>
      </c>
      <c r="G59" s="176">
        <v>100</v>
      </c>
      <c r="H59" s="176">
        <v>100</v>
      </c>
      <c r="I59" s="176">
        <v>98.066666666666706</v>
      </c>
      <c r="J59" s="176">
        <v>62.4</v>
      </c>
      <c r="K59" s="176">
        <v>37.266666666666701</v>
      </c>
      <c r="L59" s="176">
        <v>26.441666666666698</v>
      </c>
      <c r="M59" s="176">
        <v>16.7083333333333</v>
      </c>
      <c r="N59" s="176">
        <v>11.675000000000001</v>
      </c>
      <c r="O59" s="176">
        <v>8.4500000000000206</v>
      </c>
      <c r="V59" s="188">
        <v>296.10000000000002</v>
      </c>
      <c r="W59" s="188">
        <v>641.5</v>
      </c>
      <c r="X59" s="188">
        <v>829</v>
      </c>
      <c r="Y59" s="188">
        <v>300</v>
      </c>
      <c r="Z59" s="196">
        <f>V59/(V59+W59-X59)</f>
        <v>2.7265193370165699</v>
      </c>
      <c r="AA59" s="196">
        <f>Y59/(Y59+W59-X59)</f>
        <v>2.6666666666666701</v>
      </c>
      <c r="AB59" s="196">
        <f>V59/(Y59+W59-X59)</f>
        <v>2.6320000000000001</v>
      </c>
    </row>
    <row r="60" spans="1:36">
      <c r="A60" s="159" t="s">
        <v>98</v>
      </c>
      <c r="B60" s="159" t="s">
        <v>99</v>
      </c>
      <c r="C60" s="168" t="s">
        <v>91</v>
      </c>
      <c r="D60" s="176">
        <v>100</v>
      </c>
      <c r="E60" s="176">
        <v>100</v>
      </c>
      <c r="F60" s="176">
        <v>100</v>
      </c>
      <c r="G60" s="176">
        <v>100</v>
      </c>
      <c r="H60" s="176">
        <v>100</v>
      </c>
      <c r="I60" s="176">
        <v>100</v>
      </c>
      <c r="J60" s="176">
        <v>100</v>
      </c>
      <c r="K60" s="176">
        <v>100</v>
      </c>
      <c r="L60" s="176">
        <v>100</v>
      </c>
      <c r="M60" s="176">
        <v>97.4</v>
      </c>
      <c r="N60" s="176">
        <v>90.2</v>
      </c>
      <c r="O60" s="176">
        <v>78.2</v>
      </c>
      <c r="V60" s="188"/>
      <c r="W60" s="188"/>
      <c r="X60" s="188"/>
      <c r="Y60" s="188"/>
    </row>
    <row r="61" spans="1:36">
      <c r="A61" s="159" t="s">
        <v>98</v>
      </c>
      <c r="B61" s="159" t="s">
        <v>74</v>
      </c>
      <c r="C61" s="168" t="s">
        <v>62</v>
      </c>
      <c r="D61" s="176">
        <v>100</v>
      </c>
      <c r="E61" s="176">
        <v>100</v>
      </c>
      <c r="F61" s="176">
        <v>98.655621944595296</v>
      </c>
      <c r="G61" s="176">
        <v>87.221618685497006</v>
      </c>
      <c r="H61" s="176">
        <v>52.654807170016298</v>
      </c>
      <c r="I61" s="176">
        <v>22.4198804997284</v>
      </c>
      <c r="J61" s="176">
        <v>16.139326453014601</v>
      </c>
      <c r="K61" s="176">
        <v>13.1178707224335</v>
      </c>
      <c r="L61" s="176">
        <v>11.4272134709397</v>
      </c>
      <c r="M61" s="176">
        <v>8.8810429114611402</v>
      </c>
      <c r="N61" s="176">
        <v>6.24660510592068</v>
      </c>
      <c r="O61" s="176">
        <v>3.6732753938076899</v>
      </c>
      <c r="P61" s="177">
        <v>1144</v>
      </c>
      <c r="Q61" s="177">
        <v>743.3</v>
      </c>
      <c r="R61" s="177">
        <v>1160</v>
      </c>
      <c r="S61" s="178">
        <f t="shared" ref="S61" si="36">P61/(P61-Q61)</f>
        <v>2.8550037434489601</v>
      </c>
      <c r="T61" s="178">
        <f t="shared" ref="T61" si="37">R61/(R61-Q61)</f>
        <v>2.7837772978161701</v>
      </c>
      <c r="U61" s="179">
        <f t="shared" ref="U61" si="38">P61/(R61-Q61)</f>
        <v>2.7453803695704302</v>
      </c>
      <c r="V61" s="188"/>
      <c r="W61" s="188"/>
      <c r="X61" s="188"/>
      <c r="Y61" s="188"/>
      <c r="AG61" s="191">
        <v>1540.1</v>
      </c>
      <c r="AH61" s="191">
        <v>1472.8</v>
      </c>
      <c r="AI61" s="184">
        <f t="shared" ref="AI61:AI63" si="39">100*AJ61/(100+AJ61)</f>
        <v>4.3698461138887099</v>
      </c>
      <c r="AJ61" s="183">
        <f t="shared" ref="AJ61:AJ63" si="40">100*(AG61-AH61)/AH61</f>
        <v>4.5695274307441602</v>
      </c>
    </row>
    <row r="62" spans="1:36">
      <c r="A62" s="159" t="s">
        <v>98</v>
      </c>
      <c r="B62" s="159" t="s">
        <v>74</v>
      </c>
      <c r="C62" s="168" t="s">
        <v>63</v>
      </c>
      <c r="D62" s="176">
        <v>100</v>
      </c>
      <c r="E62" s="176">
        <v>100</v>
      </c>
      <c r="F62" s="176">
        <v>100</v>
      </c>
      <c r="G62" s="176">
        <v>100</v>
      </c>
      <c r="H62" s="176">
        <v>97.465866776996293</v>
      </c>
      <c r="I62" s="176">
        <v>42.107985105502699</v>
      </c>
      <c r="J62" s="176">
        <v>19.331816301199801</v>
      </c>
      <c r="K62" s="176">
        <v>14.6772858916011</v>
      </c>
      <c r="L62" s="176">
        <v>12.639635912287901</v>
      </c>
      <c r="M62" s="176">
        <v>9.2676872155564496</v>
      </c>
      <c r="N62" s="176">
        <v>7.0645428216797503</v>
      </c>
      <c r="O62" s="176">
        <v>4.7579644187008698</v>
      </c>
      <c r="V62" s="188"/>
      <c r="W62" s="188"/>
      <c r="X62" s="188"/>
      <c r="Y62" s="188"/>
      <c r="AG62" s="191">
        <v>1000</v>
      </c>
      <c r="AH62" s="191">
        <v>966.7</v>
      </c>
      <c r="AI62" s="184">
        <f t="shared" si="39"/>
        <v>3.3299999999999899</v>
      </c>
      <c r="AJ62" s="183">
        <f t="shared" si="40"/>
        <v>3.4447088031447102</v>
      </c>
    </row>
    <row r="63" spans="1:36">
      <c r="A63" s="159" t="s">
        <v>98</v>
      </c>
      <c r="B63" s="159" t="s">
        <v>76</v>
      </c>
      <c r="C63" s="168" t="s">
        <v>65</v>
      </c>
      <c r="D63" s="176">
        <v>100</v>
      </c>
      <c r="E63" s="176">
        <v>100</v>
      </c>
      <c r="F63" s="176">
        <v>100</v>
      </c>
      <c r="G63" s="176">
        <v>100</v>
      </c>
      <c r="H63" s="176">
        <v>100</v>
      </c>
      <c r="I63" s="176">
        <v>95.533769063180799</v>
      </c>
      <c r="J63" s="176">
        <v>62.327523602033402</v>
      </c>
      <c r="K63" s="176">
        <v>44.6623093681917</v>
      </c>
      <c r="L63" s="176">
        <v>35.221496005809698</v>
      </c>
      <c r="M63" s="176">
        <v>25.0726216412491</v>
      </c>
      <c r="N63" s="176">
        <v>15.6136528685548</v>
      </c>
      <c r="O63" s="176">
        <v>10.675381263616501</v>
      </c>
      <c r="V63" s="188">
        <v>295.2</v>
      </c>
      <c r="W63" s="188">
        <v>630.58000000000004</v>
      </c>
      <c r="X63" s="188">
        <v>822.87</v>
      </c>
      <c r="Y63" s="188">
        <v>300</v>
      </c>
      <c r="Z63" s="196">
        <f>V63/(V63+W63-X63)</f>
        <v>2.8685258964143401</v>
      </c>
      <c r="AA63" s="196">
        <f>Y63/(Y63+W63-X63)</f>
        <v>2.7852567078265702</v>
      </c>
      <c r="AB63" s="196">
        <f>V63/(Y63+W63-X63)</f>
        <v>2.7406926005013501</v>
      </c>
      <c r="AG63" s="191">
        <v>600</v>
      </c>
      <c r="AH63" s="191">
        <v>550.20000000000005</v>
      </c>
      <c r="AI63" s="184">
        <f t="shared" si="39"/>
        <v>8.2999999999999901</v>
      </c>
      <c r="AJ63" s="183">
        <f t="shared" si="40"/>
        <v>9.0512540894220201</v>
      </c>
    </row>
    <row r="64" spans="1:36">
      <c r="A64" s="159" t="s">
        <v>100</v>
      </c>
      <c r="B64" s="159" t="s">
        <v>81</v>
      </c>
      <c r="C64" s="168" t="s">
        <v>62</v>
      </c>
      <c r="D64" s="176">
        <v>100</v>
      </c>
      <c r="E64" s="176">
        <v>100</v>
      </c>
      <c r="F64" s="176">
        <v>100</v>
      </c>
      <c r="G64" s="176">
        <v>72.3948321790091</v>
      </c>
      <c r="H64" s="176">
        <v>5.9698881193393696</v>
      </c>
      <c r="I64" s="176">
        <v>6.6620493695609198E-2</v>
      </c>
      <c r="J64" s="176">
        <v>0</v>
      </c>
      <c r="K64" s="176">
        <v>0</v>
      </c>
      <c r="L64" s="176">
        <v>0</v>
      </c>
      <c r="M64" s="176">
        <v>0</v>
      </c>
      <c r="N64" s="176">
        <v>0</v>
      </c>
      <c r="O64" s="176">
        <v>0</v>
      </c>
      <c r="P64" s="177">
        <v>1581.9</v>
      </c>
      <c r="Q64" s="177">
        <v>1001.6</v>
      </c>
      <c r="R64" s="177">
        <v>1590.9</v>
      </c>
      <c r="S64" s="178">
        <f t="shared" ref="S64:S66" si="41">P64/(P64-Q64)</f>
        <v>2.7260037911425101</v>
      </c>
      <c r="T64" s="178">
        <f t="shared" ref="T64:T66" si="42">R64/(R64-Q64)</f>
        <v>2.6996436450025501</v>
      </c>
      <c r="U64" s="179">
        <f t="shared" ref="U64:U66" si="43">P64/(R64-Q64)</f>
        <v>2.68437128796878</v>
      </c>
      <c r="AI64" s="183"/>
    </row>
    <row r="65" spans="1:36">
      <c r="A65" s="159" t="s">
        <v>100</v>
      </c>
      <c r="B65" s="159" t="s">
        <v>81</v>
      </c>
      <c r="C65" s="168" t="s">
        <v>63</v>
      </c>
      <c r="D65" s="176">
        <v>100</v>
      </c>
      <c r="E65" s="176">
        <v>100</v>
      </c>
      <c r="F65" s="176">
        <v>100</v>
      </c>
      <c r="G65" s="176">
        <v>100</v>
      </c>
      <c r="H65" s="176">
        <v>80.650000000000006</v>
      </c>
      <c r="I65" s="176">
        <v>1.0388888888888901</v>
      </c>
      <c r="J65" s="176">
        <v>0.18222222222222201</v>
      </c>
      <c r="K65" s="176">
        <v>0.18222222222222201</v>
      </c>
      <c r="L65" s="176">
        <v>0.18222222222222201</v>
      </c>
      <c r="M65" s="176">
        <v>0.18222222222222201</v>
      </c>
      <c r="N65" s="176">
        <v>0.18222222222222201</v>
      </c>
      <c r="O65" s="176">
        <v>0.18222222222222201</v>
      </c>
      <c r="P65" s="177">
        <v>1236.4000000000001</v>
      </c>
      <c r="Q65" s="177">
        <v>778.7</v>
      </c>
      <c r="R65" s="177">
        <v>1242.5</v>
      </c>
      <c r="S65" s="178">
        <f t="shared" si="41"/>
        <v>2.70133275071007</v>
      </c>
      <c r="T65" s="178">
        <f t="shared" si="42"/>
        <v>2.6789564467442899</v>
      </c>
      <c r="U65" s="179">
        <f t="shared" si="43"/>
        <v>2.6658042259594699</v>
      </c>
      <c r="AI65" s="183"/>
    </row>
    <row r="66" spans="1:36">
      <c r="A66" s="159" t="s">
        <v>100</v>
      </c>
      <c r="B66" s="159" t="s">
        <v>81</v>
      </c>
      <c r="C66" s="168" t="s">
        <v>70</v>
      </c>
      <c r="D66" s="176">
        <v>100</v>
      </c>
      <c r="E66" s="176">
        <v>100</v>
      </c>
      <c r="F66" s="176">
        <v>100</v>
      </c>
      <c r="G66" s="176">
        <v>100</v>
      </c>
      <c r="H66" s="176">
        <v>100</v>
      </c>
      <c r="I66" s="176">
        <v>14.695071675211899</v>
      </c>
      <c r="J66" s="176">
        <v>0.74879146175579303</v>
      </c>
      <c r="K66" s="176">
        <v>0.47979491472219099</v>
      </c>
      <c r="L66" s="176">
        <v>0.47979491472219099</v>
      </c>
      <c r="M66" s="176">
        <v>0.47979491472219099</v>
      </c>
      <c r="N66" s="176">
        <v>0.47979491472219099</v>
      </c>
      <c r="O66" s="176">
        <v>0.47979491472219099</v>
      </c>
      <c r="P66" s="177">
        <v>336.9</v>
      </c>
      <c r="Q66" s="177">
        <v>212.8</v>
      </c>
      <c r="R66" s="177">
        <v>338.9</v>
      </c>
      <c r="S66" s="178">
        <f t="shared" si="41"/>
        <v>2.71474617244158</v>
      </c>
      <c r="T66" s="178">
        <f t="shared" si="42"/>
        <v>2.6875495638382199</v>
      </c>
      <c r="U66" s="179">
        <f t="shared" si="43"/>
        <v>2.6716891356066599</v>
      </c>
      <c r="AI66" s="183"/>
    </row>
    <row r="67" spans="1:36">
      <c r="A67" s="159" t="s">
        <v>100</v>
      </c>
      <c r="B67" s="159" t="s">
        <v>82</v>
      </c>
      <c r="C67" s="168" t="s">
        <v>71</v>
      </c>
      <c r="D67" s="176">
        <v>100</v>
      </c>
      <c r="E67" s="176">
        <v>100</v>
      </c>
      <c r="F67" s="176">
        <v>100</v>
      </c>
      <c r="G67" s="176">
        <v>100</v>
      </c>
      <c r="H67" s="176">
        <v>100</v>
      </c>
      <c r="I67" s="176">
        <v>99.385000000000005</v>
      </c>
      <c r="J67" s="176">
        <v>85.465000000000003</v>
      </c>
      <c r="K67" s="176">
        <v>65.81</v>
      </c>
      <c r="L67" s="176">
        <v>45.96</v>
      </c>
      <c r="M67" s="176">
        <v>21.335000000000001</v>
      </c>
      <c r="N67" s="176">
        <v>12.355</v>
      </c>
      <c r="O67" s="176">
        <v>9.5249999999999897</v>
      </c>
      <c r="V67" s="180">
        <v>296.3</v>
      </c>
      <c r="W67" s="180">
        <v>641.5</v>
      </c>
      <c r="X67" s="180">
        <v>829</v>
      </c>
      <c r="Y67" s="180">
        <v>300</v>
      </c>
      <c r="Z67" s="196">
        <f>V67/(V67+W67-X67)</f>
        <v>2.7233455882353002</v>
      </c>
      <c r="AA67" s="196">
        <f>Y67/(Y67+W67-X67)</f>
        <v>2.6666666666666701</v>
      </c>
      <c r="AB67" s="196">
        <f>V67/(Y67+W67-X67)</f>
        <v>2.6337777777777802</v>
      </c>
      <c r="AI67" s="183"/>
    </row>
    <row r="68" spans="1:36">
      <c r="A68" s="159" t="s">
        <v>100</v>
      </c>
      <c r="B68" s="159" t="s">
        <v>99</v>
      </c>
      <c r="C68" s="168" t="s">
        <v>73</v>
      </c>
      <c r="D68" s="176">
        <v>100</v>
      </c>
      <c r="E68" s="176">
        <v>100</v>
      </c>
      <c r="F68" s="176">
        <v>100</v>
      </c>
      <c r="G68" s="176">
        <v>100</v>
      </c>
      <c r="H68" s="176">
        <v>100</v>
      </c>
      <c r="I68" s="176">
        <v>100</v>
      </c>
      <c r="J68" s="176">
        <v>100</v>
      </c>
      <c r="K68" s="176">
        <v>100</v>
      </c>
      <c r="L68" s="176">
        <v>100</v>
      </c>
      <c r="M68" s="176">
        <v>97.4</v>
      </c>
      <c r="N68" s="176">
        <v>90.2</v>
      </c>
      <c r="O68" s="176">
        <v>78.2</v>
      </c>
      <c r="AI68" s="183"/>
    </row>
    <row r="69" spans="1:36">
      <c r="A69" s="159" t="s">
        <v>100</v>
      </c>
      <c r="B69" s="159" t="s">
        <v>74</v>
      </c>
      <c r="C69" s="168" t="s">
        <v>96</v>
      </c>
      <c r="D69" s="176">
        <v>100</v>
      </c>
      <c r="E69" s="176">
        <v>100</v>
      </c>
      <c r="F69" s="176">
        <v>99.984451432564597</v>
      </c>
      <c r="G69" s="176">
        <v>93.046428384312705</v>
      </c>
      <c r="H69" s="176">
        <v>70.079550745780793</v>
      </c>
      <c r="I69" s="176">
        <v>40.365078548094402</v>
      </c>
      <c r="J69" s="176">
        <v>27.5376533862866</v>
      </c>
      <c r="K69" s="176">
        <v>22.638636150645301</v>
      </c>
      <c r="L69" s="176">
        <v>19.0028719919537</v>
      </c>
      <c r="M69" s="176">
        <v>13.6497007357819</v>
      </c>
      <c r="N69" s="176">
        <v>9.6914462678494093</v>
      </c>
      <c r="O69" s="176">
        <v>7.9727385830571604</v>
      </c>
      <c r="P69" s="177">
        <v>1023.8</v>
      </c>
      <c r="Q69" s="177">
        <v>668.4</v>
      </c>
      <c r="R69" s="177">
        <v>1041.0999999999999</v>
      </c>
      <c r="S69" s="178">
        <f t="shared" ref="S69" si="44">P69/(P69-Q69)</f>
        <v>2.88069780528981</v>
      </c>
      <c r="T69" s="178">
        <f t="shared" ref="T69" si="45">R69/(R69-Q69)</f>
        <v>2.7933995170378298</v>
      </c>
      <c r="U69" s="179">
        <f t="shared" ref="U69" si="46">P69/(R69-Q69)</f>
        <v>2.7469814864502302</v>
      </c>
      <c r="AG69" s="183">
        <v>1002.1</v>
      </c>
      <c r="AH69" s="183">
        <v>957.6</v>
      </c>
      <c r="AI69" s="183">
        <f>100*AJ69/(100-AJ69)</f>
        <v>4.8735078304676396</v>
      </c>
      <c r="AJ69" s="183">
        <f>100*(AG69-AH69)/AH69</f>
        <v>4.6470342522974102</v>
      </c>
    </row>
    <row r="70" spans="1:36">
      <c r="A70" s="159" t="s">
        <v>100</v>
      </c>
      <c r="B70" s="159" t="s">
        <v>76</v>
      </c>
      <c r="C70" s="168" t="s">
        <v>97</v>
      </c>
      <c r="D70" s="176">
        <v>100</v>
      </c>
      <c r="E70" s="176">
        <v>100</v>
      </c>
      <c r="F70" s="176">
        <v>100</v>
      </c>
      <c r="G70" s="176">
        <v>100</v>
      </c>
      <c r="H70" s="176">
        <v>97.812322397070304</v>
      </c>
      <c r="I70" s="176">
        <v>60.802882860164601</v>
      </c>
      <c r="J70" s="176">
        <v>39.699422135739098</v>
      </c>
      <c r="K70" s="176">
        <v>30.710328602273599</v>
      </c>
      <c r="L70" s="176">
        <v>24.458293029622101</v>
      </c>
      <c r="M70" s="176">
        <v>18.2956234874346</v>
      </c>
      <c r="N70" s="176">
        <v>13.558362910297999</v>
      </c>
      <c r="O70" s="176">
        <v>9.9538765583578801</v>
      </c>
      <c r="V70" s="180">
        <v>288.89999999999998</v>
      </c>
      <c r="W70" s="180">
        <v>641.20000000000005</v>
      </c>
      <c r="X70" s="180">
        <v>828.5</v>
      </c>
      <c r="Y70" s="180">
        <v>300</v>
      </c>
      <c r="Z70" s="196">
        <f>V70/(V70+W70-X70)</f>
        <v>2.8435039370078701</v>
      </c>
      <c r="AA70" s="196">
        <f>Y70/(Y70+W70-X70)</f>
        <v>2.6619343389529702</v>
      </c>
      <c r="AB70" s="196">
        <f>V70/(Y70+W70-X70)</f>
        <v>2.56344276841171</v>
      </c>
      <c r="AG70" s="183">
        <v>601.20000000000005</v>
      </c>
      <c r="AH70" s="183">
        <v>561.1</v>
      </c>
      <c r="AI70" s="183">
        <f>100*AJ70/(100-AJ70)</f>
        <v>7.6967370441458796</v>
      </c>
      <c r="AJ70" s="183">
        <f>100*(AG70-AH70)/AH70</f>
        <v>7.1466761718053897</v>
      </c>
    </row>
    <row r="71" spans="1:36">
      <c r="A71" s="159" t="s">
        <v>101</v>
      </c>
      <c r="B71" s="159" t="s">
        <v>81</v>
      </c>
      <c r="C71" s="168" t="s">
        <v>62</v>
      </c>
      <c r="D71" s="176">
        <v>100</v>
      </c>
      <c r="E71" s="176">
        <v>100</v>
      </c>
      <c r="F71" s="176">
        <v>100</v>
      </c>
      <c r="G71" s="176">
        <v>61.4</v>
      </c>
      <c r="H71" s="176">
        <v>15.2</v>
      </c>
      <c r="I71" s="176">
        <v>5.0999999999999996</v>
      </c>
      <c r="J71" s="176">
        <v>0</v>
      </c>
      <c r="K71" s="176">
        <v>0</v>
      </c>
      <c r="L71" s="176">
        <v>0</v>
      </c>
      <c r="M71" s="176">
        <v>0</v>
      </c>
      <c r="N71" s="176">
        <v>0</v>
      </c>
      <c r="O71" s="176">
        <v>0</v>
      </c>
      <c r="P71" s="177">
        <v>1842.9</v>
      </c>
      <c r="Q71" s="177">
        <v>1168.5999999999999</v>
      </c>
      <c r="R71" s="177">
        <v>1856</v>
      </c>
      <c r="S71" s="178">
        <f t="shared" ref="S71:S73" si="47">P71/(P71-Q71)</f>
        <v>2.7330565030401899</v>
      </c>
      <c r="T71" s="178">
        <f t="shared" ref="T71:T73" si="48">R71/(R71-Q71)</f>
        <v>2.7000290951411099</v>
      </c>
      <c r="U71" s="179">
        <f t="shared" ref="U71:U73" si="49">P71/(R71-Q71)</f>
        <v>2.6809717777131201</v>
      </c>
      <c r="AI71" s="183"/>
    </row>
    <row r="72" spans="1:36">
      <c r="A72" s="159" t="s">
        <v>101</v>
      </c>
      <c r="B72" s="159" t="s">
        <v>81</v>
      </c>
      <c r="C72" s="168" t="s">
        <v>63</v>
      </c>
      <c r="D72" s="176">
        <v>100</v>
      </c>
      <c r="E72" s="176">
        <v>100</v>
      </c>
      <c r="F72" s="176">
        <v>100</v>
      </c>
      <c r="G72" s="176">
        <v>100</v>
      </c>
      <c r="H72" s="176">
        <v>68.7</v>
      </c>
      <c r="I72" s="176">
        <v>9.9</v>
      </c>
      <c r="J72" s="176">
        <v>7.8</v>
      </c>
      <c r="K72" s="176">
        <v>0</v>
      </c>
      <c r="L72" s="176">
        <v>0</v>
      </c>
      <c r="M72" s="176">
        <v>0</v>
      </c>
      <c r="N72" s="176">
        <v>0</v>
      </c>
      <c r="O72" s="176">
        <v>0</v>
      </c>
      <c r="P72" s="177">
        <v>1493.9</v>
      </c>
      <c r="Q72" s="177">
        <v>969.2</v>
      </c>
      <c r="R72" s="177">
        <v>1502.3</v>
      </c>
      <c r="S72" s="178">
        <f t="shared" si="47"/>
        <v>2.8471507528111299</v>
      </c>
      <c r="T72" s="178">
        <f t="shared" si="48"/>
        <v>2.81804539486025</v>
      </c>
      <c r="U72" s="179">
        <f t="shared" si="49"/>
        <v>2.8022885012192802</v>
      </c>
      <c r="AI72" s="183"/>
    </row>
    <row r="73" spans="1:36">
      <c r="A73" s="159" t="s">
        <v>101</v>
      </c>
      <c r="B73" s="159" t="s">
        <v>81</v>
      </c>
      <c r="C73" s="168" t="s">
        <v>70</v>
      </c>
      <c r="D73" s="176">
        <v>100</v>
      </c>
      <c r="E73" s="176">
        <v>100</v>
      </c>
      <c r="F73" s="176">
        <v>100</v>
      </c>
      <c r="G73" s="176">
        <v>100</v>
      </c>
      <c r="H73" s="176">
        <v>100</v>
      </c>
      <c r="I73" s="176">
        <v>71.7</v>
      </c>
      <c r="J73" s="176">
        <v>16.7</v>
      </c>
      <c r="K73" s="176">
        <v>8.5</v>
      </c>
      <c r="L73" s="176">
        <v>0</v>
      </c>
      <c r="M73" s="176">
        <v>0</v>
      </c>
      <c r="N73" s="176">
        <v>0</v>
      </c>
      <c r="O73" s="176">
        <v>0</v>
      </c>
      <c r="P73" s="177">
        <v>1086.5</v>
      </c>
      <c r="Q73" s="177">
        <v>701.1</v>
      </c>
      <c r="R73" s="177">
        <v>1095.5</v>
      </c>
      <c r="S73" s="178">
        <f t="shared" si="47"/>
        <v>2.81914893617021</v>
      </c>
      <c r="T73" s="178">
        <f t="shared" si="48"/>
        <v>2.7776369168357</v>
      </c>
      <c r="U73" s="179">
        <f t="shared" si="49"/>
        <v>2.75481744421907</v>
      </c>
      <c r="AI73" s="183"/>
    </row>
    <row r="74" spans="1:36">
      <c r="A74" s="159" t="s">
        <v>101</v>
      </c>
      <c r="B74" s="159" t="s">
        <v>82</v>
      </c>
      <c r="C74" s="168" t="s">
        <v>71</v>
      </c>
      <c r="D74" s="176">
        <v>100</v>
      </c>
      <c r="E74" s="176">
        <v>100</v>
      </c>
      <c r="F74" s="176">
        <v>100</v>
      </c>
      <c r="G74" s="176">
        <v>100</v>
      </c>
      <c r="H74" s="176">
        <v>100</v>
      </c>
      <c r="I74" s="176">
        <v>100</v>
      </c>
      <c r="J74" s="176">
        <v>85.4</v>
      </c>
      <c r="K74" s="176">
        <v>64.2</v>
      </c>
      <c r="L74" s="176">
        <v>50.6</v>
      </c>
      <c r="M74" s="176">
        <v>37.299999999999997</v>
      </c>
      <c r="N74" s="176">
        <v>32.6</v>
      </c>
      <c r="O74" s="176">
        <v>31.4</v>
      </c>
      <c r="V74" s="180">
        <v>296.10000000000002</v>
      </c>
      <c r="W74" s="180">
        <v>641.5</v>
      </c>
      <c r="X74" s="180">
        <v>829</v>
      </c>
      <c r="Y74" s="180">
        <v>300</v>
      </c>
      <c r="Z74" s="196">
        <f>V74/(V74+W74-X74)</f>
        <v>2.7265193370165699</v>
      </c>
      <c r="AA74" s="196">
        <f>Y74/(Y74+W74-X74)</f>
        <v>2.6666666666666701</v>
      </c>
      <c r="AB74" s="196">
        <f>V74/(Y74+W74-X74)</f>
        <v>2.6320000000000001</v>
      </c>
      <c r="AI74" s="183"/>
    </row>
    <row r="75" spans="1:36">
      <c r="A75" s="159" t="s">
        <v>101</v>
      </c>
      <c r="B75" s="159" t="s">
        <v>99</v>
      </c>
      <c r="C75" s="168" t="s">
        <v>73</v>
      </c>
      <c r="D75" s="176">
        <v>100</v>
      </c>
      <c r="E75" s="176">
        <v>100</v>
      </c>
      <c r="F75" s="176">
        <v>100</v>
      </c>
      <c r="G75" s="176">
        <v>100</v>
      </c>
      <c r="H75" s="176">
        <v>100</v>
      </c>
      <c r="I75" s="176">
        <v>100</v>
      </c>
      <c r="J75" s="176">
        <v>100</v>
      </c>
      <c r="K75" s="176">
        <v>100</v>
      </c>
      <c r="L75" s="176">
        <v>100</v>
      </c>
      <c r="M75" s="176">
        <v>97.4</v>
      </c>
      <c r="N75" s="176">
        <v>90.2</v>
      </c>
      <c r="O75" s="176">
        <v>78.2</v>
      </c>
      <c r="AI75" s="183"/>
    </row>
    <row r="76" spans="1:36">
      <c r="A76" s="159" t="s">
        <v>101</v>
      </c>
      <c r="B76" s="159" t="s">
        <v>74</v>
      </c>
      <c r="C76" s="168" t="s">
        <v>96</v>
      </c>
      <c r="D76" s="176">
        <v>100</v>
      </c>
      <c r="E76" s="176">
        <v>100</v>
      </c>
      <c r="F76" s="176">
        <v>100</v>
      </c>
      <c r="G76" s="176">
        <v>88.3</v>
      </c>
      <c r="H76" s="176">
        <v>64.599999999999994</v>
      </c>
      <c r="I76" s="176">
        <v>23.7</v>
      </c>
      <c r="J76" s="176">
        <v>13.8</v>
      </c>
      <c r="K76" s="176">
        <v>11.3</v>
      </c>
      <c r="L76" s="176">
        <v>9.6</v>
      </c>
      <c r="M76" s="176">
        <v>7.6</v>
      </c>
      <c r="N76" s="176">
        <v>5.5</v>
      </c>
      <c r="O76" s="176">
        <v>3.8</v>
      </c>
      <c r="P76" s="177">
        <v>889.5</v>
      </c>
      <c r="Q76" s="177">
        <v>576.6</v>
      </c>
      <c r="R76" s="177">
        <v>900</v>
      </c>
      <c r="S76" s="178">
        <f t="shared" ref="S76" si="50">P76/(P76-Q76)</f>
        <v>2.84276126558006</v>
      </c>
      <c r="T76" s="178">
        <f t="shared" ref="T76" si="51">R76/(R76-Q76)</f>
        <v>2.7829313543599299</v>
      </c>
      <c r="U76" s="179">
        <f t="shared" ref="U76" si="52">P76/(R76-Q76)</f>
        <v>2.75046382189239</v>
      </c>
      <c r="AG76" s="183">
        <v>601.79999999999995</v>
      </c>
      <c r="AH76" s="183">
        <v>565</v>
      </c>
      <c r="AI76" s="183">
        <f>100*AJ76/(100-AJ76)</f>
        <v>6.9670579326012803</v>
      </c>
      <c r="AJ76" s="183">
        <f>100*(AG76-AH76)/AH76</f>
        <v>6.51327433628318</v>
      </c>
    </row>
    <row r="77" spans="1:36">
      <c r="A77" s="159" t="s">
        <v>101</v>
      </c>
      <c r="B77" s="159" t="s">
        <v>76</v>
      </c>
      <c r="C77" s="168" t="s">
        <v>97</v>
      </c>
      <c r="D77" s="176">
        <v>100</v>
      </c>
      <c r="E77" s="176">
        <v>100</v>
      </c>
      <c r="F77" s="176">
        <v>100</v>
      </c>
      <c r="G77" s="176">
        <v>100</v>
      </c>
      <c r="H77" s="176">
        <v>100</v>
      </c>
      <c r="I77" s="176">
        <v>82.5</v>
      </c>
      <c r="J77" s="176">
        <v>51.7</v>
      </c>
      <c r="K77" s="176">
        <v>36.6</v>
      </c>
      <c r="L77" s="176">
        <v>26.6</v>
      </c>
      <c r="M77" s="176">
        <v>18.399999999999999</v>
      </c>
      <c r="N77" s="176">
        <v>12.4</v>
      </c>
      <c r="O77" s="176">
        <v>9</v>
      </c>
      <c r="V77" s="180">
        <v>300.5</v>
      </c>
      <c r="W77" s="180">
        <v>634</v>
      </c>
      <c r="X77" s="180">
        <v>824.8</v>
      </c>
      <c r="Y77" s="180">
        <v>306.39999999999998</v>
      </c>
      <c r="Z77" s="196">
        <f>V77/(V77+W77-X77)</f>
        <v>2.7392889699179599</v>
      </c>
      <c r="AA77" s="196">
        <f>Y77/(Y77+W77-X77)</f>
        <v>2.65051903114187</v>
      </c>
      <c r="AB77" s="196">
        <f>V77/(Y77+W77-X77)</f>
        <v>2.59948096885813</v>
      </c>
      <c r="AG77" s="183">
        <v>1203.5</v>
      </c>
      <c r="AH77" s="183">
        <v>1163.9000000000001</v>
      </c>
      <c r="AI77" s="183">
        <f>100*AJ77/(100-AJ77)</f>
        <v>3.5221915858756501</v>
      </c>
      <c r="AJ77" s="183">
        <f>100*(AG77-AH77)/AH77</f>
        <v>3.4023541541369502</v>
      </c>
    </row>
    <row r="78" spans="1:36">
      <c r="A78" s="159" t="s">
        <v>102</v>
      </c>
      <c r="B78" s="159" t="s">
        <v>81</v>
      </c>
      <c r="C78" s="168" t="s">
        <v>79</v>
      </c>
      <c r="D78" s="176">
        <v>100</v>
      </c>
      <c r="E78" s="176">
        <v>100</v>
      </c>
      <c r="F78" s="176">
        <v>100</v>
      </c>
      <c r="G78" s="176">
        <v>98.670833333333306</v>
      </c>
      <c r="H78" s="176">
        <v>40.504166666666698</v>
      </c>
      <c r="I78" s="176">
        <v>1.37083333333334</v>
      </c>
      <c r="J78" s="176">
        <v>0.91249999999997999</v>
      </c>
      <c r="K78" s="176">
        <v>0.91249999999997999</v>
      </c>
      <c r="L78" s="176">
        <v>0.91249999999997999</v>
      </c>
      <c r="M78" s="176">
        <v>0.91249999999997999</v>
      </c>
      <c r="N78" s="176">
        <v>0.91249999999997999</v>
      </c>
      <c r="O78" s="176">
        <v>0.91249999999997999</v>
      </c>
      <c r="P78" s="177">
        <v>990.3</v>
      </c>
      <c r="Q78" s="177">
        <v>624.29999999999995</v>
      </c>
      <c r="R78" s="177">
        <v>1000</v>
      </c>
      <c r="S78" s="178">
        <f t="shared" ref="S78:S79" si="53">P78/(P78-Q78)</f>
        <v>2.7057377049180298</v>
      </c>
      <c r="T78" s="178">
        <f t="shared" ref="T78:T79" si="54">R78/(R78-Q78)</f>
        <v>2.6616981634282699</v>
      </c>
      <c r="U78" s="179">
        <f t="shared" ref="U78:U79" si="55">P78/(R78-Q78)</f>
        <v>2.63587969124301</v>
      </c>
      <c r="AI78" s="183"/>
    </row>
    <row r="79" spans="1:36">
      <c r="A79" s="159" t="s">
        <v>102</v>
      </c>
      <c r="B79" s="159" t="s">
        <v>81</v>
      </c>
      <c r="C79" s="168" t="s">
        <v>63</v>
      </c>
      <c r="D79" s="176">
        <v>100</v>
      </c>
      <c r="E79" s="176">
        <v>100</v>
      </c>
      <c r="F79" s="176">
        <v>100</v>
      </c>
      <c r="G79" s="176">
        <v>100</v>
      </c>
      <c r="H79" s="176">
        <v>97.742857142857105</v>
      </c>
      <c r="I79" s="176">
        <v>24.3857142857143</v>
      </c>
      <c r="J79" s="176">
        <v>7.3</v>
      </c>
      <c r="K79" s="176">
        <v>6.3071428571428498</v>
      </c>
      <c r="L79" s="176">
        <v>6.3071428571428498</v>
      </c>
      <c r="M79" s="176">
        <v>6.3071428571428498</v>
      </c>
      <c r="N79" s="176">
        <v>6.3071428571428498</v>
      </c>
      <c r="O79" s="176">
        <v>6.3071428571428498</v>
      </c>
      <c r="P79" s="177">
        <v>993.4</v>
      </c>
      <c r="Q79" s="177">
        <v>630.1</v>
      </c>
      <c r="R79" s="177">
        <v>1000</v>
      </c>
      <c r="S79" s="178">
        <f t="shared" si="53"/>
        <v>2.73437930085329</v>
      </c>
      <c r="T79" s="178">
        <f t="shared" si="54"/>
        <v>2.7034333603676699</v>
      </c>
      <c r="U79" s="179">
        <f t="shared" si="55"/>
        <v>2.6855907001892398</v>
      </c>
      <c r="AI79" s="183"/>
    </row>
    <row r="80" spans="1:36">
      <c r="A80" s="159" t="s">
        <v>102</v>
      </c>
      <c r="B80" s="159" t="s">
        <v>82</v>
      </c>
      <c r="C80" s="168" t="s">
        <v>65</v>
      </c>
      <c r="D80" s="176">
        <v>100</v>
      </c>
      <c r="E80" s="176">
        <v>100</v>
      </c>
      <c r="F80" s="176">
        <v>100</v>
      </c>
      <c r="G80" s="176">
        <v>100</v>
      </c>
      <c r="H80" s="176">
        <v>100</v>
      </c>
      <c r="I80" s="176">
        <v>99.758333333333297</v>
      </c>
      <c r="J80" s="176">
        <v>77.825000000000003</v>
      </c>
      <c r="K80" s="176">
        <v>53.391666666666701</v>
      </c>
      <c r="L80" s="176">
        <v>39.924999999999997</v>
      </c>
      <c r="M80" s="176">
        <v>26</v>
      </c>
      <c r="N80" s="176">
        <v>19.3</v>
      </c>
      <c r="O80" s="176">
        <v>15</v>
      </c>
      <c r="V80" s="180">
        <v>296.7</v>
      </c>
      <c r="W80" s="180">
        <v>683.3</v>
      </c>
      <c r="X80" s="180">
        <v>872.5</v>
      </c>
      <c r="Y80" s="180">
        <v>300</v>
      </c>
      <c r="Z80" s="196">
        <f>V80/(V80+W80-X80)</f>
        <v>2.76</v>
      </c>
      <c r="AA80" s="196">
        <f>Y80/(Y80+W80-X80)</f>
        <v>2.7075812274368198</v>
      </c>
      <c r="AB80" s="196">
        <f>V80/(Y80+W80-X80)</f>
        <v>2.6777978339350201</v>
      </c>
      <c r="AI80" s="183"/>
    </row>
    <row r="81" spans="1:36">
      <c r="A81" s="159" t="s">
        <v>102</v>
      </c>
      <c r="B81" s="159" t="s">
        <v>99</v>
      </c>
      <c r="C81" s="168" t="s">
        <v>73</v>
      </c>
      <c r="D81" s="176">
        <v>100</v>
      </c>
      <c r="E81" s="176">
        <v>100</v>
      </c>
      <c r="F81" s="176">
        <v>100</v>
      </c>
      <c r="G81" s="176">
        <v>100</v>
      </c>
      <c r="H81" s="176">
        <v>100</v>
      </c>
      <c r="I81" s="176">
        <v>100</v>
      </c>
      <c r="J81" s="176">
        <v>100</v>
      </c>
      <c r="K81" s="176">
        <v>100</v>
      </c>
      <c r="L81" s="176">
        <v>100</v>
      </c>
      <c r="M81" s="176">
        <v>97.4</v>
      </c>
      <c r="N81" s="176">
        <v>90.2</v>
      </c>
      <c r="O81" s="176">
        <v>78.2</v>
      </c>
      <c r="AI81" s="183"/>
    </row>
    <row r="82" spans="1:36">
      <c r="A82" s="159" t="s">
        <v>102</v>
      </c>
      <c r="B82" s="159" t="s">
        <v>74</v>
      </c>
      <c r="C82" s="168" t="s">
        <v>96</v>
      </c>
      <c r="D82" s="176">
        <v>100</v>
      </c>
      <c r="E82" s="176">
        <v>100</v>
      </c>
      <c r="F82" s="176">
        <v>100</v>
      </c>
      <c r="G82" s="176">
        <v>91.635031267167605</v>
      </c>
      <c r="H82" s="176">
        <v>60.040787572522198</v>
      </c>
      <c r="I82" s="176">
        <v>31.864836283956102</v>
      </c>
      <c r="J82" s="176">
        <v>23.270710778121099</v>
      </c>
      <c r="K82" s="176">
        <v>18.159945310538902</v>
      </c>
      <c r="L82" s="176">
        <v>15.518986504788201</v>
      </c>
      <c r="M82" s="176">
        <v>11.3905309226881</v>
      </c>
      <c r="N82" s="176">
        <v>8.2874173264839293</v>
      </c>
      <c r="O82" s="176">
        <v>6.6340929569912799</v>
      </c>
      <c r="P82" s="177">
        <v>645.4</v>
      </c>
      <c r="Q82" s="177">
        <v>413.7</v>
      </c>
      <c r="R82" s="177">
        <v>656.2</v>
      </c>
      <c r="S82" s="178">
        <f t="shared" ref="S82" si="56">P82/(P82-Q82)</f>
        <v>2.7854984894259802</v>
      </c>
      <c r="T82" s="178">
        <f t="shared" ref="T82" si="57">R82/(R82-Q82)</f>
        <v>2.7059793814433002</v>
      </c>
      <c r="U82" s="179">
        <f t="shared" ref="U82" si="58">P82/(R82-Q82)</f>
        <v>2.6614432989690702</v>
      </c>
      <c r="AG82" s="183">
        <v>1002.8</v>
      </c>
      <c r="AH82" s="183">
        <v>960.2</v>
      </c>
      <c r="AI82" s="183">
        <f>100*AJ82/(100-AJ82)</f>
        <v>4.6425457715780203</v>
      </c>
      <c r="AJ82" s="183">
        <f>100*(AG82-AH82)/AH82</f>
        <v>4.4365757133930304</v>
      </c>
    </row>
    <row r="83" spans="1:36">
      <c r="A83" s="159" t="s">
        <v>102</v>
      </c>
      <c r="B83" s="159" t="s">
        <v>76</v>
      </c>
      <c r="C83" s="168" t="s">
        <v>97</v>
      </c>
      <c r="D83" s="176">
        <v>100</v>
      </c>
      <c r="E83" s="176">
        <v>100</v>
      </c>
      <c r="F83" s="176">
        <v>100</v>
      </c>
      <c r="G83" s="176">
        <v>100</v>
      </c>
      <c r="H83" s="176">
        <v>100</v>
      </c>
      <c r="I83" s="176">
        <v>67.933128771733394</v>
      </c>
      <c r="J83" s="176">
        <v>46.159480718728801</v>
      </c>
      <c r="K83" s="176">
        <v>33.143535430708397</v>
      </c>
      <c r="L83" s="176">
        <v>26.815111988196499</v>
      </c>
      <c r="M83" s="176">
        <v>18.726740139749399</v>
      </c>
      <c r="N83" s="176">
        <v>14.2863315939411</v>
      </c>
      <c r="O83" s="176">
        <v>10.6520648452023</v>
      </c>
      <c r="V83" s="180">
        <v>293.60000000000002</v>
      </c>
      <c r="W83" s="180">
        <v>703.2</v>
      </c>
      <c r="X83" s="180">
        <v>889.7</v>
      </c>
      <c r="Y83" s="180">
        <v>300</v>
      </c>
      <c r="Z83" s="196">
        <f>V83/(V83+W83-X83)</f>
        <v>2.7413632119514499</v>
      </c>
      <c r="AA83" s="196">
        <f>Y83/(Y83+W83-X83)</f>
        <v>2.6431718061674001</v>
      </c>
      <c r="AB83" s="196">
        <f>V83/(Y83+W83-X83)</f>
        <v>2.5867841409691601</v>
      </c>
      <c r="AG83" s="183">
        <v>600.9</v>
      </c>
      <c r="AH83" s="183">
        <v>565</v>
      </c>
      <c r="AI83" s="183">
        <f>100*AJ83/(100-AJ83)</f>
        <v>6.7851067851067803</v>
      </c>
      <c r="AJ83" s="183">
        <f>100*(AG83-AH83)/AH83</f>
        <v>6.3539823008849501</v>
      </c>
    </row>
    <row r="84" spans="1:36">
      <c r="A84" s="159" t="s">
        <v>103</v>
      </c>
      <c r="B84" s="159" t="s">
        <v>81</v>
      </c>
      <c r="C84" s="168" t="s">
        <v>79</v>
      </c>
      <c r="D84" s="176">
        <v>100</v>
      </c>
      <c r="E84" s="176">
        <v>100</v>
      </c>
      <c r="F84" s="176">
        <v>99.813333333333304</v>
      </c>
      <c r="G84" s="176">
        <v>88.043333333333294</v>
      </c>
      <c r="H84" s="176">
        <v>29.4433333333333</v>
      </c>
      <c r="I84" s="176">
        <v>1.77666666666666</v>
      </c>
      <c r="J84" s="176">
        <v>0.66666666666666496</v>
      </c>
      <c r="K84" s="176">
        <v>0.66666666666666496</v>
      </c>
      <c r="L84" s="176">
        <v>0.66666666666666496</v>
      </c>
      <c r="M84" s="176">
        <v>0.66666666666666496</v>
      </c>
      <c r="N84" s="176">
        <v>0.66666666666666496</v>
      </c>
      <c r="O84" s="176">
        <v>0.66666666666666496</v>
      </c>
      <c r="P84" s="177">
        <v>1244.9000000000001</v>
      </c>
      <c r="Q84" s="177">
        <v>788.9</v>
      </c>
      <c r="R84" s="177">
        <v>1251.9000000000001</v>
      </c>
      <c r="S84" s="178">
        <f t="shared" ref="S84:S85" si="59">P84/(P84-Q84)</f>
        <v>2.7300438596491201</v>
      </c>
      <c r="T84" s="178">
        <f t="shared" ref="T84:T85" si="60">R84/(R84-Q84)</f>
        <v>2.7038876889848802</v>
      </c>
      <c r="U84" s="179">
        <f t="shared" ref="U84:U85" si="61">P84/(R84-Q84)</f>
        <v>2.68876889848812</v>
      </c>
    </row>
    <row r="85" spans="1:36">
      <c r="A85" s="159" t="s">
        <v>103</v>
      </c>
      <c r="B85" s="159" t="s">
        <v>81</v>
      </c>
      <c r="C85" s="168" t="s">
        <v>63</v>
      </c>
      <c r="D85" s="176">
        <v>100</v>
      </c>
      <c r="E85" s="176">
        <v>100</v>
      </c>
      <c r="F85" s="176">
        <v>100</v>
      </c>
      <c r="G85" s="176">
        <v>100</v>
      </c>
      <c r="H85" s="176">
        <v>95.48</v>
      </c>
      <c r="I85" s="176">
        <v>13.484</v>
      </c>
      <c r="J85" s="176">
        <v>2.3199999999999901</v>
      </c>
      <c r="K85" s="176">
        <v>18.600000000000001</v>
      </c>
      <c r="L85" s="176">
        <v>2.3199999999999901</v>
      </c>
      <c r="M85" s="176">
        <v>2.3199999999999901</v>
      </c>
      <c r="N85" s="176">
        <v>2.3199999999999901</v>
      </c>
      <c r="O85" s="176">
        <v>2.3199999999999901</v>
      </c>
      <c r="P85" s="177">
        <v>933.6</v>
      </c>
      <c r="Q85" s="177">
        <v>588.70000000000005</v>
      </c>
      <c r="R85" s="177">
        <v>936.6</v>
      </c>
      <c r="S85" s="178">
        <f t="shared" si="59"/>
        <v>2.7068715569730402</v>
      </c>
      <c r="T85" s="178">
        <f t="shared" si="60"/>
        <v>2.6921529175050298</v>
      </c>
      <c r="U85" s="179">
        <f t="shared" si="61"/>
        <v>2.6835297499281401</v>
      </c>
    </row>
    <row r="86" spans="1:36">
      <c r="A86" s="159" t="s">
        <v>103</v>
      </c>
      <c r="B86" s="159" t="s">
        <v>82</v>
      </c>
      <c r="C86" s="168" t="s">
        <v>65</v>
      </c>
      <c r="D86" s="176">
        <v>100</v>
      </c>
      <c r="E86" s="176">
        <v>100</v>
      </c>
      <c r="F86" s="176">
        <v>100</v>
      </c>
      <c r="G86" s="176">
        <v>100</v>
      </c>
      <c r="H86" s="176">
        <v>100</v>
      </c>
      <c r="I86" s="176">
        <v>96.808333333333394</v>
      </c>
      <c r="J86" s="176">
        <v>61.933333333333401</v>
      </c>
      <c r="K86" s="176">
        <v>37.891666666666701</v>
      </c>
      <c r="L86" s="176">
        <v>28.316666666666599</v>
      </c>
      <c r="M86" s="176">
        <v>19.116666666666699</v>
      </c>
      <c r="N86" s="176">
        <v>14.408333333333299</v>
      </c>
      <c r="O86" s="176">
        <v>11.6833333333333</v>
      </c>
      <c r="V86" s="180">
        <v>294.7</v>
      </c>
      <c r="W86" s="180">
        <v>703.2</v>
      </c>
      <c r="X86" s="180">
        <v>891.6</v>
      </c>
      <c r="Y86" s="180">
        <v>300.5</v>
      </c>
      <c r="Z86" s="196">
        <f>V86/(V86+W86-X86)</f>
        <v>2.7723424270931298</v>
      </c>
      <c r="AA86" s="196">
        <f>Y86/(Y86+W86-X86)</f>
        <v>2.6806422836752901</v>
      </c>
      <c r="AB86" s="196">
        <f>V86/(Y86+W86-X86)</f>
        <v>2.6289027653880499</v>
      </c>
    </row>
    <row r="87" spans="1:36">
      <c r="A87" s="159" t="s">
        <v>103</v>
      </c>
      <c r="B87" s="159" t="s">
        <v>74</v>
      </c>
      <c r="C87" s="168" t="s">
        <v>96</v>
      </c>
      <c r="D87" s="176">
        <v>100</v>
      </c>
      <c r="E87" s="176">
        <v>100</v>
      </c>
      <c r="F87" s="176">
        <v>98.573603794311396</v>
      </c>
      <c r="G87" s="176">
        <v>82.174026333127799</v>
      </c>
      <c r="H87" s="176">
        <v>33.1317421613373</v>
      </c>
      <c r="I87" s="176">
        <v>14.974385776309701</v>
      </c>
      <c r="J87" s="176">
        <v>12.3670078383307</v>
      </c>
      <c r="K87" s="176">
        <v>10.6873987726464</v>
      </c>
      <c r="L87" s="176">
        <v>9.6693373373022293</v>
      </c>
      <c r="M87" s="176">
        <v>8.1572740170601001</v>
      </c>
      <c r="N87" s="176">
        <v>6.2370973457409598</v>
      </c>
      <c r="O87" s="176">
        <v>4.1279880419424799</v>
      </c>
      <c r="P87" s="177">
        <v>899.6</v>
      </c>
      <c r="Q87" s="177">
        <v>584.9</v>
      </c>
      <c r="R87" s="177">
        <v>907</v>
      </c>
      <c r="S87" s="178">
        <f t="shared" ref="S87" si="62">P87/(P87-Q87)</f>
        <v>2.8585954877661299</v>
      </c>
      <c r="T87" s="178">
        <f t="shared" ref="T87" si="63">R87/(R87-Q87)</f>
        <v>2.8158956845700098</v>
      </c>
      <c r="U87" s="179">
        <f t="shared" ref="U87" si="64">P87/(R87-Q87)</f>
        <v>2.79292145296492</v>
      </c>
      <c r="AG87" s="183">
        <v>1203.5999999999999</v>
      </c>
      <c r="AH87" s="183">
        <v>1163.4000000000001</v>
      </c>
      <c r="AI87" s="183">
        <f>100*AJ87/(100-AJ87)</f>
        <v>3.5790598290598101</v>
      </c>
      <c r="AJ87" s="183">
        <f>100*(AG87-AH87)/AH87</f>
        <v>3.45538937596698</v>
      </c>
    </row>
    <row r="88" spans="1:36">
      <c r="A88" s="159" t="s">
        <v>103</v>
      </c>
      <c r="B88" s="159" t="s">
        <v>76</v>
      </c>
      <c r="C88" s="168" t="s">
        <v>97</v>
      </c>
      <c r="D88" s="176">
        <v>100</v>
      </c>
      <c r="E88" s="176">
        <v>100</v>
      </c>
      <c r="F88" s="176">
        <v>100</v>
      </c>
      <c r="G88" s="176">
        <v>99.709455890121504</v>
      </c>
      <c r="H88" s="176">
        <v>93.611005421295204</v>
      </c>
      <c r="I88" s="176">
        <v>62.883664943704403</v>
      </c>
      <c r="J88" s="176">
        <v>41.736211500847702</v>
      </c>
      <c r="K88" s="176">
        <v>29.275015875296301</v>
      </c>
      <c r="L88" s="176">
        <v>22.374005580422299</v>
      </c>
      <c r="M88" s="176">
        <v>14.3321095762082</v>
      </c>
      <c r="N88" s="176">
        <v>9.6170951500159596</v>
      </c>
      <c r="O88" s="176">
        <v>6.5264817525129803</v>
      </c>
      <c r="V88" s="180">
        <v>297.8</v>
      </c>
      <c r="W88" s="180">
        <v>703.1</v>
      </c>
      <c r="X88" s="180">
        <v>887.2</v>
      </c>
      <c r="Y88" s="180">
        <v>300.10000000000002</v>
      </c>
      <c r="Z88" s="196">
        <f>V88/(V88+W88-X88)</f>
        <v>2.6191732629727298</v>
      </c>
      <c r="AA88" s="196">
        <f>Y88/(Y88+W88-X88)</f>
        <v>2.5870689655172399</v>
      </c>
      <c r="AB88" s="196">
        <f>V88/(Y88+W88-X88)</f>
        <v>2.5672413793103401</v>
      </c>
      <c r="AG88" s="183">
        <v>599.29999999999995</v>
      </c>
      <c r="AH88" s="183">
        <v>567.9</v>
      </c>
      <c r="AI88" s="183">
        <f>100*AJ88/(100-AJ88)</f>
        <v>5.8527493010251597</v>
      </c>
      <c r="AJ88" s="183">
        <f>100*(AG88-AH88)/AH88</f>
        <v>5.5291424546575101</v>
      </c>
    </row>
    <row r="89" spans="1:36">
      <c r="A89" s="159" t="s">
        <v>104</v>
      </c>
      <c r="B89" s="159" t="s">
        <v>81</v>
      </c>
      <c r="C89" s="129" t="s">
        <v>105</v>
      </c>
      <c r="D89" s="176">
        <v>100</v>
      </c>
      <c r="E89" s="176">
        <v>58.8</v>
      </c>
      <c r="F89" s="176">
        <v>7.4</v>
      </c>
      <c r="G89" s="176">
        <v>1.8</v>
      </c>
      <c r="H89" s="176">
        <v>0.7</v>
      </c>
      <c r="I89" s="176">
        <v>0.4</v>
      </c>
      <c r="J89" s="176">
        <v>0.4</v>
      </c>
      <c r="K89" s="176">
        <v>0.4</v>
      </c>
      <c r="L89" s="176">
        <v>0.4</v>
      </c>
      <c r="M89" s="176">
        <v>0.4</v>
      </c>
      <c r="N89" s="176">
        <v>0.4</v>
      </c>
      <c r="O89" s="176">
        <v>0.4</v>
      </c>
    </row>
    <row r="90" spans="1:36">
      <c r="A90" s="159" t="s">
        <v>104</v>
      </c>
      <c r="B90" s="159" t="s">
        <v>81</v>
      </c>
      <c r="C90" s="157" t="s">
        <v>106</v>
      </c>
      <c r="D90" s="176">
        <v>100</v>
      </c>
      <c r="E90" s="176">
        <v>100</v>
      </c>
      <c r="F90" s="176">
        <v>91.2</v>
      </c>
      <c r="G90" s="176">
        <v>45.9</v>
      </c>
      <c r="H90" s="176">
        <v>1.2</v>
      </c>
      <c r="I90" s="176">
        <v>0.4</v>
      </c>
      <c r="J90" s="176">
        <v>0.4</v>
      </c>
      <c r="K90" s="176">
        <v>0.4</v>
      </c>
      <c r="L90" s="176">
        <v>0.4</v>
      </c>
      <c r="M90" s="176">
        <v>0.4</v>
      </c>
      <c r="N90" s="176">
        <v>0.4</v>
      </c>
      <c r="O90" s="176">
        <v>0.4</v>
      </c>
    </row>
    <row r="91" spans="1:36">
      <c r="A91" s="159" t="s">
        <v>104</v>
      </c>
      <c r="B91" s="159" t="s">
        <v>81</v>
      </c>
      <c r="C91" s="157" t="s">
        <v>107</v>
      </c>
      <c r="D91" s="176">
        <v>100</v>
      </c>
      <c r="E91" s="176">
        <v>100</v>
      </c>
      <c r="F91" s="176">
        <v>100</v>
      </c>
      <c r="G91" s="176">
        <v>100</v>
      </c>
      <c r="H91" s="176">
        <v>84.4</v>
      </c>
      <c r="I91" s="176">
        <v>6.5</v>
      </c>
      <c r="J91" s="176">
        <v>0.4</v>
      </c>
      <c r="K91" s="176">
        <v>0.4</v>
      </c>
      <c r="L91" s="176">
        <v>0.4</v>
      </c>
      <c r="M91" s="176">
        <v>0.4</v>
      </c>
      <c r="N91" s="176">
        <v>0.4</v>
      </c>
      <c r="O91" s="176">
        <v>0.4</v>
      </c>
    </row>
    <row r="92" spans="1:36">
      <c r="A92" s="159" t="s">
        <v>104</v>
      </c>
      <c r="B92" s="159" t="s">
        <v>81</v>
      </c>
      <c r="C92" s="157" t="s">
        <v>70</v>
      </c>
      <c r="D92" s="176">
        <v>100</v>
      </c>
      <c r="E92" s="176">
        <v>100</v>
      </c>
      <c r="F92" s="176">
        <v>100</v>
      </c>
      <c r="G92" s="176">
        <v>100</v>
      </c>
      <c r="H92" s="176">
        <v>100</v>
      </c>
      <c r="I92" s="176">
        <v>98</v>
      </c>
      <c r="J92" s="176">
        <v>10.7</v>
      </c>
      <c r="K92" s="176">
        <v>2.8</v>
      </c>
      <c r="L92" s="176">
        <v>2.2000000000000002</v>
      </c>
      <c r="M92" s="176">
        <v>2.2000000000000002</v>
      </c>
      <c r="N92" s="176">
        <v>2.2000000000000002</v>
      </c>
      <c r="O92" s="176">
        <v>2.2000000000000002</v>
      </c>
    </row>
    <row r="93" spans="1:36">
      <c r="A93" s="159" t="s">
        <v>104</v>
      </c>
      <c r="B93" s="159" t="s">
        <v>82</v>
      </c>
      <c r="C93" s="157" t="s">
        <v>71</v>
      </c>
      <c r="D93" s="176">
        <v>100</v>
      </c>
      <c r="E93" s="176">
        <v>100</v>
      </c>
      <c r="F93" s="176">
        <v>100</v>
      </c>
      <c r="G93" s="176">
        <v>100</v>
      </c>
      <c r="H93" s="176">
        <v>100</v>
      </c>
      <c r="I93" s="176">
        <v>100</v>
      </c>
      <c r="J93" s="176">
        <v>89.4</v>
      </c>
      <c r="K93" s="176">
        <v>56.2</v>
      </c>
      <c r="L93" s="176">
        <v>31.5</v>
      </c>
      <c r="M93" s="176">
        <v>16.8</v>
      </c>
      <c r="N93" s="176">
        <v>10.199999999999999</v>
      </c>
      <c r="O93" s="176">
        <v>3.9</v>
      </c>
    </row>
    <row r="94" spans="1:36">
      <c r="A94" s="159" t="s">
        <v>104</v>
      </c>
      <c r="B94" s="159" t="s">
        <v>99</v>
      </c>
      <c r="C94" s="168" t="s">
        <v>91</v>
      </c>
      <c r="D94" s="176">
        <v>100</v>
      </c>
      <c r="E94" s="176">
        <v>100</v>
      </c>
      <c r="F94" s="176">
        <v>100</v>
      </c>
      <c r="G94" s="176">
        <v>100</v>
      </c>
      <c r="H94" s="176">
        <v>100</v>
      </c>
      <c r="I94" s="176">
        <v>100</v>
      </c>
      <c r="J94" s="176">
        <v>100</v>
      </c>
      <c r="K94" s="176">
        <v>100</v>
      </c>
      <c r="L94" s="176">
        <v>100</v>
      </c>
      <c r="M94" s="176">
        <v>100</v>
      </c>
      <c r="N94" s="176">
        <v>99.7</v>
      </c>
      <c r="O94" s="176">
        <v>89</v>
      </c>
    </row>
    <row r="95" spans="1:36">
      <c r="A95" s="159" t="s">
        <v>104</v>
      </c>
      <c r="B95" s="159" t="s">
        <v>74</v>
      </c>
      <c r="C95" s="168" t="s">
        <v>108</v>
      </c>
      <c r="D95" s="176">
        <v>100</v>
      </c>
      <c r="E95" s="176">
        <v>99.2</v>
      </c>
      <c r="F95" s="176">
        <v>96.2</v>
      </c>
      <c r="G95" s="176">
        <v>90.2</v>
      </c>
      <c r="H95" s="176">
        <v>61.8</v>
      </c>
      <c r="I95" s="176">
        <v>20.3</v>
      </c>
      <c r="J95" s="176">
        <v>12.8</v>
      </c>
      <c r="K95" s="176">
        <v>10.199999999999999</v>
      </c>
      <c r="L95" s="176">
        <v>8.1999999999999993</v>
      </c>
      <c r="M95" s="176">
        <v>6.6</v>
      </c>
      <c r="N95" s="176">
        <v>5.8</v>
      </c>
      <c r="O95" s="176">
        <v>4.3</v>
      </c>
      <c r="AG95" s="183">
        <v>1203.9000000000001</v>
      </c>
      <c r="AH95" s="183">
        <v>1159.9000000000001</v>
      </c>
      <c r="AI95" s="183">
        <f>100*AJ95/(100-AJ95)</f>
        <v>3.9430056456671698</v>
      </c>
      <c r="AJ95" s="183">
        <f>100*(AG95-AH95)/AH95</f>
        <v>3.7934304681438098</v>
      </c>
    </row>
    <row r="96" spans="1:36">
      <c r="A96" s="159" t="s">
        <v>104</v>
      </c>
      <c r="B96" s="159" t="s">
        <v>76</v>
      </c>
      <c r="C96" s="168" t="s">
        <v>68</v>
      </c>
      <c r="D96" s="176">
        <v>100</v>
      </c>
      <c r="E96" s="176">
        <v>100</v>
      </c>
      <c r="F96" s="176">
        <v>100</v>
      </c>
      <c r="G96" s="176">
        <v>100</v>
      </c>
      <c r="H96" s="176">
        <v>99.8</v>
      </c>
      <c r="I96" s="176">
        <v>73.900000000000006</v>
      </c>
      <c r="J96" s="176">
        <v>48.2</v>
      </c>
      <c r="K96" s="176">
        <v>35.1</v>
      </c>
      <c r="L96" s="176">
        <v>25.9</v>
      </c>
      <c r="M96" s="176">
        <v>20</v>
      </c>
      <c r="N96" s="176">
        <v>17.100000000000001</v>
      </c>
      <c r="O96" s="176">
        <v>12.6</v>
      </c>
      <c r="AG96" s="183">
        <v>651.9</v>
      </c>
      <c r="AH96" s="183">
        <v>612.20000000000005</v>
      </c>
      <c r="AI96" s="183">
        <f>100*AJ96/(100-AJ96)</f>
        <v>6.9344978165938702</v>
      </c>
      <c r="AJ96" s="183">
        <f>100*(AG96-AH96)/AH96</f>
        <v>6.4848088859849602</v>
      </c>
    </row>
    <row r="97" spans="1:36">
      <c r="A97" s="159" t="s">
        <v>109</v>
      </c>
      <c r="B97" s="159" t="s">
        <v>81</v>
      </c>
      <c r="C97" s="168" t="s">
        <v>79</v>
      </c>
      <c r="D97" s="176">
        <v>100</v>
      </c>
      <c r="E97" s="176">
        <v>100</v>
      </c>
      <c r="F97" s="176">
        <v>98.998433303491495</v>
      </c>
      <c r="G97" s="176">
        <v>58.273054661300598</v>
      </c>
      <c r="H97" s="176">
        <v>8.3310880350595191</v>
      </c>
      <c r="I97" s="176">
        <v>0.39898967374197303</v>
      </c>
      <c r="J97" s="176">
        <v>0.39898967374197303</v>
      </c>
      <c r="K97" s="176">
        <v>0.39898967374197303</v>
      </c>
      <c r="L97" s="176">
        <v>0.39898967374197303</v>
      </c>
      <c r="M97" s="176">
        <v>0.39898967374197303</v>
      </c>
      <c r="N97" s="176">
        <v>0.39898967374197303</v>
      </c>
      <c r="O97" s="176">
        <v>0.39898967374197303</v>
      </c>
      <c r="P97" s="177">
        <v>1689.5</v>
      </c>
      <c r="Q97" s="177">
        <v>1077.3</v>
      </c>
      <c r="R97" s="177">
        <v>1704</v>
      </c>
      <c r="S97" s="178">
        <f t="shared" ref="S97:S98" si="65">P97/(P97-Q97)</f>
        <v>2.7597190460633798</v>
      </c>
      <c r="T97" s="178">
        <f t="shared" ref="T97:T98" si="66">R97/(R97-Q97)</f>
        <v>2.7190043082814701</v>
      </c>
      <c r="U97" s="179">
        <f t="shared" ref="U97:U98" si="67">P97/(R97-Q97)</f>
        <v>2.6958672411042</v>
      </c>
    </row>
    <row r="98" spans="1:36">
      <c r="A98" s="159" t="s">
        <v>109</v>
      </c>
      <c r="B98" s="159" t="s">
        <v>81</v>
      </c>
      <c r="C98" s="168" t="s">
        <v>63</v>
      </c>
      <c r="D98" s="176">
        <v>100</v>
      </c>
      <c r="E98" s="176">
        <v>100</v>
      </c>
      <c r="F98" s="176">
        <v>100</v>
      </c>
      <c r="G98" s="176">
        <v>100</v>
      </c>
      <c r="H98" s="176">
        <v>94.446666666666701</v>
      </c>
      <c r="I98" s="176">
        <v>5.9733333333333301</v>
      </c>
      <c r="J98" s="176">
        <v>0.35999999999999899</v>
      </c>
      <c r="K98" s="176">
        <v>0.35999999999999899</v>
      </c>
      <c r="L98" s="176">
        <v>0.35999999999999899</v>
      </c>
      <c r="M98" s="176">
        <v>0.35999999999999899</v>
      </c>
      <c r="N98" s="176">
        <v>0.35999999999999899</v>
      </c>
      <c r="O98" s="176">
        <v>0.35999999999999899</v>
      </c>
      <c r="P98" s="177">
        <v>1464.6</v>
      </c>
      <c r="Q98" s="177">
        <v>932.5</v>
      </c>
      <c r="R98" s="177">
        <v>1478.5</v>
      </c>
      <c r="S98" s="178">
        <f t="shared" si="65"/>
        <v>2.7524901334335699</v>
      </c>
      <c r="T98" s="178">
        <f t="shared" si="66"/>
        <v>2.7078754578754598</v>
      </c>
      <c r="U98" s="179">
        <f t="shared" si="67"/>
        <v>2.68241758241758</v>
      </c>
    </row>
    <row r="99" spans="1:36">
      <c r="A99" s="159" t="s">
        <v>109</v>
      </c>
      <c r="B99" s="159" t="s">
        <v>82</v>
      </c>
      <c r="C99" s="168" t="s">
        <v>65</v>
      </c>
      <c r="D99" s="176">
        <v>100</v>
      </c>
      <c r="E99" s="176">
        <v>100</v>
      </c>
      <c r="F99" s="176">
        <v>100</v>
      </c>
      <c r="G99" s="176">
        <v>100</v>
      </c>
      <c r="H99" s="176">
        <v>100</v>
      </c>
      <c r="I99" s="176">
        <v>98.066666666666706</v>
      </c>
      <c r="J99" s="176">
        <v>62.4</v>
      </c>
      <c r="K99" s="176">
        <v>37.266666666666701</v>
      </c>
      <c r="L99" s="176">
        <v>26.441666666666698</v>
      </c>
      <c r="M99" s="176">
        <v>16.7083333333333</v>
      </c>
      <c r="N99" s="176">
        <v>11.675000000000001</v>
      </c>
      <c r="O99" s="176">
        <v>8.4500000000000206</v>
      </c>
      <c r="V99" s="180">
        <v>296.10000000000002</v>
      </c>
      <c r="W99" s="180">
        <v>641.5</v>
      </c>
      <c r="X99" s="180">
        <v>829</v>
      </c>
      <c r="Y99" s="180">
        <v>300</v>
      </c>
      <c r="Z99" s="196">
        <f>V99/(V99+W99-X99)</f>
        <v>2.7265193370165699</v>
      </c>
      <c r="AA99" s="196">
        <f>Y99/(Y99+W99-X99)</f>
        <v>2.6666666666666701</v>
      </c>
      <c r="AB99" s="196">
        <f>V99/(Y99+W99-X99)</f>
        <v>2.6320000000000001</v>
      </c>
    </row>
    <row r="100" spans="1:36">
      <c r="A100" s="159" t="s">
        <v>109</v>
      </c>
      <c r="B100" s="159" t="s">
        <v>99</v>
      </c>
      <c r="C100" s="168" t="s">
        <v>73</v>
      </c>
      <c r="D100" s="176">
        <v>100</v>
      </c>
      <c r="E100" s="176">
        <v>100</v>
      </c>
      <c r="F100" s="176">
        <v>100</v>
      </c>
      <c r="G100" s="176">
        <v>100</v>
      </c>
      <c r="H100" s="176">
        <v>100</v>
      </c>
      <c r="I100" s="176">
        <v>100</v>
      </c>
      <c r="J100" s="176">
        <v>100</v>
      </c>
      <c r="K100" s="176">
        <v>100</v>
      </c>
      <c r="L100" s="176">
        <v>100</v>
      </c>
      <c r="M100" s="176">
        <v>97.4</v>
      </c>
      <c r="N100" s="176">
        <v>90.2</v>
      </c>
      <c r="O100" s="176">
        <v>78.2</v>
      </c>
    </row>
    <row r="101" spans="1:36">
      <c r="A101" s="159" t="s">
        <v>109</v>
      </c>
      <c r="B101" s="159" t="s">
        <v>74</v>
      </c>
      <c r="C101" s="168" t="s">
        <v>96</v>
      </c>
      <c r="D101" s="176">
        <v>100</v>
      </c>
      <c r="E101" s="176">
        <v>100</v>
      </c>
      <c r="F101" s="176">
        <v>99.984451432564597</v>
      </c>
      <c r="G101" s="176">
        <v>93.046428384312705</v>
      </c>
      <c r="H101" s="176">
        <v>70.079550745780793</v>
      </c>
      <c r="I101" s="176">
        <v>40.365078548094402</v>
      </c>
      <c r="J101" s="176">
        <v>27.5376533862866</v>
      </c>
      <c r="K101" s="176">
        <v>22.638636150645301</v>
      </c>
      <c r="L101" s="176">
        <v>19.0028719919537</v>
      </c>
      <c r="M101" s="176">
        <v>13.6497007357819</v>
      </c>
      <c r="N101" s="176">
        <v>9.6914462678494093</v>
      </c>
      <c r="O101" s="176">
        <v>7.9727385830571604</v>
      </c>
      <c r="P101" s="177">
        <v>1485.9</v>
      </c>
      <c r="Q101" s="177">
        <v>969.1</v>
      </c>
      <c r="R101" s="177">
        <v>1524.2</v>
      </c>
      <c r="S101" s="178">
        <f t="shared" ref="S101" si="68">P101/(P101-Q101)</f>
        <v>2.8751934984520102</v>
      </c>
      <c r="T101" s="178">
        <f t="shared" ref="T101" si="69">R101/(R101-Q101)</f>
        <v>2.7458115654837001</v>
      </c>
      <c r="U101" s="179">
        <f t="shared" ref="U101" si="70">P101/(R101-Q101)</f>
        <v>2.6768149882904</v>
      </c>
      <c r="AG101" s="183">
        <v>1256.4000000000001</v>
      </c>
      <c r="AH101" s="183">
        <v>1192.0999999999999</v>
      </c>
      <c r="AI101" s="183">
        <f>100*AJ101/(100-AJ101)</f>
        <v>5.7013654903351796</v>
      </c>
      <c r="AJ101" s="183">
        <f>100*(AG101-AH101)/AH101</f>
        <v>5.3938427984229698</v>
      </c>
    </row>
    <row r="102" spans="1:36">
      <c r="A102" s="159" t="s">
        <v>109</v>
      </c>
      <c r="B102" s="159" t="s">
        <v>76</v>
      </c>
      <c r="C102" s="168" t="s">
        <v>97</v>
      </c>
      <c r="D102" s="176">
        <v>100</v>
      </c>
      <c r="E102" s="176">
        <v>100</v>
      </c>
      <c r="F102" s="176">
        <v>100</v>
      </c>
      <c r="G102" s="176">
        <v>100</v>
      </c>
      <c r="H102" s="176">
        <v>97.812322397070304</v>
      </c>
      <c r="I102" s="176">
        <v>60.802882860164601</v>
      </c>
      <c r="J102" s="176">
        <v>39.699422135739098</v>
      </c>
      <c r="K102" s="176">
        <v>30.710328602273599</v>
      </c>
      <c r="L102" s="176">
        <v>24.458293029622101</v>
      </c>
      <c r="M102" s="176">
        <v>18.2956234874346</v>
      </c>
      <c r="N102" s="176">
        <v>13.558362910297999</v>
      </c>
      <c r="O102" s="176">
        <v>9.9538765583578801</v>
      </c>
      <c r="V102" s="180">
        <v>296.7</v>
      </c>
      <c r="W102" s="180">
        <v>703.4</v>
      </c>
      <c r="X102" s="180">
        <v>887.7</v>
      </c>
      <c r="Y102" s="180">
        <v>300.39999999999998</v>
      </c>
      <c r="Z102" s="196">
        <f>V102/(V102+W102-X102)</f>
        <v>2.6396797153024898</v>
      </c>
      <c r="AA102" s="196">
        <f>Y102/(Y102+W102-X102)</f>
        <v>2.5874246339362599</v>
      </c>
      <c r="AB102" s="196">
        <f>V102/(Y102+W102-X102)</f>
        <v>2.5555555555555598</v>
      </c>
      <c r="AG102" s="183">
        <v>601.6</v>
      </c>
      <c r="AH102" s="183">
        <v>565.4</v>
      </c>
      <c r="AI102" s="183">
        <f>100*AJ102/(100-AJ102)</f>
        <v>6.8405139833711397</v>
      </c>
      <c r="AJ102" s="183">
        <f>100*(AG102-AH102)/AH102</f>
        <v>6.4025468694729497</v>
      </c>
    </row>
    <row r="103" spans="1:36">
      <c r="A103" s="159" t="s">
        <v>110</v>
      </c>
      <c r="B103" s="159" t="s">
        <v>81</v>
      </c>
      <c r="C103" s="168" t="s">
        <v>79</v>
      </c>
      <c r="D103" s="176">
        <v>100</v>
      </c>
      <c r="E103" s="176">
        <v>100</v>
      </c>
      <c r="F103" s="176">
        <v>100</v>
      </c>
      <c r="G103" s="176">
        <v>63.619744058500899</v>
      </c>
      <c r="H103" s="176">
        <v>8.8398842169408898</v>
      </c>
      <c r="I103" s="176">
        <v>0.52940280316880695</v>
      </c>
      <c r="J103" s="176">
        <v>0.52940280316880695</v>
      </c>
      <c r="K103" s="176">
        <v>0.52940280316880695</v>
      </c>
      <c r="L103" s="176">
        <v>0.52940280316880695</v>
      </c>
      <c r="M103" s="176">
        <v>0.52940280316880695</v>
      </c>
      <c r="N103" s="176">
        <v>0.52940280316880695</v>
      </c>
      <c r="O103" s="176">
        <v>0.52940280316880695</v>
      </c>
      <c r="P103" s="177">
        <v>1983.2</v>
      </c>
      <c r="Q103" s="177">
        <v>1267.4000000000001</v>
      </c>
      <c r="R103" s="177">
        <v>2001.6</v>
      </c>
      <c r="S103" s="178">
        <f t="shared" ref="S103:S104" si="71">P103/(P103-Q103)</f>
        <v>2.77060631461302</v>
      </c>
      <c r="T103" s="178">
        <f t="shared" ref="T103:T104" si="72">R103/(R103-Q103)</f>
        <v>2.7262326341596301</v>
      </c>
      <c r="U103" s="179">
        <f t="shared" ref="U103:U104" si="73">P103/(R103-Q103)</f>
        <v>2.70117134295832</v>
      </c>
    </row>
    <row r="104" spans="1:36">
      <c r="A104" s="159" t="s">
        <v>110</v>
      </c>
      <c r="B104" s="159" t="s">
        <v>81</v>
      </c>
      <c r="C104" s="168" t="s">
        <v>63</v>
      </c>
      <c r="D104" s="176">
        <v>100</v>
      </c>
      <c r="E104" s="176">
        <v>100</v>
      </c>
      <c r="F104" s="176">
        <v>100</v>
      </c>
      <c r="G104" s="176">
        <v>100</v>
      </c>
      <c r="H104" s="176">
        <v>94.446666666666701</v>
      </c>
      <c r="I104" s="176">
        <v>5.9733333333333301</v>
      </c>
      <c r="J104" s="176">
        <v>0.35999999999999899</v>
      </c>
      <c r="K104" s="176">
        <v>0.35999999999999899</v>
      </c>
      <c r="L104" s="176">
        <v>0.35999999999999899</v>
      </c>
      <c r="M104" s="176">
        <v>0.35999999999999899</v>
      </c>
      <c r="N104" s="176">
        <v>0.35999999999999899</v>
      </c>
      <c r="O104" s="176">
        <v>0.35999999999999899</v>
      </c>
      <c r="P104" s="177">
        <v>1464.6</v>
      </c>
      <c r="Q104" s="177">
        <v>932.5</v>
      </c>
      <c r="R104" s="177">
        <v>1478.5</v>
      </c>
      <c r="S104" s="178">
        <f t="shared" si="71"/>
        <v>2.7524901334335699</v>
      </c>
      <c r="T104" s="178">
        <f t="shared" si="72"/>
        <v>2.7078754578754598</v>
      </c>
      <c r="U104" s="179">
        <f t="shared" si="73"/>
        <v>2.68241758241758</v>
      </c>
    </row>
    <row r="105" spans="1:36">
      <c r="A105" s="159" t="s">
        <v>110</v>
      </c>
      <c r="B105" s="159" t="s">
        <v>82</v>
      </c>
      <c r="C105" s="168" t="s">
        <v>65</v>
      </c>
      <c r="D105" s="176">
        <v>100</v>
      </c>
      <c r="E105" s="176">
        <v>100</v>
      </c>
      <c r="F105" s="176">
        <v>100</v>
      </c>
      <c r="G105" s="176">
        <v>100</v>
      </c>
      <c r="H105" s="176">
        <v>100</v>
      </c>
      <c r="I105" s="176">
        <v>98.066666666666706</v>
      </c>
      <c r="J105" s="176">
        <v>62.4</v>
      </c>
      <c r="K105" s="176">
        <v>37.266666666666701</v>
      </c>
      <c r="L105" s="176">
        <v>26.441666666666698</v>
      </c>
      <c r="M105" s="176">
        <v>16.7083333333333</v>
      </c>
      <c r="N105" s="176">
        <v>11.675000000000001</v>
      </c>
      <c r="O105" s="176">
        <v>8.4500000000000206</v>
      </c>
      <c r="V105" s="180">
        <v>296.10000000000002</v>
      </c>
      <c r="W105" s="180">
        <v>641.5</v>
      </c>
      <c r="X105" s="180">
        <v>829</v>
      </c>
      <c r="Y105" s="180">
        <v>300</v>
      </c>
      <c r="Z105" s="196">
        <f>V105/(V105+W105-X105)</f>
        <v>2.7265193370165699</v>
      </c>
      <c r="AA105" s="196">
        <f>Y105/(Y105+W105-X105)</f>
        <v>2.6666666666666701</v>
      </c>
      <c r="AB105" s="196">
        <f>V105/(Y105+W105-X105)</f>
        <v>2.6320000000000001</v>
      </c>
    </row>
    <row r="106" spans="1:36">
      <c r="A106" s="159" t="s">
        <v>110</v>
      </c>
      <c r="B106" s="159" t="s">
        <v>99</v>
      </c>
      <c r="C106" s="168" t="s">
        <v>73</v>
      </c>
      <c r="D106" s="176">
        <v>100</v>
      </c>
      <c r="E106" s="176">
        <v>100</v>
      </c>
      <c r="F106" s="176">
        <v>100</v>
      </c>
      <c r="G106" s="176">
        <v>100</v>
      </c>
      <c r="H106" s="176">
        <v>100</v>
      </c>
      <c r="I106" s="176">
        <v>100</v>
      </c>
      <c r="J106" s="176">
        <v>100</v>
      </c>
      <c r="K106" s="176">
        <v>100</v>
      </c>
      <c r="L106" s="176">
        <v>100</v>
      </c>
      <c r="M106" s="176">
        <v>97.4</v>
      </c>
      <c r="N106" s="176">
        <v>90.2</v>
      </c>
      <c r="O106" s="176">
        <v>78.2</v>
      </c>
      <c r="V106" s="180">
        <v>294</v>
      </c>
      <c r="W106" s="180">
        <v>676.5</v>
      </c>
      <c r="X106" s="180">
        <v>864.8</v>
      </c>
      <c r="Y106" s="180">
        <v>300.10000000000002</v>
      </c>
      <c r="Z106" s="196">
        <f>V106/(V106+W106-X106)</f>
        <v>2.7814569536423801</v>
      </c>
      <c r="AA106" s="196">
        <f>Y106/(Y106+W106-X106)</f>
        <v>2.68425760286225</v>
      </c>
      <c r="AB106" s="196">
        <f>V106/(Y106+W106-X106)</f>
        <v>2.62969588550984</v>
      </c>
    </row>
    <row r="107" spans="1:36">
      <c r="A107" s="159" t="s">
        <v>110</v>
      </c>
      <c r="B107" s="159" t="s">
        <v>74</v>
      </c>
      <c r="C107" s="168" t="s">
        <v>111</v>
      </c>
      <c r="D107" s="176">
        <v>100</v>
      </c>
      <c r="E107" s="176">
        <v>100</v>
      </c>
      <c r="F107" s="176">
        <v>97.924710424710398</v>
      </c>
      <c r="G107" s="176">
        <v>96.227546553279396</v>
      </c>
      <c r="H107" s="176">
        <v>90.243190650356794</v>
      </c>
      <c r="I107" s="176">
        <v>63.936071631511403</v>
      </c>
      <c r="J107" s="176">
        <v>40.314719834263798</v>
      </c>
      <c r="K107" s="176">
        <v>26.7301630493813</v>
      </c>
      <c r="L107" s="176">
        <v>21.108969602454899</v>
      </c>
      <c r="M107" s="176">
        <v>14.956487961373901</v>
      </c>
      <c r="N107" s="176">
        <v>10.9349614642774</v>
      </c>
      <c r="O107" s="176">
        <v>8.2538818695170395</v>
      </c>
      <c r="P107" s="177">
        <v>868.8</v>
      </c>
      <c r="Q107" s="177">
        <v>560.4</v>
      </c>
      <c r="R107" s="177">
        <v>882.3</v>
      </c>
      <c r="S107" s="178">
        <f t="shared" ref="S107" si="74">P107/(P107-Q107)</f>
        <v>2.81712062256809</v>
      </c>
      <c r="T107" s="178">
        <f t="shared" ref="T107" si="75">R107/(R107-Q107)</f>
        <v>2.7409133271202202</v>
      </c>
      <c r="U107" s="179">
        <f t="shared" ref="U107" si="76">P107/(R107-Q107)</f>
        <v>2.6989748369058701</v>
      </c>
      <c r="AG107" s="183">
        <v>1198.5999999999999</v>
      </c>
      <c r="AH107" s="183">
        <v>1135.9000000000001</v>
      </c>
      <c r="AI107" s="183">
        <f>100*AJ107/(100-AJ107)</f>
        <v>5.8423406634364303</v>
      </c>
      <c r="AJ107" s="183">
        <f>100*(AG107-AH107)/AH107</f>
        <v>5.5198520996566396</v>
      </c>
    </row>
    <row r="108" spans="1:36">
      <c r="A108" s="159" t="s">
        <v>112</v>
      </c>
      <c r="B108" s="159" t="s">
        <v>81</v>
      </c>
      <c r="C108" s="168" t="s">
        <v>79</v>
      </c>
      <c r="D108" s="176">
        <v>100</v>
      </c>
      <c r="E108" s="176">
        <v>100</v>
      </c>
      <c r="F108" s="176">
        <v>100</v>
      </c>
      <c r="G108" s="176">
        <v>63.619744058500899</v>
      </c>
      <c r="H108" s="176">
        <v>8.8398842169408898</v>
      </c>
      <c r="I108" s="176">
        <v>0.52940280316880695</v>
      </c>
      <c r="J108" s="176">
        <v>0.52940280316880695</v>
      </c>
      <c r="K108" s="176">
        <v>0.52940280316880695</v>
      </c>
      <c r="L108" s="176">
        <v>0.52940280316880695</v>
      </c>
      <c r="M108" s="176">
        <v>0.52940280316880695</v>
      </c>
      <c r="N108" s="176">
        <v>0.52940280316880695</v>
      </c>
      <c r="O108" s="176">
        <v>0.52940280316880695</v>
      </c>
    </row>
    <row r="109" spans="1:36">
      <c r="A109" s="159" t="s">
        <v>112</v>
      </c>
      <c r="B109" s="159" t="s">
        <v>81</v>
      </c>
      <c r="C109" s="168" t="s">
        <v>63</v>
      </c>
      <c r="D109" s="176">
        <v>100</v>
      </c>
      <c r="E109" s="176">
        <v>100</v>
      </c>
      <c r="F109" s="176">
        <v>100</v>
      </c>
      <c r="G109" s="176">
        <v>100</v>
      </c>
      <c r="H109" s="176">
        <v>94.446666666666701</v>
      </c>
      <c r="I109" s="176">
        <v>5.9733333333333301</v>
      </c>
      <c r="J109" s="176">
        <v>0.35999999999999899</v>
      </c>
      <c r="K109" s="176">
        <v>0.35999999999999899</v>
      </c>
      <c r="L109" s="176">
        <v>0.35999999999999899</v>
      </c>
      <c r="M109" s="176">
        <v>0.35999999999999899</v>
      </c>
      <c r="N109" s="176">
        <v>0.35999999999999899</v>
      </c>
      <c r="O109" s="176">
        <v>0.35999999999999899</v>
      </c>
    </row>
    <row r="110" spans="1:36">
      <c r="A110" s="159" t="s">
        <v>112</v>
      </c>
      <c r="B110" s="159" t="s">
        <v>82</v>
      </c>
      <c r="C110" s="168" t="s">
        <v>65</v>
      </c>
      <c r="D110" s="176">
        <v>100</v>
      </c>
      <c r="E110" s="176">
        <v>100</v>
      </c>
      <c r="F110" s="176">
        <v>100</v>
      </c>
      <c r="G110" s="176">
        <v>100</v>
      </c>
      <c r="H110" s="176">
        <v>100</v>
      </c>
      <c r="I110" s="176">
        <v>98.066666666666706</v>
      </c>
      <c r="J110" s="176">
        <v>62.4</v>
      </c>
      <c r="K110" s="176">
        <v>37.266666666666701</v>
      </c>
      <c r="L110" s="176">
        <v>26.441666666666698</v>
      </c>
      <c r="M110" s="176">
        <v>16.7083333333333</v>
      </c>
      <c r="N110" s="176">
        <v>11.675000000000001</v>
      </c>
      <c r="O110" s="176">
        <v>8.4500000000000206</v>
      </c>
      <c r="V110" s="180">
        <v>293.39999999999998</v>
      </c>
      <c r="W110" s="180">
        <v>683.8</v>
      </c>
      <c r="X110" s="180">
        <v>871.5</v>
      </c>
      <c r="Y110" s="180">
        <v>300.2</v>
      </c>
      <c r="Z110" s="196">
        <f>V110/(V110+W110-X110)</f>
        <v>2.7757805108798501</v>
      </c>
      <c r="AA110" s="196">
        <f>Y110/(Y110+W110-X110)</f>
        <v>2.66844444444444</v>
      </c>
      <c r="AB110" s="196">
        <f>V110/(Y110+W110-X110)</f>
        <v>2.6080000000000001</v>
      </c>
    </row>
    <row r="111" spans="1:36">
      <c r="A111" s="159" t="s">
        <v>112</v>
      </c>
      <c r="B111" s="159" t="s">
        <v>99</v>
      </c>
      <c r="C111" s="168" t="s">
        <v>73</v>
      </c>
      <c r="D111" s="176">
        <v>100</v>
      </c>
      <c r="E111" s="176">
        <v>100</v>
      </c>
      <c r="F111" s="176">
        <v>100</v>
      </c>
      <c r="G111" s="176">
        <v>100</v>
      </c>
      <c r="H111" s="176">
        <v>100</v>
      </c>
      <c r="I111" s="176">
        <v>100</v>
      </c>
      <c r="J111" s="176">
        <v>100</v>
      </c>
      <c r="K111" s="176">
        <v>100</v>
      </c>
      <c r="L111" s="176">
        <v>100</v>
      </c>
      <c r="M111" s="176">
        <v>97.4</v>
      </c>
      <c r="N111" s="176">
        <v>90.2</v>
      </c>
      <c r="O111" s="176">
        <v>78.2</v>
      </c>
      <c r="V111" s="180">
        <v>294</v>
      </c>
      <c r="W111" s="180">
        <v>676.5</v>
      </c>
      <c r="X111" s="180">
        <v>864.8</v>
      </c>
      <c r="Y111" s="180">
        <v>300.10000000000002</v>
      </c>
      <c r="Z111" s="196">
        <f>V111/(V111+W111-X111)</f>
        <v>2.7814569536423801</v>
      </c>
      <c r="AA111" s="196">
        <f>Y111/(Y111+W111-X111)</f>
        <v>2.68425760286225</v>
      </c>
      <c r="AB111" s="196">
        <f>V111/(Y111+W111-X111)</f>
        <v>2.62969588550984</v>
      </c>
    </row>
    <row r="112" spans="1:36">
      <c r="A112" s="159" t="s">
        <v>112</v>
      </c>
      <c r="B112" s="159" t="s">
        <v>74</v>
      </c>
      <c r="C112" s="168" t="s">
        <v>68</v>
      </c>
      <c r="D112" s="176">
        <v>100</v>
      </c>
      <c r="E112" s="176">
        <v>100</v>
      </c>
      <c r="F112" s="176">
        <v>100</v>
      </c>
      <c r="G112" s="176">
        <v>98.974898015366605</v>
      </c>
      <c r="H112" s="176">
        <v>86.565125077025399</v>
      </c>
      <c r="I112" s="176">
        <v>39.000574265984604</v>
      </c>
      <c r="J112" s="176">
        <v>22.306486229453402</v>
      </c>
      <c r="K112" s="176">
        <v>15.7753639216211</v>
      </c>
      <c r="L112" s="176">
        <v>13.0111491474958</v>
      </c>
      <c r="M112" s="176">
        <v>9.3354004203167094</v>
      </c>
      <c r="N112" s="176">
        <v>6.1066051410671802</v>
      </c>
      <c r="O112" s="176">
        <v>4.1882185511587098</v>
      </c>
      <c r="P112" s="177">
        <v>632.6</v>
      </c>
      <c r="Q112" s="177">
        <v>405.9</v>
      </c>
      <c r="R112" s="177">
        <v>642.79999999999995</v>
      </c>
      <c r="S112" s="178">
        <f t="shared" ref="S112:S114" si="77">P112/(P112-Q112)</f>
        <v>2.7904719894133199</v>
      </c>
      <c r="T112" s="178">
        <f t="shared" ref="T112:T114" si="78">R112/(R112-Q112)</f>
        <v>2.7133811734909199</v>
      </c>
      <c r="U112" s="179">
        <f t="shared" ref="U112:U114" si="79">P112/(R112-Q112)</f>
        <v>2.6703250316589302</v>
      </c>
    </row>
    <row r="113" spans="1:36" ht="14.4">
      <c r="A113" s="159" t="s">
        <v>113</v>
      </c>
      <c r="B113" s="159" t="s">
        <v>61</v>
      </c>
      <c r="C113" s="157" t="s">
        <v>62</v>
      </c>
      <c r="D113" s="176">
        <v>100</v>
      </c>
      <c r="E113" s="176">
        <v>93.5</v>
      </c>
      <c r="F113" s="176">
        <v>66.400000000000006</v>
      </c>
      <c r="G113" s="176">
        <v>28.4</v>
      </c>
      <c r="H113" s="176">
        <v>1.7</v>
      </c>
      <c r="I113" s="176">
        <v>0.8</v>
      </c>
      <c r="J113" s="176">
        <v>0.8</v>
      </c>
      <c r="K113" s="176">
        <v>0.8</v>
      </c>
      <c r="L113" s="176">
        <v>0.8</v>
      </c>
      <c r="M113" s="176">
        <v>0.8</v>
      </c>
      <c r="N113" s="176">
        <v>0.8</v>
      </c>
      <c r="O113" s="176">
        <v>0.8</v>
      </c>
      <c r="P113" s="177">
        <v>1983.2</v>
      </c>
      <c r="Q113" s="177">
        <v>1267.4000000000001</v>
      </c>
      <c r="R113" s="177">
        <v>2001.6</v>
      </c>
      <c r="S113" s="178">
        <f t="shared" si="77"/>
        <v>2.77060631461302</v>
      </c>
      <c r="T113" s="178">
        <f t="shared" si="78"/>
        <v>2.7262326341596301</v>
      </c>
      <c r="U113" s="179">
        <f t="shared" si="79"/>
        <v>2.70117134295832</v>
      </c>
    </row>
    <row r="114" spans="1:36" ht="14.4">
      <c r="A114" s="159" t="s">
        <v>113</v>
      </c>
      <c r="B114" s="159" t="s">
        <v>61</v>
      </c>
      <c r="C114" s="168" t="s">
        <v>63</v>
      </c>
      <c r="D114" s="176">
        <v>100</v>
      </c>
      <c r="E114" s="176">
        <v>100</v>
      </c>
      <c r="F114" s="176">
        <v>100</v>
      </c>
      <c r="G114" s="176">
        <v>100</v>
      </c>
      <c r="H114" s="176">
        <v>94.446666666666701</v>
      </c>
      <c r="I114" s="176">
        <v>5.9733333333333301</v>
      </c>
      <c r="J114" s="176">
        <v>0.35999999999999899</v>
      </c>
      <c r="K114" s="176">
        <v>0.35999999999999899</v>
      </c>
      <c r="L114" s="176">
        <v>0.35999999999999899</v>
      </c>
      <c r="M114" s="176">
        <v>0.35999999999999899</v>
      </c>
      <c r="N114" s="176">
        <v>0.35999999999999899</v>
      </c>
      <c r="O114" s="176">
        <v>0.35999999999999899</v>
      </c>
      <c r="P114" s="177">
        <v>1464.6</v>
      </c>
      <c r="Q114" s="177">
        <v>932.5</v>
      </c>
      <c r="R114" s="177">
        <v>1478.5</v>
      </c>
      <c r="S114" s="178">
        <f t="shared" si="77"/>
        <v>2.7524901334335699</v>
      </c>
      <c r="T114" s="178">
        <f t="shared" si="78"/>
        <v>2.7078754578754598</v>
      </c>
      <c r="U114" s="179">
        <f t="shared" si="79"/>
        <v>2.68241758241758</v>
      </c>
    </row>
    <row r="115" spans="1:36" ht="14.4">
      <c r="A115" s="159" t="s">
        <v>113</v>
      </c>
      <c r="B115" s="159" t="s">
        <v>64</v>
      </c>
      <c r="C115" s="168" t="s">
        <v>65</v>
      </c>
      <c r="D115" s="176">
        <v>100</v>
      </c>
      <c r="E115" s="176">
        <v>100</v>
      </c>
      <c r="F115" s="176">
        <v>100</v>
      </c>
      <c r="G115" s="176">
        <v>100</v>
      </c>
      <c r="H115" s="176">
        <v>100</v>
      </c>
      <c r="I115" s="176">
        <v>98.066666666666706</v>
      </c>
      <c r="J115" s="176">
        <v>62.4</v>
      </c>
      <c r="K115" s="176">
        <v>37.266666666666701</v>
      </c>
      <c r="L115" s="176">
        <v>26.441666666666698</v>
      </c>
      <c r="M115" s="176">
        <v>16.7083333333333</v>
      </c>
      <c r="N115" s="176">
        <v>11.675000000000001</v>
      </c>
      <c r="O115" s="176">
        <v>8.4500000000000206</v>
      </c>
      <c r="V115" s="188">
        <v>296.10000000000002</v>
      </c>
      <c r="W115" s="188">
        <v>641.5</v>
      </c>
      <c r="X115" s="188">
        <v>829</v>
      </c>
      <c r="Y115" s="188">
        <v>300</v>
      </c>
      <c r="Z115" s="196">
        <f>V115/(V115+W115-X115)</f>
        <v>2.7265193370165699</v>
      </c>
      <c r="AA115" s="196">
        <f>Y115/(Y115+W115-X115)</f>
        <v>2.6666666666666701</v>
      </c>
      <c r="AB115" s="196">
        <f>V115/(Y115+W115-X115)</f>
        <v>2.6320000000000001</v>
      </c>
    </row>
    <row r="116" spans="1:36">
      <c r="A116" s="159" t="s">
        <v>113</v>
      </c>
      <c r="B116" s="159" t="s">
        <v>99</v>
      </c>
      <c r="C116" s="168" t="s">
        <v>91</v>
      </c>
      <c r="D116" s="176">
        <v>100</v>
      </c>
      <c r="E116" s="176">
        <v>100</v>
      </c>
      <c r="F116" s="176">
        <v>100</v>
      </c>
      <c r="G116" s="176">
        <v>100</v>
      </c>
      <c r="H116" s="176">
        <v>100</v>
      </c>
      <c r="I116" s="176">
        <v>100</v>
      </c>
      <c r="J116" s="176">
        <v>100</v>
      </c>
      <c r="K116" s="176">
        <v>100</v>
      </c>
      <c r="L116" s="176">
        <v>100</v>
      </c>
      <c r="M116" s="176">
        <v>97.4</v>
      </c>
      <c r="N116" s="176">
        <v>90.2</v>
      </c>
      <c r="O116" s="176">
        <v>78.2</v>
      </c>
      <c r="V116" s="188"/>
      <c r="W116" s="188"/>
      <c r="X116" s="188"/>
      <c r="Y116" s="188"/>
    </row>
    <row r="117" spans="1:36">
      <c r="A117" s="159" t="s">
        <v>113</v>
      </c>
      <c r="B117" s="159" t="s">
        <v>74</v>
      </c>
      <c r="C117" s="168" t="s">
        <v>62</v>
      </c>
      <c r="D117" s="176">
        <v>100</v>
      </c>
      <c r="E117" s="176">
        <v>100</v>
      </c>
      <c r="F117" s="176">
        <v>98.655621944595296</v>
      </c>
      <c r="G117" s="176">
        <v>87.221618685497006</v>
      </c>
      <c r="H117" s="176">
        <v>52.654807170016298</v>
      </c>
      <c r="I117" s="176">
        <v>22.4198804997284</v>
      </c>
      <c r="J117" s="176">
        <v>16.139326453014601</v>
      </c>
      <c r="K117" s="176">
        <v>13.1178707224335</v>
      </c>
      <c r="L117" s="176">
        <v>11.4272134709397</v>
      </c>
      <c r="M117" s="176">
        <v>8.8810429114611402</v>
      </c>
      <c r="N117" s="176">
        <v>6.24660510592068</v>
      </c>
      <c r="O117" s="176">
        <v>3.6732753938076899</v>
      </c>
      <c r="P117" s="177">
        <v>1144</v>
      </c>
      <c r="Q117" s="177">
        <v>743.3</v>
      </c>
      <c r="R117" s="177">
        <v>1160</v>
      </c>
      <c r="S117" s="178">
        <f t="shared" ref="S117" si="80">P117/(P117-Q117)</f>
        <v>2.8550037434489601</v>
      </c>
      <c r="T117" s="178">
        <f t="shared" ref="T117" si="81">R117/(R117-Q117)</f>
        <v>2.7837772978161701</v>
      </c>
      <c r="U117" s="179">
        <f t="shared" ref="U117" si="82">P117/(R117-Q117)</f>
        <v>2.7453803695704302</v>
      </c>
      <c r="V117" s="188"/>
      <c r="W117" s="188"/>
      <c r="X117" s="188"/>
      <c r="Y117" s="188"/>
      <c r="AG117" s="191">
        <v>1540.1</v>
      </c>
      <c r="AH117" s="191">
        <v>1472.8</v>
      </c>
      <c r="AI117" s="184">
        <f t="shared" ref="AI117:AI119" si="83">100*AJ117/(100+AJ117)</f>
        <v>3.7072701011073699</v>
      </c>
      <c r="AJ117" s="183">
        <v>3.85</v>
      </c>
    </row>
    <row r="118" spans="1:36">
      <c r="A118" s="159" t="s">
        <v>113</v>
      </c>
      <c r="B118" s="159" t="s">
        <v>74</v>
      </c>
      <c r="C118" s="168" t="s">
        <v>63</v>
      </c>
      <c r="D118" s="176">
        <v>100</v>
      </c>
      <c r="E118" s="176">
        <v>100</v>
      </c>
      <c r="F118" s="176">
        <v>100</v>
      </c>
      <c r="G118" s="176">
        <v>100</v>
      </c>
      <c r="H118" s="176">
        <v>97.465866776996293</v>
      </c>
      <c r="I118" s="176">
        <v>42.107985105502699</v>
      </c>
      <c r="J118" s="176">
        <v>19.331816301199801</v>
      </c>
      <c r="K118" s="176">
        <v>14.6772858916011</v>
      </c>
      <c r="L118" s="176">
        <v>12.639635912287901</v>
      </c>
      <c r="M118" s="176">
        <v>9.2676872155564496</v>
      </c>
      <c r="N118" s="176">
        <v>7.0645428216797503</v>
      </c>
      <c r="O118" s="176">
        <v>4.7579644187008698</v>
      </c>
      <c r="V118" s="188"/>
      <c r="W118" s="188"/>
      <c r="X118" s="188"/>
      <c r="Y118" s="188"/>
      <c r="AG118" s="191">
        <v>1000</v>
      </c>
      <c r="AH118" s="191">
        <v>966.7</v>
      </c>
      <c r="AI118" s="184">
        <f t="shared" si="83"/>
        <v>4.27874030822246</v>
      </c>
      <c r="AJ118" s="183">
        <v>4.47</v>
      </c>
    </row>
    <row r="119" spans="1:36">
      <c r="A119" s="159" t="s">
        <v>113</v>
      </c>
      <c r="B119" s="159" t="s">
        <v>76</v>
      </c>
      <c r="C119" s="168" t="s">
        <v>65</v>
      </c>
      <c r="D119" s="176">
        <v>100</v>
      </c>
      <c r="E119" s="176">
        <v>100</v>
      </c>
      <c r="F119" s="176">
        <v>100</v>
      </c>
      <c r="G119" s="176">
        <v>100</v>
      </c>
      <c r="H119" s="176">
        <v>100</v>
      </c>
      <c r="I119" s="176">
        <v>95.533769063180799</v>
      </c>
      <c r="J119" s="176">
        <v>62.327523602033402</v>
      </c>
      <c r="K119" s="176">
        <v>44.6623093681917</v>
      </c>
      <c r="L119" s="176">
        <v>35.221496005809698</v>
      </c>
      <c r="M119" s="176">
        <v>25.0726216412491</v>
      </c>
      <c r="N119" s="176">
        <v>15.6136528685548</v>
      </c>
      <c r="O119" s="176">
        <v>10.675381263616501</v>
      </c>
      <c r="V119" s="188">
        <v>295.2</v>
      </c>
      <c r="W119" s="188">
        <v>630.58000000000004</v>
      </c>
      <c r="X119" s="188">
        <v>822.87</v>
      </c>
      <c r="Y119" s="188">
        <v>300</v>
      </c>
      <c r="Z119" s="196">
        <f>V119/(V119+W119-X119)</f>
        <v>2.8685258964143401</v>
      </c>
      <c r="AA119" s="196">
        <f>Y119/(Y119+W119-X119)</f>
        <v>2.7852567078265702</v>
      </c>
      <c r="AB119" s="196">
        <f>V119/(Y119+W119-X119)</f>
        <v>2.7406926005013501</v>
      </c>
      <c r="AG119" s="191">
        <v>600</v>
      </c>
      <c r="AH119" s="191">
        <v>550.20000000000005</v>
      </c>
      <c r="AI119" s="184">
        <f t="shared" si="83"/>
        <v>6.7425160869159804</v>
      </c>
      <c r="AJ119" s="183">
        <v>7.23</v>
      </c>
    </row>
    <row r="120" spans="1:36">
      <c r="A120" s="159" t="s">
        <v>114</v>
      </c>
      <c r="B120" s="159" t="s">
        <v>81</v>
      </c>
      <c r="C120" s="157" t="s">
        <v>115</v>
      </c>
      <c r="D120" s="176">
        <v>100</v>
      </c>
      <c r="E120" s="176">
        <v>100</v>
      </c>
      <c r="F120" s="176">
        <v>100</v>
      </c>
      <c r="G120" s="176">
        <v>92.726547437005493</v>
      </c>
      <c r="H120" s="176">
        <v>15.770228043348199</v>
      </c>
      <c r="I120" s="176">
        <v>0.14626687055381599</v>
      </c>
      <c r="J120" s="176">
        <v>0.14626687055381599</v>
      </c>
      <c r="K120" s="176">
        <v>0.14626687055381599</v>
      </c>
      <c r="L120" s="176">
        <v>0.14626687055381599</v>
      </c>
      <c r="M120" s="176">
        <v>0.14626687055381599</v>
      </c>
      <c r="N120" s="176">
        <v>0.14626687055381599</v>
      </c>
      <c r="O120" s="176">
        <v>0.14626687055381599</v>
      </c>
      <c r="P120" s="177">
        <v>1581.9</v>
      </c>
      <c r="Q120" s="177">
        <v>1001.6</v>
      </c>
      <c r="R120" s="177">
        <v>1590.9</v>
      </c>
      <c r="S120" s="178">
        <f t="shared" ref="S120:S122" si="84">P120/(P120-Q120)</f>
        <v>2.7260037911425101</v>
      </c>
      <c r="T120" s="178">
        <f t="shared" ref="T120:T122" si="85">R120/(R120-Q120)</f>
        <v>2.6996436450025501</v>
      </c>
      <c r="U120" s="179">
        <f t="shared" ref="U120:U122" si="86">P120/(R120-Q120)</f>
        <v>2.68437128796878</v>
      </c>
    </row>
    <row r="121" spans="1:36">
      <c r="A121" s="159" t="s">
        <v>114</v>
      </c>
      <c r="B121" s="159" t="s">
        <v>81</v>
      </c>
      <c r="C121" s="157" t="s">
        <v>116</v>
      </c>
      <c r="D121" s="176">
        <v>100</v>
      </c>
      <c r="E121" s="176">
        <v>100</v>
      </c>
      <c r="F121" s="176">
        <v>100</v>
      </c>
      <c r="G121" s="176">
        <v>100</v>
      </c>
      <c r="H121" s="176">
        <v>85.256</v>
      </c>
      <c r="I121" s="176">
        <v>2.71157414014557</v>
      </c>
      <c r="J121" s="176">
        <v>0.135578707007312</v>
      </c>
      <c r="K121" s="176">
        <v>0.135578707007312</v>
      </c>
      <c r="L121" s="176">
        <v>0.135578707007312</v>
      </c>
      <c r="M121" s="176">
        <v>0.135578707007312</v>
      </c>
      <c r="N121" s="176">
        <v>0.135578707007312</v>
      </c>
      <c r="O121" s="176">
        <v>0.135578707007312</v>
      </c>
      <c r="P121" s="177">
        <v>1236.4000000000001</v>
      </c>
      <c r="Q121" s="177">
        <v>778.7</v>
      </c>
      <c r="R121" s="177">
        <v>1242.5</v>
      </c>
      <c r="S121" s="178">
        <f t="shared" si="84"/>
        <v>2.70133275071007</v>
      </c>
      <c r="T121" s="178">
        <f t="shared" si="85"/>
        <v>2.6789564467442899</v>
      </c>
      <c r="U121" s="179">
        <f t="shared" si="86"/>
        <v>2.6658042259594699</v>
      </c>
    </row>
    <row r="122" spans="1:36">
      <c r="A122" s="159" t="s">
        <v>114</v>
      </c>
      <c r="B122" s="159" t="s">
        <v>81</v>
      </c>
      <c r="C122" s="157" t="s">
        <v>117</v>
      </c>
      <c r="D122" s="176">
        <v>100</v>
      </c>
      <c r="E122" s="176">
        <v>100</v>
      </c>
      <c r="F122" s="176">
        <v>100</v>
      </c>
      <c r="G122" s="176">
        <v>100</v>
      </c>
      <c r="H122" s="176">
        <v>99.545454545454504</v>
      </c>
      <c r="I122" s="176">
        <v>55.809090909090898</v>
      </c>
      <c r="J122" s="176">
        <v>0.53636363636364603</v>
      </c>
      <c r="K122" s="176">
        <v>0.16363636363637099</v>
      </c>
      <c r="L122" s="176">
        <v>0.16363636363637099</v>
      </c>
      <c r="M122" s="176">
        <v>0.16363636363637099</v>
      </c>
      <c r="N122" s="176">
        <v>0.16363636363637099</v>
      </c>
      <c r="O122" s="176">
        <v>0.16363636363637099</v>
      </c>
      <c r="P122" s="177">
        <v>336.9</v>
      </c>
      <c r="Q122" s="177">
        <v>212.8</v>
      </c>
      <c r="R122" s="177">
        <v>338.9</v>
      </c>
      <c r="S122" s="178">
        <f t="shared" si="84"/>
        <v>2.71474617244158</v>
      </c>
      <c r="T122" s="178">
        <f t="shared" si="85"/>
        <v>2.6875495638382199</v>
      </c>
      <c r="U122" s="179">
        <f t="shared" si="86"/>
        <v>2.6716891356066599</v>
      </c>
    </row>
    <row r="123" spans="1:36">
      <c r="A123" s="159" t="s">
        <v>114</v>
      </c>
      <c r="B123" s="159" t="s">
        <v>82</v>
      </c>
      <c r="C123" s="157" t="s">
        <v>71</v>
      </c>
      <c r="D123" s="176">
        <v>100</v>
      </c>
      <c r="E123" s="176">
        <v>100</v>
      </c>
      <c r="F123" s="176">
        <v>100</v>
      </c>
      <c r="G123" s="176">
        <v>100</v>
      </c>
      <c r="H123" s="176">
        <v>100</v>
      </c>
      <c r="I123" s="176">
        <v>99.37</v>
      </c>
      <c r="J123" s="176">
        <v>71.88</v>
      </c>
      <c r="K123" s="176">
        <v>34.4</v>
      </c>
      <c r="L123" s="176">
        <v>20.45</v>
      </c>
      <c r="M123" s="176">
        <v>8.9599999999999902</v>
      </c>
      <c r="N123" s="176">
        <v>3.4300000000000099</v>
      </c>
      <c r="O123" s="176">
        <v>1.73</v>
      </c>
      <c r="V123" s="180">
        <v>297.8</v>
      </c>
      <c r="W123" s="180">
        <v>703.1</v>
      </c>
      <c r="X123" s="180">
        <v>887.2</v>
      </c>
      <c r="Y123" s="180">
        <v>300.10000000000002</v>
      </c>
      <c r="Z123" s="196">
        <f>V123/(V123+W123-X123)</f>
        <v>2.6191732629727298</v>
      </c>
      <c r="AA123" s="196">
        <f>Y123/(Y123+W123-X123)</f>
        <v>2.5870689655172399</v>
      </c>
      <c r="AB123" s="196">
        <f>V123/(Y123+W123-X123)</f>
        <v>2.5672413793103401</v>
      </c>
    </row>
    <row r="124" spans="1:36">
      <c r="A124" s="159" t="s">
        <v>114</v>
      </c>
      <c r="B124" s="159" t="s">
        <v>74</v>
      </c>
      <c r="C124" s="157" t="s">
        <v>79</v>
      </c>
      <c r="D124" s="176">
        <v>100</v>
      </c>
      <c r="E124" s="176">
        <v>100</v>
      </c>
      <c r="F124" s="176">
        <v>100</v>
      </c>
      <c r="G124" s="176">
        <v>98.474269459529395</v>
      </c>
      <c r="H124" s="176">
        <v>61.158520817170903</v>
      </c>
      <c r="I124" s="176">
        <v>25.5667614860788</v>
      </c>
      <c r="J124" s="176">
        <v>19.6189983622101</v>
      </c>
      <c r="K124" s="176">
        <v>16.369278510473201</v>
      </c>
      <c r="L124" s="176">
        <v>14.2660115507284</v>
      </c>
      <c r="M124" s="176">
        <v>10.6801137832945</v>
      </c>
      <c r="N124" s="176">
        <v>6.0425825359882701</v>
      </c>
      <c r="O124" s="176">
        <v>3.2928195845185502</v>
      </c>
      <c r="P124" s="177">
        <v>2018.7</v>
      </c>
      <c r="Q124" s="177">
        <v>1303.9000000000001</v>
      </c>
      <c r="R124" s="177">
        <v>2026.7</v>
      </c>
      <c r="S124" s="178">
        <f>P124/(P124-Q124)</f>
        <v>2.8241466144376002</v>
      </c>
      <c r="T124" s="178">
        <f t="shared" ref="T124" si="87">R124/(R124-Q124)</f>
        <v>2.8039568345323702</v>
      </c>
      <c r="U124" s="179">
        <f t="shared" ref="U124" si="88">P124/(R124-Q124)</f>
        <v>2.7928887659103498</v>
      </c>
      <c r="AG124" s="191">
        <v>1207.56666666667</v>
      </c>
      <c r="AH124" s="191">
        <v>1160.3</v>
      </c>
      <c r="AI124" s="184">
        <f t="shared" ref="AI124:AI125" si="89">100*AJ124/(100+AJ124)</f>
        <v>3.6364325431637901</v>
      </c>
      <c r="AJ124" s="183">
        <f>100*(AG124-AH124)/AH124-0.3</f>
        <v>3.7736591111497102</v>
      </c>
    </row>
    <row r="125" spans="1:36">
      <c r="A125" s="159" t="s">
        <v>114</v>
      </c>
      <c r="B125" s="159" t="s">
        <v>76</v>
      </c>
      <c r="C125" s="157" t="s">
        <v>68</v>
      </c>
      <c r="D125" s="176">
        <v>100</v>
      </c>
      <c r="E125" s="176">
        <v>100</v>
      </c>
      <c r="F125" s="176">
        <v>100</v>
      </c>
      <c r="G125" s="176">
        <v>100</v>
      </c>
      <c r="H125" s="176">
        <v>100</v>
      </c>
      <c r="I125" s="176">
        <v>87.73</v>
      </c>
      <c r="J125" s="176">
        <v>60.642998628675898</v>
      </c>
      <c r="K125" s="176">
        <v>46.061252476001798</v>
      </c>
      <c r="L125" s="176">
        <v>36.995276550358099</v>
      </c>
      <c r="M125" s="176">
        <v>22.337345726039899</v>
      </c>
      <c r="N125" s="176">
        <v>11.3515160749657</v>
      </c>
      <c r="O125" s="176">
        <v>5.8662197165930197</v>
      </c>
      <c r="V125" s="188">
        <v>289.8</v>
      </c>
      <c r="W125" s="188">
        <v>708.5</v>
      </c>
      <c r="X125" s="188">
        <v>893.2</v>
      </c>
      <c r="Y125" s="188">
        <v>300.8</v>
      </c>
      <c r="Z125" s="196">
        <f>V125/(V125+W125-X125)</f>
        <v>2.7573739295908699</v>
      </c>
      <c r="AA125" s="196">
        <f>Y125/(Y125+W125-X125)</f>
        <v>2.59086993970715</v>
      </c>
      <c r="AB125" s="196">
        <f>V125/(Y125+W125-X125)</f>
        <v>2.4961240310077502</v>
      </c>
      <c r="AG125" s="191">
        <v>742.63333333333298</v>
      </c>
      <c r="AH125" s="191">
        <v>693.73333333333301</v>
      </c>
      <c r="AI125" s="184">
        <f t="shared" si="89"/>
        <v>6.3221477452589001</v>
      </c>
      <c r="AJ125" s="183">
        <f>100*(AG125-AH125)/AH125-0.3</f>
        <v>6.7488179896213696</v>
      </c>
    </row>
    <row r="126" spans="1:36">
      <c r="A126" s="159" t="s">
        <v>118</v>
      </c>
      <c r="B126" s="159" t="s">
        <v>81</v>
      </c>
      <c r="C126" s="168" t="s">
        <v>79</v>
      </c>
      <c r="D126" s="176">
        <v>100</v>
      </c>
      <c r="E126" s="176">
        <v>100</v>
      </c>
      <c r="F126" s="176">
        <v>100</v>
      </c>
      <c r="G126" s="176">
        <v>93.362013174793802</v>
      </c>
      <c r="H126" s="176">
        <v>21.6751597379996</v>
      </c>
      <c r="I126" s="176">
        <v>0.53036936893595099</v>
      </c>
      <c r="J126" s="176">
        <v>0.40027952898171298</v>
      </c>
      <c r="K126" s="176">
        <v>0.40027952898171298</v>
      </c>
      <c r="L126" s="176">
        <v>0.40027952898171298</v>
      </c>
      <c r="M126" s="176">
        <v>0.40027952898171298</v>
      </c>
      <c r="N126" s="176">
        <v>0.40027952898171298</v>
      </c>
      <c r="O126" s="176">
        <v>0.40027952898171298</v>
      </c>
      <c r="P126" s="177">
        <v>1202.9000000000001</v>
      </c>
      <c r="Q126" s="177">
        <v>762</v>
      </c>
      <c r="R126" s="177">
        <v>1212.5</v>
      </c>
      <c r="S126" s="178">
        <f>P126/(P126-Q126)</f>
        <v>2.72828305738263</v>
      </c>
      <c r="T126" s="178">
        <f t="shared" ref="T126:T127" si="90">R126/(R126-Q126)</f>
        <v>2.69145394006659</v>
      </c>
      <c r="U126" s="179">
        <f t="shared" ref="U126:U127" si="91">P126/(R126-Q126)</f>
        <v>2.6701442841287499</v>
      </c>
    </row>
    <row r="127" spans="1:36">
      <c r="A127" s="159" t="s">
        <v>118</v>
      </c>
      <c r="B127" s="159" t="s">
        <v>81</v>
      </c>
      <c r="C127" s="168" t="s">
        <v>63</v>
      </c>
      <c r="D127" s="176">
        <v>100</v>
      </c>
      <c r="E127" s="176">
        <v>100</v>
      </c>
      <c r="F127" s="176">
        <v>100</v>
      </c>
      <c r="G127" s="176">
        <v>100</v>
      </c>
      <c r="H127" s="176">
        <v>92.484700923438297</v>
      </c>
      <c r="I127" s="176">
        <v>7.3736084513040998</v>
      </c>
      <c r="J127" s="176">
        <v>1.07541997221835</v>
      </c>
      <c r="K127" s="176">
        <v>0.78780012661997001</v>
      </c>
      <c r="L127" s="176">
        <v>0.78780012661997001</v>
      </c>
      <c r="M127" s="176">
        <v>0.78780012661997001</v>
      </c>
      <c r="N127" s="176">
        <v>0.78780012661997001</v>
      </c>
      <c r="O127" s="176">
        <v>0.78780012661997001</v>
      </c>
      <c r="P127" s="177">
        <v>979.7</v>
      </c>
      <c r="Q127" s="177">
        <v>622.4</v>
      </c>
      <c r="R127" s="177">
        <v>990.1</v>
      </c>
      <c r="S127" s="178">
        <f>P127/(P127-Q127)</f>
        <v>2.7419535404422</v>
      </c>
      <c r="T127" s="178">
        <f t="shared" si="90"/>
        <v>2.6926842534675002</v>
      </c>
      <c r="U127" s="179">
        <f t="shared" si="91"/>
        <v>2.6644003263530101</v>
      </c>
    </row>
    <row r="128" spans="1:36">
      <c r="A128" s="159" t="s">
        <v>118</v>
      </c>
      <c r="B128" s="159" t="s">
        <v>82</v>
      </c>
      <c r="C128" s="168" t="s">
        <v>65</v>
      </c>
      <c r="D128" s="176">
        <v>100</v>
      </c>
      <c r="E128" s="176">
        <v>100</v>
      </c>
      <c r="F128" s="176">
        <v>100</v>
      </c>
      <c r="G128" s="176">
        <v>100</v>
      </c>
      <c r="H128" s="176">
        <v>100</v>
      </c>
      <c r="I128" s="176">
        <v>99.879948978090496</v>
      </c>
      <c r="J128" s="176">
        <v>83.452548603233197</v>
      </c>
      <c r="K128" s="176">
        <v>56.845575148518598</v>
      </c>
      <c r="L128" s="176">
        <v>39.857937672317597</v>
      </c>
      <c r="M128" s="176">
        <v>20.604260213340002</v>
      </c>
      <c r="N128" s="176">
        <v>10.919902228024799</v>
      </c>
      <c r="O128" s="176">
        <v>8.0736226456565703</v>
      </c>
      <c r="V128" s="180">
        <v>296.38</v>
      </c>
      <c r="W128" s="180">
        <v>686.81</v>
      </c>
      <c r="X128" s="180">
        <v>872.95</v>
      </c>
      <c r="Y128" s="180">
        <v>300</v>
      </c>
      <c r="Z128" s="196">
        <f>V128/(V128+W128-X128)</f>
        <v>2.6884978229317902</v>
      </c>
      <c r="AA128" s="196">
        <f>Y128/(Y128+W128-X128)</f>
        <v>2.6348146847005101</v>
      </c>
      <c r="AB128" s="196">
        <f>V128/(Y128+W128-X128)</f>
        <v>2.6030212541717899</v>
      </c>
    </row>
    <row r="129" spans="1:36">
      <c r="A129" s="159" t="s">
        <v>118</v>
      </c>
      <c r="B129" s="159" t="s">
        <v>74</v>
      </c>
      <c r="C129" s="168" t="s">
        <v>68</v>
      </c>
      <c r="D129" s="176">
        <v>100</v>
      </c>
      <c r="E129" s="176">
        <v>100</v>
      </c>
      <c r="F129" s="176">
        <v>100</v>
      </c>
      <c r="G129" s="176">
        <v>100</v>
      </c>
      <c r="H129" s="176">
        <v>98.076567506627796</v>
      </c>
      <c r="I129" s="176">
        <v>78.589590823754605</v>
      </c>
      <c r="J129" s="176">
        <v>56.778604039636399</v>
      </c>
      <c r="K129" s="176">
        <v>40.481799407055902</v>
      </c>
      <c r="L129" s="176">
        <v>29.929901287986301</v>
      </c>
      <c r="M129" s="176">
        <v>17.041913619018299</v>
      </c>
      <c r="N129" s="176">
        <v>9.18037236063617</v>
      </c>
      <c r="O129" s="176">
        <v>4.23908520146919</v>
      </c>
      <c r="P129" s="177">
        <v>647.6</v>
      </c>
      <c r="Q129" s="177">
        <v>411</v>
      </c>
      <c r="R129" s="177">
        <v>654.20000000000005</v>
      </c>
      <c r="S129" s="178">
        <f>P129/(P129-Q129)</f>
        <v>2.73710904480135</v>
      </c>
      <c r="T129" s="178">
        <f t="shared" ref="T129:T131" si="92">R129/(R129-Q129)</f>
        <v>2.6899671052631602</v>
      </c>
      <c r="U129" s="179">
        <f t="shared" ref="U129:U131" si="93">P129/(R129-Q129)</f>
        <v>2.6628289473684199</v>
      </c>
      <c r="V129" s="180">
        <v>293.39999999999998</v>
      </c>
      <c r="W129" s="180">
        <v>683.62</v>
      </c>
      <c r="X129" s="180">
        <v>869.16</v>
      </c>
      <c r="Y129" s="180">
        <v>300</v>
      </c>
      <c r="Z129" s="196">
        <f>V129/(V129+W129-X129)</f>
        <v>2.7201928425737099</v>
      </c>
      <c r="AA129" s="196">
        <f>Y129/(Y129+W129-X129)</f>
        <v>2.6210029704700299</v>
      </c>
      <c r="AB129" s="196">
        <f>V129/(Y129+W129-X129)</f>
        <v>2.56334090511969</v>
      </c>
      <c r="AG129" s="183">
        <v>1001.95</v>
      </c>
      <c r="AH129" s="183">
        <v>934.3</v>
      </c>
      <c r="AI129" s="184">
        <f t="shared" ref="AI129" si="94">100*AJ129/(100+AJ129)</f>
        <v>6.3150363714850002</v>
      </c>
      <c r="AJ129" s="183">
        <f>100*(AG129-AH129)/AH129-0.5</f>
        <v>6.7407149737771697</v>
      </c>
    </row>
    <row r="130" spans="1:36" ht="14.4">
      <c r="A130" s="159" t="s">
        <v>119</v>
      </c>
      <c r="B130" s="159" t="s">
        <v>61</v>
      </c>
      <c r="C130" s="157" t="s">
        <v>62</v>
      </c>
      <c r="D130" s="176">
        <v>100</v>
      </c>
      <c r="E130" s="176">
        <v>41.8</v>
      </c>
      <c r="F130" s="176">
        <v>9.5928392637231301</v>
      </c>
      <c r="G130" s="176">
        <v>0.69416793772847996</v>
      </c>
      <c r="H130" s="176">
        <v>3.0941764767319999E-2</v>
      </c>
      <c r="I130" s="176">
        <v>3.0941764767319999E-2</v>
      </c>
      <c r="J130" s="176">
        <v>3.0941764767319999E-2</v>
      </c>
      <c r="K130" s="176">
        <v>3.0941764767319999E-2</v>
      </c>
      <c r="L130" s="176">
        <v>3.0941764767319999E-2</v>
      </c>
      <c r="M130" s="176">
        <v>3.0941764767319999E-2</v>
      </c>
      <c r="N130" s="176">
        <v>3.0941764767319999E-2</v>
      </c>
      <c r="O130" s="176">
        <v>3.0941764767319999E-2</v>
      </c>
      <c r="P130" s="177">
        <v>2658.6</v>
      </c>
      <c r="Q130" s="177">
        <v>1695.1</v>
      </c>
      <c r="R130" s="177">
        <v>2678.4</v>
      </c>
      <c r="S130" s="178">
        <f>P130/(P130-Q130)</f>
        <v>2.7593149974052902</v>
      </c>
      <c r="T130" s="178">
        <f t="shared" si="92"/>
        <v>2.72388894538798</v>
      </c>
      <c r="U130" s="179">
        <f t="shared" si="93"/>
        <v>2.7037526695820202</v>
      </c>
    </row>
    <row r="131" spans="1:36" ht="14.4">
      <c r="A131" s="159" t="s">
        <v>119</v>
      </c>
      <c r="B131" s="159" t="s">
        <v>61</v>
      </c>
      <c r="C131" s="157" t="s">
        <v>63</v>
      </c>
      <c r="D131" s="176">
        <v>100</v>
      </c>
      <c r="E131" s="176">
        <v>100</v>
      </c>
      <c r="F131" s="176">
        <v>100</v>
      </c>
      <c r="G131" s="176">
        <v>100</v>
      </c>
      <c r="H131" s="176">
        <v>65.3</v>
      </c>
      <c r="I131" s="176">
        <v>40.171886426609802</v>
      </c>
      <c r="J131" s="176">
        <v>21.0833655565953</v>
      </c>
      <c r="K131" s="176">
        <v>12.307256208421</v>
      </c>
      <c r="L131" s="176">
        <v>8.4094558061238107</v>
      </c>
      <c r="M131" s="176">
        <v>4.99643372941014</v>
      </c>
      <c r="N131" s="176">
        <v>2.9036154538607302</v>
      </c>
      <c r="O131" s="176">
        <v>1.9977295442232099</v>
      </c>
      <c r="P131" s="177">
        <v>1096.4000000000001</v>
      </c>
      <c r="Q131" s="177">
        <v>687.6</v>
      </c>
      <c r="R131" s="177">
        <v>1107.4000000000001</v>
      </c>
      <c r="S131" s="178">
        <f>P131/(P131-Q131)</f>
        <v>2.68199608610567</v>
      </c>
      <c r="T131" s="178">
        <f t="shared" si="92"/>
        <v>2.63792282039066</v>
      </c>
      <c r="U131" s="179">
        <f t="shared" si="93"/>
        <v>2.6117198666031398</v>
      </c>
    </row>
    <row r="132" spans="1:36" ht="14.4">
      <c r="A132" s="159" t="s">
        <v>119</v>
      </c>
      <c r="B132" s="159" t="s">
        <v>64</v>
      </c>
      <c r="C132" s="157" t="s">
        <v>65</v>
      </c>
      <c r="D132" s="176">
        <v>100</v>
      </c>
      <c r="E132" s="176">
        <v>100</v>
      </c>
      <c r="F132" s="176">
        <v>100</v>
      </c>
      <c r="G132" s="176">
        <v>100</v>
      </c>
      <c r="H132" s="176">
        <v>100</v>
      </c>
      <c r="I132" s="176">
        <v>99.235544455544499</v>
      </c>
      <c r="J132" s="176">
        <v>59.711483516483497</v>
      </c>
      <c r="K132" s="176">
        <v>35.248581418581402</v>
      </c>
      <c r="L132" s="176">
        <v>26.597722277722301</v>
      </c>
      <c r="M132" s="176">
        <v>19.226223776223801</v>
      </c>
      <c r="N132" s="176">
        <v>14.9281768231768</v>
      </c>
      <c r="O132" s="176">
        <v>11.999490509490499</v>
      </c>
      <c r="V132" s="180">
        <v>295</v>
      </c>
      <c r="W132" s="180">
        <v>687.3</v>
      </c>
      <c r="X132" s="180">
        <v>874.4</v>
      </c>
      <c r="Y132" s="180">
        <v>300.39999999999998</v>
      </c>
      <c r="Z132" s="196">
        <f>V132/(V132+W132-X132)</f>
        <v>2.7340129749768298</v>
      </c>
      <c r="AA132" s="196">
        <f>Y132/(Y132+W132-X132)</f>
        <v>2.6513680494263001</v>
      </c>
      <c r="AB132" s="196">
        <f>V132/(Y132+W132-X132)</f>
        <v>2.6037069726390101</v>
      </c>
    </row>
    <row r="133" spans="1:36">
      <c r="A133" s="159" t="s">
        <v>119</v>
      </c>
      <c r="B133" s="159" t="s">
        <v>74</v>
      </c>
      <c r="C133" s="157" t="s">
        <v>62</v>
      </c>
      <c r="D133" s="176">
        <v>100</v>
      </c>
      <c r="E133" s="176">
        <v>93.110488180613103</v>
      </c>
      <c r="F133" s="176">
        <v>67.412780053956496</v>
      </c>
      <c r="G133" s="176">
        <v>41.212998258207499</v>
      </c>
      <c r="H133" s="176">
        <v>26.891513614726101</v>
      </c>
      <c r="I133" s="176">
        <v>17.796527592541299</v>
      </c>
      <c r="J133" s="176">
        <v>13.0132683037676</v>
      </c>
      <c r="K133" s="176">
        <v>10.1157484519509</v>
      </c>
      <c r="L133" s="176">
        <v>8.2777230214549196</v>
      </c>
      <c r="M133" s="176">
        <v>5.9757381695668501</v>
      </c>
      <c r="N133" s="176">
        <v>4.0803277029396599</v>
      </c>
      <c r="O133" s="176">
        <v>2.6685421249016801</v>
      </c>
      <c r="P133" s="177">
        <v>910.4</v>
      </c>
      <c r="Q133" s="177">
        <v>567.6</v>
      </c>
      <c r="R133" s="177">
        <v>924.1</v>
      </c>
      <c r="S133" s="178">
        <f>P133/(P133-Q133)</f>
        <v>2.65577596266044</v>
      </c>
      <c r="T133" s="178">
        <f t="shared" ref="T133:T134" si="95">R133/(R133-Q133)</f>
        <v>2.5921458625525902</v>
      </c>
      <c r="U133" s="179">
        <f t="shared" ref="U133:U134" si="96">P133/(R133-Q133)</f>
        <v>2.55371669004208</v>
      </c>
      <c r="AE133" s="183"/>
      <c r="AF133" s="183"/>
      <c r="AG133" s="183">
        <v>1220.55</v>
      </c>
      <c r="AH133" s="183">
        <v>1187.55</v>
      </c>
      <c r="AI133" s="184">
        <f t="shared" ref="AI133:AI135" si="97">100*AJ133/(100+AJ133)</f>
        <v>2.4188706645143001</v>
      </c>
      <c r="AJ133" s="183">
        <f>100*(AG133-AH133)/AH133-0.3</f>
        <v>2.4788303650372598</v>
      </c>
    </row>
    <row r="134" spans="1:36">
      <c r="A134" s="159" t="s">
        <v>119</v>
      </c>
      <c r="B134" s="159" t="s">
        <v>74</v>
      </c>
      <c r="C134" s="157" t="s">
        <v>63</v>
      </c>
      <c r="D134" s="176">
        <v>100</v>
      </c>
      <c r="E134" s="176">
        <v>100</v>
      </c>
      <c r="F134" s="176">
        <v>100</v>
      </c>
      <c r="G134" s="176">
        <v>100</v>
      </c>
      <c r="H134" s="176">
        <v>95.299424096739202</v>
      </c>
      <c r="I134" s="176">
        <v>23.9400353908329</v>
      </c>
      <c r="J134" s="176">
        <v>6.5970603565303296</v>
      </c>
      <c r="K134" s="176">
        <v>5.3778959017582801</v>
      </c>
      <c r="L134" s="176">
        <v>4.70396721146418</v>
      </c>
      <c r="M134" s="176">
        <v>3.7624876612608902</v>
      </c>
      <c r="N134" s="176">
        <v>2.6212578373280202</v>
      </c>
      <c r="O134" s="176">
        <v>1.5815315237857701</v>
      </c>
      <c r="P134" s="177">
        <v>1205.4000000000001</v>
      </c>
      <c r="Q134" s="177">
        <v>763.5</v>
      </c>
      <c r="R134" s="177">
        <v>1229.5</v>
      </c>
      <c r="S134" s="178">
        <f>P134/(P134-Q134)</f>
        <v>2.7277664630006799</v>
      </c>
      <c r="T134" s="178">
        <f t="shared" si="95"/>
        <v>2.6384120171673802</v>
      </c>
      <c r="U134" s="179">
        <f t="shared" si="96"/>
        <v>2.5866952789699602</v>
      </c>
      <c r="AG134" s="183">
        <v>1005.5</v>
      </c>
      <c r="AH134" s="183">
        <v>984.26666666666699</v>
      </c>
      <c r="AI134" s="184">
        <f t="shared" si="97"/>
        <v>1.8234087465740301</v>
      </c>
      <c r="AJ134" s="183">
        <f>100*(AG134-AH134)/AH134-0.3</f>
        <v>1.8572744513681601</v>
      </c>
    </row>
    <row r="135" spans="1:36">
      <c r="A135" s="159" t="s">
        <v>119</v>
      </c>
      <c r="B135" s="159" t="s">
        <v>76</v>
      </c>
      <c r="C135" s="157" t="s">
        <v>65</v>
      </c>
      <c r="D135" s="176">
        <v>100</v>
      </c>
      <c r="E135" s="176">
        <v>100</v>
      </c>
      <c r="F135" s="176">
        <v>100</v>
      </c>
      <c r="G135" s="176">
        <v>100</v>
      </c>
      <c r="H135" s="176">
        <v>100</v>
      </c>
      <c r="I135" s="176">
        <v>82.413886946567501</v>
      </c>
      <c r="J135" s="176">
        <v>56.6244256290843</v>
      </c>
      <c r="K135" s="176">
        <v>41.102846971948601</v>
      </c>
      <c r="L135" s="176">
        <v>30.9488890171937</v>
      </c>
      <c r="M135" s="176">
        <v>20.784464464899301</v>
      </c>
      <c r="N135" s="176">
        <v>13.8492463701155</v>
      </c>
      <c r="O135" s="176">
        <v>8.7425193269846808</v>
      </c>
      <c r="V135" s="180">
        <v>290.10000000000002</v>
      </c>
      <c r="W135" s="180">
        <v>686.9</v>
      </c>
      <c r="X135" s="180">
        <v>868.9</v>
      </c>
      <c r="Y135" s="180">
        <v>300.2</v>
      </c>
      <c r="Z135" s="196">
        <f>V135/(V135+W135-X135)</f>
        <v>2.6836262719703998</v>
      </c>
      <c r="AA135" s="196">
        <f>Y135/(Y135+W135-X135)</f>
        <v>2.5397631133671799</v>
      </c>
      <c r="AB135" s="196">
        <f>V135/(Y135+W135-X135)</f>
        <v>2.4543147208121798</v>
      </c>
      <c r="AG135" s="183">
        <v>652.9</v>
      </c>
      <c r="AH135" s="183">
        <v>614.20000000000005</v>
      </c>
      <c r="AI135" s="184">
        <f t="shared" si="97"/>
        <v>5.48282702064696</v>
      </c>
      <c r="AJ135" s="183">
        <f>100*(AG135-AH135)/AH135-0.5</f>
        <v>5.8008791924454499</v>
      </c>
    </row>
    <row r="136" spans="1:36" ht="14.4">
      <c r="A136" s="159" t="s">
        <v>120</v>
      </c>
      <c r="B136" s="159" t="s">
        <v>61</v>
      </c>
      <c r="C136" s="157" t="s">
        <v>121</v>
      </c>
      <c r="D136" s="176">
        <v>100</v>
      </c>
      <c r="E136" s="176">
        <v>76.209999999999994</v>
      </c>
      <c r="F136" s="176">
        <v>10.046666666666701</v>
      </c>
      <c r="G136" s="176">
        <v>0.62333333333333496</v>
      </c>
      <c r="H136" s="176">
        <v>0.293333333333329</v>
      </c>
      <c r="I136" s="176">
        <v>6.3333333333332603E-2</v>
      </c>
      <c r="J136" s="176">
        <v>2.33333333333334E-2</v>
      </c>
      <c r="K136" s="176">
        <v>2.33333333333334E-2</v>
      </c>
      <c r="L136" s="176">
        <v>2.33333333333334E-2</v>
      </c>
      <c r="M136" s="176">
        <v>2.33333333333334E-2</v>
      </c>
      <c r="N136" s="176">
        <v>2.33333333333334E-2</v>
      </c>
      <c r="O136" s="176">
        <v>2.33333333333334E-2</v>
      </c>
      <c r="P136" s="177">
        <v>1581.9</v>
      </c>
      <c r="Q136" s="177">
        <v>1001.6</v>
      </c>
      <c r="R136" s="177">
        <v>1590.9</v>
      </c>
      <c r="S136" s="178">
        <f t="shared" ref="S136:S138" si="98">P136/(P136-Q136)</f>
        <v>2.7260037911425101</v>
      </c>
      <c r="T136" s="178">
        <f t="shared" ref="T136:T138" si="99">R136/(R136-Q136)</f>
        <v>2.6996436450025501</v>
      </c>
      <c r="U136" s="179">
        <f t="shared" ref="U136:U138" si="100">P136/(R136-Q136)</f>
        <v>2.68437128796878</v>
      </c>
      <c r="Z136" s="196"/>
      <c r="AA136" s="196"/>
      <c r="AB136" s="196"/>
    </row>
    <row r="137" spans="1:36" ht="14.4">
      <c r="A137" s="159" t="s">
        <v>120</v>
      </c>
      <c r="B137" s="159" t="s">
        <v>61</v>
      </c>
      <c r="C137" s="168" t="s">
        <v>115</v>
      </c>
      <c r="D137" s="176">
        <v>100</v>
      </c>
      <c r="E137" s="176">
        <v>100</v>
      </c>
      <c r="F137" s="176">
        <v>99.022838865836803</v>
      </c>
      <c r="G137" s="176">
        <v>86.738322959889402</v>
      </c>
      <c r="H137" s="176">
        <v>3.9772406639004201</v>
      </c>
      <c r="I137" s="176">
        <v>0.23078492392807701</v>
      </c>
      <c r="J137" s="176">
        <v>0.17679114799447901</v>
      </c>
      <c r="K137" s="176">
        <v>0.17679114799447901</v>
      </c>
      <c r="L137" s="176">
        <v>0.17679114799447901</v>
      </c>
      <c r="M137" s="176">
        <v>0.17679114799447901</v>
      </c>
      <c r="N137" s="176">
        <v>0.17679114799447901</v>
      </c>
      <c r="O137" s="176">
        <v>0.17679114799447901</v>
      </c>
      <c r="P137" s="177">
        <v>1236.4000000000001</v>
      </c>
      <c r="Q137" s="177">
        <v>778.7</v>
      </c>
      <c r="R137" s="177">
        <v>1242.5</v>
      </c>
      <c r="S137" s="178">
        <f t="shared" si="98"/>
        <v>2.70133275071007</v>
      </c>
      <c r="T137" s="178">
        <f t="shared" si="99"/>
        <v>2.6789564467442899</v>
      </c>
      <c r="U137" s="179">
        <f t="shared" si="100"/>
        <v>2.6658042259594699</v>
      </c>
    </row>
    <row r="138" spans="1:36" ht="14.4">
      <c r="A138" s="159" t="s">
        <v>120</v>
      </c>
      <c r="B138" s="159" t="s">
        <v>61</v>
      </c>
      <c r="C138" s="168" t="s">
        <v>116</v>
      </c>
      <c r="D138" s="176">
        <v>100</v>
      </c>
      <c r="E138" s="176">
        <v>100</v>
      </c>
      <c r="F138" s="176">
        <v>100</v>
      </c>
      <c r="G138" s="176">
        <v>100</v>
      </c>
      <c r="H138" s="176">
        <v>85.256</v>
      </c>
      <c r="I138" s="176">
        <v>2.71157414014557</v>
      </c>
      <c r="J138" s="176">
        <v>0.135578707007312</v>
      </c>
      <c r="K138" s="176">
        <v>0.135578707007312</v>
      </c>
      <c r="L138" s="176">
        <v>0.135578707007312</v>
      </c>
      <c r="M138" s="176">
        <v>0.135578707007312</v>
      </c>
      <c r="N138" s="176">
        <v>0.135578707007312</v>
      </c>
      <c r="O138" s="176">
        <v>0.135578707007312</v>
      </c>
      <c r="P138" s="177">
        <v>336.9</v>
      </c>
      <c r="Q138" s="177">
        <v>212.8</v>
      </c>
      <c r="R138" s="177">
        <v>338.9</v>
      </c>
      <c r="S138" s="178">
        <f t="shared" si="98"/>
        <v>2.71474617244158</v>
      </c>
      <c r="T138" s="178">
        <f t="shared" si="99"/>
        <v>2.6875495638382199</v>
      </c>
      <c r="U138" s="179">
        <f t="shared" si="100"/>
        <v>2.6716891356066599</v>
      </c>
    </row>
    <row r="139" spans="1:36" ht="14.4">
      <c r="A139" s="159" t="s">
        <v>120</v>
      </c>
      <c r="B139" s="159" t="s">
        <v>64</v>
      </c>
      <c r="C139" s="168" t="s">
        <v>71</v>
      </c>
      <c r="D139" s="176">
        <v>100</v>
      </c>
      <c r="E139" s="176">
        <v>100</v>
      </c>
      <c r="F139" s="176">
        <v>100</v>
      </c>
      <c r="G139" s="176">
        <v>100</v>
      </c>
      <c r="H139" s="176">
        <v>100</v>
      </c>
      <c r="I139" s="176">
        <v>99.37</v>
      </c>
      <c r="J139" s="176">
        <v>71.88</v>
      </c>
      <c r="K139" s="176">
        <v>34.4</v>
      </c>
      <c r="L139" s="176">
        <v>20.45</v>
      </c>
      <c r="M139" s="176">
        <v>8.9599999999999902</v>
      </c>
      <c r="N139" s="176">
        <v>3.4300000000000099</v>
      </c>
      <c r="O139" s="176">
        <v>1.73</v>
      </c>
      <c r="V139" s="180">
        <v>297.8</v>
      </c>
      <c r="W139" s="180">
        <v>703.1</v>
      </c>
      <c r="X139" s="180">
        <v>887.2</v>
      </c>
      <c r="Y139" s="180">
        <v>300.10000000000002</v>
      </c>
      <c r="Z139" s="196">
        <f>V139/(V139+W139-X139)</f>
        <v>2.6191732629727298</v>
      </c>
      <c r="AA139" s="196">
        <f>Y139/(Y139+W139-X139)</f>
        <v>2.5870689655172399</v>
      </c>
      <c r="AB139" s="196">
        <f>V139/(Y139+W139-X139)</f>
        <v>2.5672413793103401</v>
      </c>
    </row>
    <row r="140" spans="1:36">
      <c r="A140" s="159" t="s">
        <v>120</v>
      </c>
      <c r="B140" s="159" t="s">
        <v>74</v>
      </c>
      <c r="C140" s="168" t="s">
        <v>122</v>
      </c>
      <c r="D140" s="176">
        <v>100</v>
      </c>
      <c r="E140" s="176">
        <v>97.824108602082404</v>
      </c>
      <c r="F140" s="176">
        <v>88.742453151106503</v>
      </c>
      <c r="G140" s="176">
        <v>69.319544168287905</v>
      </c>
      <c r="H140" s="176">
        <v>42.773013985721299</v>
      </c>
      <c r="I140" s="176">
        <v>27.454764513418599</v>
      </c>
      <c r="J140" s="176">
        <v>20.397919150447599</v>
      </c>
      <c r="K140" s="176">
        <v>15.631998896852499</v>
      </c>
      <c r="L140" s="176">
        <v>12.761957829289001</v>
      </c>
      <c r="M140" s="176">
        <v>8.6126331852096705</v>
      </c>
      <c r="N140" s="176">
        <v>5.2977462739261201</v>
      </c>
      <c r="O140" s="176">
        <v>2.7492888025162099</v>
      </c>
      <c r="P140" s="177">
        <v>645.4</v>
      </c>
      <c r="Q140" s="177">
        <v>413.7</v>
      </c>
      <c r="R140" s="177">
        <v>656.2</v>
      </c>
      <c r="S140" s="178">
        <f t="shared" ref="S140:S141" si="101">P140/(P140-Q140)</f>
        <v>2.7854984894259802</v>
      </c>
      <c r="T140" s="178">
        <f t="shared" ref="T140" si="102">R140/(R140-Q140)</f>
        <v>2.7059793814433002</v>
      </c>
      <c r="U140" s="179">
        <f t="shared" ref="U140" si="103">P140/(R140-Q140)</f>
        <v>2.6614432989690702</v>
      </c>
      <c r="AG140" s="183">
        <v>1009.4</v>
      </c>
      <c r="AH140" s="183">
        <v>965.35</v>
      </c>
      <c r="AI140" s="184">
        <f t="shared" ref="AI140:AI142" si="104">100*AJ140/(100+AJ140)</f>
        <v>4.0888016385827397</v>
      </c>
      <c r="AJ140" s="183">
        <f>100*(AG140-AH140)/AH140-0.3</f>
        <v>4.2631118247267796</v>
      </c>
    </row>
    <row r="141" spans="1:36">
      <c r="A141" s="159" t="s">
        <v>120</v>
      </c>
      <c r="B141" s="159" t="s">
        <v>74</v>
      </c>
      <c r="C141" s="168" t="s">
        <v>79</v>
      </c>
      <c r="D141" s="176">
        <v>100</v>
      </c>
      <c r="E141" s="176">
        <v>100</v>
      </c>
      <c r="F141" s="176">
        <v>100</v>
      </c>
      <c r="G141" s="176">
        <v>98.474269459529395</v>
      </c>
      <c r="H141" s="176">
        <v>61.158520817170903</v>
      </c>
      <c r="I141" s="176">
        <v>25.5667614860788</v>
      </c>
      <c r="J141" s="176">
        <v>19.6189983622101</v>
      </c>
      <c r="K141" s="176">
        <v>16.369278510473201</v>
      </c>
      <c r="L141" s="176">
        <v>14.2660115507284</v>
      </c>
      <c r="M141" s="176">
        <v>10.6801137832945</v>
      </c>
      <c r="N141" s="176">
        <v>6.0425825359882701</v>
      </c>
      <c r="O141" s="176">
        <v>3.2928195845185502</v>
      </c>
      <c r="P141" s="177">
        <v>2018.7</v>
      </c>
      <c r="Q141" s="177">
        <v>1303.9000000000001</v>
      </c>
      <c r="R141" s="177">
        <v>2026.7</v>
      </c>
      <c r="S141" s="178">
        <f t="shared" si="101"/>
        <v>2.8241466144376002</v>
      </c>
      <c r="T141" s="178">
        <f t="shared" ref="T141" si="105">R141/(R141-Q141)</f>
        <v>2.8039568345323702</v>
      </c>
      <c r="U141" s="179">
        <f t="shared" ref="U141" si="106">P141/(R141-Q141)</f>
        <v>2.7928887659103498</v>
      </c>
      <c r="AG141" s="183">
        <v>1207.56666666667</v>
      </c>
      <c r="AH141" s="183">
        <v>1160.3</v>
      </c>
      <c r="AI141" s="184">
        <f t="shared" si="104"/>
        <v>3.6364325431637901</v>
      </c>
      <c r="AJ141" s="183">
        <f>100*(AG141-AH141)/AH141-0.3</f>
        <v>3.7736591111497102</v>
      </c>
    </row>
    <row r="142" spans="1:36">
      <c r="A142" s="159" t="s">
        <v>120</v>
      </c>
      <c r="B142" s="159" t="s">
        <v>76</v>
      </c>
      <c r="C142" s="168" t="s">
        <v>68</v>
      </c>
      <c r="D142" s="176">
        <v>100</v>
      </c>
      <c r="E142" s="176">
        <v>100</v>
      </c>
      <c r="F142" s="176">
        <v>100</v>
      </c>
      <c r="G142" s="176">
        <v>100</v>
      </c>
      <c r="H142" s="176">
        <v>100</v>
      </c>
      <c r="I142" s="176">
        <v>87.73</v>
      </c>
      <c r="J142" s="176">
        <v>60.642998628675898</v>
      </c>
      <c r="K142" s="176">
        <v>46.061252476001798</v>
      </c>
      <c r="L142" s="176">
        <v>36.995276550358099</v>
      </c>
      <c r="M142" s="176">
        <v>22.337345726039899</v>
      </c>
      <c r="N142" s="176">
        <v>11.3515160749657</v>
      </c>
      <c r="O142" s="176">
        <v>5.8662197165930197</v>
      </c>
      <c r="V142" s="180">
        <v>294</v>
      </c>
      <c r="W142" s="180">
        <v>676.5</v>
      </c>
      <c r="X142" s="180">
        <v>864.8</v>
      </c>
      <c r="Y142" s="180">
        <v>300.10000000000002</v>
      </c>
      <c r="Z142" s="196">
        <f>V142/(V142+W142-X142)</f>
        <v>2.7814569536423801</v>
      </c>
      <c r="AA142" s="196">
        <f>Y142/(Y142+W142-X142)</f>
        <v>2.68425760286225</v>
      </c>
      <c r="AB142" s="196">
        <f>V142/(Y142+W142-X142)</f>
        <v>2.62969588550984</v>
      </c>
      <c r="AG142" s="183">
        <v>742.63333333333298</v>
      </c>
      <c r="AH142" s="183">
        <v>693.73333333333301</v>
      </c>
      <c r="AI142" s="184">
        <f t="shared" si="104"/>
        <v>6.1463074984644797</v>
      </c>
      <c r="AJ142" s="183">
        <f>100*(AG142-AH142)/AH142-0.5</f>
        <v>6.5488179896213703</v>
      </c>
    </row>
    <row r="143" spans="1:36">
      <c r="A143" s="159" t="s">
        <v>123</v>
      </c>
      <c r="B143" s="159" t="s">
        <v>81</v>
      </c>
      <c r="C143" s="157" t="s">
        <v>79</v>
      </c>
      <c r="D143" s="176">
        <v>100</v>
      </c>
      <c r="E143" s="176">
        <v>100</v>
      </c>
      <c r="F143" s="176">
        <v>100</v>
      </c>
      <c r="G143" s="176">
        <v>63.619744058500899</v>
      </c>
      <c r="H143" s="176">
        <v>8.8398842169408898</v>
      </c>
      <c r="I143" s="176">
        <v>0.52940280316880695</v>
      </c>
      <c r="J143" s="176">
        <v>0.52940280316880695</v>
      </c>
      <c r="K143" s="176">
        <v>0.52940280316880695</v>
      </c>
      <c r="L143" s="176">
        <v>0.52940280316880695</v>
      </c>
      <c r="M143" s="176">
        <v>0.52940280316880695</v>
      </c>
      <c r="N143" s="176">
        <v>0.52940280316880695</v>
      </c>
      <c r="O143" s="176">
        <v>0.52940280316880695</v>
      </c>
      <c r="P143" s="177">
        <v>1983.2</v>
      </c>
      <c r="Q143" s="177">
        <v>1267.4000000000001</v>
      </c>
      <c r="R143" s="177">
        <v>2001.6</v>
      </c>
      <c r="S143" s="178">
        <f>P143/(P143-Q143)</f>
        <v>2.77060631461302</v>
      </c>
      <c r="T143" s="178">
        <f t="shared" ref="T143:T144" si="107">R143/(R143-Q143)</f>
        <v>2.7262326341596301</v>
      </c>
      <c r="U143" s="179">
        <f t="shared" ref="U143:U144" si="108">P143/(R143-Q143)</f>
        <v>2.70117134295832</v>
      </c>
      <c r="AG143" s="191"/>
      <c r="AH143" s="191"/>
      <c r="AI143" s="190"/>
      <c r="AJ143" s="191"/>
    </row>
    <row r="144" spans="1:36">
      <c r="A144" s="159" t="s">
        <v>123</v>
      </c>
      <c r="B144" s="159" t="s">
        <v>81</v>
      </c>
      <c r="C144" s="157" t="s">
        <v>63</v>
      </c>
      <c r="D144" s="176">
        <v>100</v>
      </c>
      <c r="E144" s="176">
        <v>100</v>
      </c>
      <c r="F144" s="176">
        <v>100</v>
      </c>
      <c r="G144" s="176">
        <v>100</v>
      </c>
      <c r="H144" s="176">
        <v>94.446666666666701</v>
      </c>
      <c r="I144" s="176">
        <v>5.9733333333333301</v>
      </c>
      <c r="J144" s="176">
        <v>0.35999999999999899</v>
      </c>
      <c r="K144" s="176">
        <v>0.35999999999999899</v>
      </c>
      <c r="L144" s="176">
        <v>0.35999999999999899</v>
      </c>
      <c r="M144" s="176">
        <v>0.35999999999999899</v>
      </c>
      <c r="N144" s="176">
        <v>0.35999999999999899</v>
      </c>
      <c r="O144" s="176">
        <v>0.35999999999999899</v>
      </c>
      <c r="P144" s="177">
        <v>1464.6</v>
      </c>
      <c r="Q144" s="177">
        <v>932.5</v>
      </c>
      <c r="R144" s="177">
        <v>1478.5</v>
      </c>
      <c r="S144" s="178">
        <f>P144/(P144-Q144)</f>
        <v>2.7524901334335699</v>
      </c>
      <c r="T144" s="178">
        <f t="shared" si="107"/>
        <v>2.7078754578754598</v>
      </c>
      <c r="U144" s="179">
        <f t="shared" si="108"/>
        <v>2.68241758241758</v>
      </c>
      <c r="AG144" s="191"/>
      <c r="AH144" s="191"/>
      <c r="AI144" s="190"/>
      <c r="AJ144" s="191"/>
    </row>
    <row r="145" spans="1:36">
      <c r="A145" s="159" t="s">
        <v>123</v>
      </c>
      <c r="B145" s="159" t="s">
        <v>82</v>
      </c>
      <c r="C145" s="157" t="s">
        <v>65</v>
      </c>
      <c r="D145" s="176">
        <v>100</v>
      </c>
      <c r="E145" s="176">
        <v>100</v>
      </c>
      <c r="F145" s="176">
        <v>100</v>
      </c>
      <c r="G145" s="176">
        <v>100</v>
      </c>
      <c r="H145" s="176">
        <v>100</v>
      </c>
      <c r="I145" s="176">
        <v>98.066666666666706</v>
      </c>
      <c r="J145" s="176">
        <v>62.4</v>
      </c>
      <c r="K145" s="176">
        <v>37.266666666666701</v>
      </c>
      <c r="L145" s="176">
        <v>26.441666666666698</v>
      </c>
      <c r="M145" s="176">
        <v>16.7083333333333</v>
      </c>
      <c r="N145" s="176">
        <v>11.675000000000001</v>
      </c>
      <c r="O145" s="176">
        <v>8.4500000000000206</v>
      </c>
      <c r="V145" s="180">
        <v>296.10000000000002</v>
      </c>
      <c r="W145" s="180">
        <v>641.5</v>
      </c>
      <c r="X145" s="180">
        <v>829</v>
      </c>
      <c r="Y145" s="180">
        <v>300</v>
      </c>
      <c r="Z145" s="196">
        <f>V145/(V145+W145-X145)</f>
        <v>2.7265193370165699</v>
      </c>
      <c r="AA145" s="196">
        <f>Y145/(Y145+W145-X145)</f>
        <v>2.6666666666666701</v>
      </c>
      <c r="AB145" s="196">
        <f>V145/(Y145+W145-X145)</f>
        <v>2.6320000000000001</v>
      </c>
      <c r="AG145" s="191"/>
      <c r="AH145" s="191"/>
      <c r="AI145" s="190"/>
      <c r="AJ145" s="191"/>
    </row>
    <row r="146" spans="1:36">
      <c r="A146" s="159" t="s">
        <v>123</v>
      </c>
      <c r="B146" s="159" t="s">
        <v>74</v>
      </c>
      <c r="C146" s="157" t="s">
        <v>96</v>
      </c>
      <c r="D146" s="176">
        <v>100</v>
      </c>
      <c r="E146" s="176">
        <v>98.643559281741503</v>
      </c>
      <c r="F146" s="176">
        <v>92.921063565134901</v>
      </c>
      <c r="G146" s="176">
        <v>82.7436811661603</v>
      </c>
      <c r="H146" s="176">
        <v>59.990677308880997</v>
      </c>
      <c r="I146" s="176">
        <v>37.070398489773098</v>
      </c>
      <c r="J146" s="176">
        <v>25.87154168815</v>
      </c>
      <c r="K146" s="176">
        <v>18.5625564349575</v>
      </c>
      <c r="L146" s="176">
        <v>14.995833692901201</v>
      </c>
      <c r="M146" s="176">
        <v>10.9982235917061</v>
      </c>
      <c r="N146" s="176">
        <v>8.8797216125645608</v>
      </c>
      <c r="O146" s="176">
        <v>7.1282720051018398</v>
      </c>
      <c r="P146" s="177">
        <v>784.85</v>
      </c>
      <c r="Q146" s="177">
        <v>499.15</v>
      </c>
      <c r="R146" s="177">
        <v>795.35</v>
      </c>
      <c r="S146" s="178">
        <f>P146/(P146-Q146)</f>
        <v>2.7471123556177801</v>
      </c>
      <c r="T146" s="178">
        <f t="shared" ref="T146" si="109">R146/(R146-Q146)</f>
        <v>2.6851789331532698</v>
      </c>
      <c r="U146" s="179">
        <f t="shared" ref="U146" si="110">P146/(R146-Q146)</f>
        <v>2.6497299122214701</v>
      </c>
      <c r="AG146" s="191">
        <v>1305.8499999999999</v>
      </c>
      <c r="AH146" s="191">
        <v>1253.25</v>
      </c>
      <c r="AI146" s="190">
        <f t="shared" ref="AI146:AI147" si="111">100*AJ146/(100+AJ146)</f>
        <v>3.7509112751593001</v>
      </c>
      <c r="AJ146" s="191">
        <f>100*(AG146-AH146)/AH146-0.3</f>
        <v>3.89708757231198</v>
      </c>
    </row>
    <row r="147" spans="1:36">
      <c r="A147" s="159" t="s">
        <v>123</v>
      </c>
      <c r="B147" s="159" t="s">
        <v>76</v>
      </c>
      <c r="C147" s="157" t="s">
        <v>97</v>
      </c>
      <c r="D147" s="176">
        <v>100</v>
      </c>
      <c r="E147" s="176">
        <v>100</v>
      </c>
      <c r="F147" s="176">
        <v>100</v>
      </c>
      <c r="G147" s="176">
        <v>100</v>
      </c>
      <c r="H147" s="176">
        <v>95.528385241345404</v>
      </c>
      <c r="I147" s="176">
        <v>70.546834364063699</v>
      </c>
      <c r="J147" s="176">
        <v>44.760791780407203</v>
      </c>
      <c r="K147" s="176">
        <v>27.108199836069002</v>
      </c>
      <c r="L147" s="176">
        <v>19.493419943699202</v>
      </c>
      <c r="M147" s="176">
        <v>13.008802238617299</v>
      </c>
      <c r="N147" s="176">
        <v>9.6302110760562503</v>
      </c>
      <c r="O147" s="176">
        <v>6.6583203771381401</v>
      </c>
      <c r="V147" s="180">
        <v>288.05</v>
      </c>
      <c r="W147" s="180">
        <v>685.4</v>
      </c>
      <c r="X147" s="180">
        <v>868.56500000000005</v>
      </c>
      <c r="Y147" s="180">
        <v>292.64999999999998</v>
      </c>
      <c r="Z147" s="196">
        <f>V147/(V147+W147-X147)</f>
        <v>2.7463412308719102</v>
      </c>
      <c r="AA147" s="196">
        <f>Y147/(Y147+W147-X147)</f>
        <v>2.6729688998493</v>
      </c>
      <c r="AB147" s="196">
        <f>V147/(Y147+W147-X147)</f>
        <v>2.6309540119651098</v>
      </c>
      <c r="AF147" s="183"/>
      <c r="AG147" s="191">
        <v>705.56666666666695</v>
      </c>
      <c r="AH147" s="191">
        <v>672.86666666666702</v>
      </c>
      <c r="AI147" s="190">
        <f t="shared" si="111"/>
        <v>4.1776657914836397</v>
      </c>
      <c r="AJ147" s="191">
        <f>100*(AG147-AH147)/AH147-0.5</f>
        <v>4.3598038244327597</v>
      </c>
    </row>
    <row r="148" spans="1:36" ht="14.4">
      <c r="A148" s="159" t="s">
        <v>124</v>
      </c>
      <c r="B148" s="164" t="s">
        <v>81</v>
      </c>
      <c r="C148" s="168" t="s">
        <v>62</v>
      </c>
      <c r="D148" s="176">
        <v>100</v>
      </c>
      <c r="E148" s="176">
        <v>72.9433333333333</v>
      </c>
      <c r="F148" s="176">
        <v>43.022500000000001</v>
      </c>
      <c r="G148" s="176">
        <v>23.758611111111101</v>
      </c>
      <c r="H148" s="176">
        <v>3.06416666666667</v>
      </c>
      <c r="I148" s="176">
        <v>0.33361111111111802</v>
      </c>
      <c r="J148" s="176">
        <v>0.22250000000001099</v>
      </c>
      <c r="K148" s="176">
        <v>0.22250000000001099</v>
      </c>
      <c r="L148" s="176">
        <v>0.22250000000001099</v>
      </c>
      <c r="M148" s="176">
        <v>0.22250000000001099</v>
      </c>
      <c r="N148" s="176">
        <v>0.22249999999999701</v>
      </c>
      <c r="O148" s="176">
        <v>0.22250000000001099</v>
      </c>
      <c r="P148" s="177">
        <v>1300.8499999999999</v>
      </c>
      <c r="Q148" s="177">
        <v>820.75</v>
      </c>
      <c r="R148" s="177">
        <v>1306.95</v>
      </c>
      <c r="S148" s="178">
        <f t="shared" ref="S148:S150" si="112">P148/(P148-Q148)</f>
        <v>2.7095396792334898</v>
      </c>
      <c r="T148" s="178">
        <f t="shared" ref="T148:T150" si="113">R148/(R148-Q148)</f>
        <v>2.68809132044426</v>
      </c>
      <c r="U148" s="179">
        <f t="shared" ref="U148:U150" si="114">P148/(R148-Q148)</f>
        <v>2.6755450431921002</v>
      </c>
      <c r="AF148" s="183"/>
      <c r="AG148" s="191"/>
      <c r="AH148" s="191"/>
      <c r="AI148" s="190"/>
      <c r="AJ148" s="191"/>
    </row>
    <row r="149" spans="1:36">
      <c r="A149" s="159" t="s">
        <v>124</v>
      </c>
      <c r="B149" s="159" t="s">
        <v>81</v>
      </c>
      <c r="C149" s="157" t="s">
        <v>79</v>
      </c>
      <c r="D149" s="176">
        <v>100</v>
      </c>
      <c r="E149" s="176">
        <v>100</v>
      </c>
      <c r="F149" s="176">
        <v>97.033333333333303</v>
      </c>
      <c r="G149" s="176">
        <v>75.873333333333306</v>
      </c>
      <c r="H149" s="176">
        <v>21.37</v>
      </c>
      <c r="I149" s="176">
        <v>1.85666666666666</v>
      </c>
      <c r="J149" s="176">
        <v>1.02000000000001</v>
      </c>
      <c r="K149" s="176">
        <v>1.02000000000001</v>
      </c>
      <c r="L149" s="176">
        <v>1.02000000000001</v>
      </c>
      <c r="M149" s="176">
        <v>1.02000000000001</v>
      </c>
      <c r="N149" s="176">
        <v>1.02</v>
      </c>
      <c r="O149" s="176">
        <v>1.02000000000001</v>
      </c>
      <c r="P149" s="177">
        <v>1081.8499999999999</v>
      </c>
      <c r="Q149" s="177">
        <v>683.55</v>
      </c>
      <c r="R149" s="177">
        <v>1087.55</v>
      </c>
      <c r="S149" s="178">
        <f t="shared" si="112"/>
        <v>2.71616871704745</v>
      </c>
      <c r="T149" s="178">
        <f t="shared" si="113"/>
        <v>2.6919554455445498</v>
      </c>
      <c r="U149" s="179">
        <f t="shared" si="114"/>
        <v>2.6778465346534701</v>
      </c>
      <c r="AG149" s="191"/>
      <c r="AH149" s="191"/>
      <c r="AI149" s="190"/>
      <c r="AJ149" s="191"/>
    </row>
    <row r="150" spans="1:36">
      <c r="A150" s="159" t="s">
        <v>124</v>
      </c>
      <c r="B150" s="159" t="s">
        <v>81</v>
      </c>
      <c r="C150" s="157" t="s">
        <v>63</v>
      </c>
      <c r="D150" s="176">
        <v>100</v>
      </c>
      <c r="E150" s="176">
        <v>100</v>
      </c>
      <c r="F150" s="176">
        <v>100</v>
      </c>
      <c r="G150" s="176">
        <v>100</v>
      </c>
      <c r="H150" s="176">
        <v>95.394999999999996</v>
      </c>
      <c r="I150" s="176">
        <v>3.52</v>
      </c>
      <c r="J150" s="176">
        <v>0.73500000000000698</v>
      </c>
      <c r="K150" s="176">
        <v>0.41450000000001103</v>
      </c>
      <c r="L150" s="176">
        <v>0.41450000000001103</v>
      </c>
      <c r="M150" s="176">
        <v>0.41450000000001103</v>
      </c>
      <c r="N150" s="176">
        <v>0.41450000000001103</v>
      </c>
      <c r="O150" s="176">
        <v>0.41450000000001103</v>
      </c>
      <c r="P150" s="177">
        <v>685.35</v>
      </c>
      <c r="Q150" s="177">
        <v>434.7</v>
      </c>
      <c r="R150" s="177">
        <v>690.3</v>
      </c>
      <c r="S150" s="178">
        <f t="shared" si="112"/>
        <v>2.7342908438061002</v>
      </c>
      <c r="T150" s="178">
        <f t="shared" si="113"/>
        <v>2.7007042253521099</v>
      </c>
      <c r="U150" s="179">
        <f t="shared" si="114"/>
        <v>2.68133802816901</v>
      </c>
      <c r="AG150" s="191"/>
      <c r="AH150" s="191"/>
      <c r="AI150" s="190"/>
      <c r="AJ150" s="191"/>
    </row>
    <row r="151" spans="1:36">
      <c r="A151" s="159" t="s">
        <v>124</v>
      </c>
      <c r="B151" s="159" t="s">
        <v>82</v>
      </c>
      <c r="C151" s="157" t="s">
        <v>65</v>
      </c>
      <c r="D151" s="176">
        <v>100</v>
      </c>
      <c r="E151" s="176">
        <v>100</v>
      </c>
      <c r="F151" s="176">
        <v>100</v>
      </c>
      <c r="G151" s="176">
        <v>100</v>
      </c>
      <c r="H151" s="176">
        <v>100</v>
      </c>
      <c r="I151" s="176">
        <v>39.11</v>
      </c>
      <c r="J151" s="176">
        <v>2.0699999999999901</v>
      </c>
      <c r="K151" s="176">
        <v>1.3684999999999901</v>
      </c>
      <c r="L151" s="176">
        <v>0.88849999999999296</v>
      </c>
      <c r="M151" s="176">
        <v>0.57849999999999802</v>
      </c>
      <c r="N151" s="176">
        <v>0.57849999999999802</v>
      </c>
      <c r="O151" s="176">
        <v>0.57849999999999802</v>
      </c>
      <c r="V151" s="180">
        <v>297.11500000000001</v>
      </c>
      <c r="W151" s="180">
        <v>685.51</v>
      </c>
      <c r="X151" s="180">
        <v>872.78</v>
      </c>
      <c r="Y151" s="180">
        <v>300</v>
      </c>
      <c r="Z151" s="196">
        <f t="shared" ref="Z151:Z152" si="115">V151/(V151+W151-X151)</f>
        <v>2.7048568437343499</v>
      </c>
      <c r="AA151" s="196">
        <f t="shared" ref="AA151:AA152" si="116">Y151/(Y151+W151-X151)</f>
        <v>2.6612259380821399</v>
      </c>
      <c r="AB151" s="196">
        <f t="shared" ref="AB151:AB152" si="117">V151/(Y151+W151-X151)</f>
        <v>2.63563381531092</v>
      </c>
      <c r="AG151" s="191"/>
      <c r="AH151" s="191"/>
      <c r="AI151" s="190"/>
      <c r="AJ151" s="191"/>
    </row>
    <row r="152" spans="1:36" ht="14.4">
      <c r="A152" s="159" t="s">
        <v>124</v>
      </c>
      <c r="B152" s="159" t="s">
        <v>82</v>
      </c>
      <c r="C152" s="197" t="s">
        <v>125</v>
      </c>
      <c r="D152" s="176">
        <v>100</v>
      </c>
      <c r="E152" s="176">
        <v>100</v>
      </c>
      <c r="F152" s="176">
        <v>100</v>
      </c>
      <c r="G152" s="176">
        <v>100</v>
      </c>
      <c r="H152" s="176">
        <v>100</v>
      </c>
      <c r="I152" s="176">
        <v>100</v>
      </c>
      <c r="J152" s="176">
        <v>84.566666666666706</v>
      </c>
      <c r="K152" s="176">
        <v>54.441666666666698</v>
      </c>
      <c r="L152" s="176">
        <v>36.566666666666698</v>
      </c>
      <c r="M152" s="176">
        <v>17.024999999999999</v>
      </c>
      <c r="N152" s="176">
        <v>9.1166666666666707</v>
      </c>
      <c r="O152" s="176">
        <v>6.2750000000000101</v>
      </c>
      <c r="V152" s="180">
        <v>294.93</v>
      </c>
      <c r="W152" s="180">
        <v>685.97500000000002</v>
      </c>
      <c r="X152" s="180">
        <v>872.7</v>
      </c>
      <c r="Y152" s="180">
        <v>300</v>
      </c>
      <c r="Z152" s="196">
        <f t="shared" si="115"/>
        <v>2.7256596275587999</v>
      </c>
      <c r="AA152" s="196">
        <f t="shared" si="116"/>
        <v>2.6484219819024499</v>
      </c>
      <c r="AB152" s="196">
        <f t="shared" si="117"/>
        <v>2.6036636504083002</v>
      </c>
      <c r="AG152" s="191"/>
      <c r="AH152" s="191"/>
      <c r="AI152" s="190"/>
      <c r="AJ152" s="191"/>
    </row>
    <row r="153" spans="1:36">
      <c r="A153" s="159" t="s">
        <v>124</v>
      </c>
      <c r="B153" s="159" t="s">
        <v>74</v>
      </c>
      <c r="C153" s="157" t="s">
        <v>96</v>
      </c>
      <c r="D153" s="176">
        <v>100</v>
      </c>
      <c r="E153" s="176">
        <v>100</v>
      </c>
      <c r="F153" s="176">
        <v>95.109673240202099</v>
      </c>
      <c r="G153" s="176">
        <v>77.987177792164502</v>
      </c>
      <c r="H153" s="176">
        <v>46.3611169369997</v>
      </c>
      <c r="I153" s="176">
        <v>24.187846453279398</v>
      </c>
      <c r="J153" s="176">
        <v>17.040236021531701</v>
      </c>
      <c r="K153" s="176">
        <v>12.657432047973099</v>
      </c>
      <c r="L153" s="176">
        <v>10.3839431478753</v>
      </c>
      <c r="M153" s="176">
        <v>7.5574870833503702</v>
      </c>
      <c r="N153" s="176">
        <v>5.5758207571831404</v>
      </c>
      <c r="O153" s="176">
        <v>3.8146299551751999</v>
      </c>
      <c r="P153" s="177">
        <v>1436.8</v>
      </c>
      <c r="Q153" s="177">
        <v>910.8</v>
      </c>
      <c r="R153" s="177">
        <v>1456.6</v>
      </c>
      <c r="S153" s="178">
        <f>P153/(P153-Q153)</f>
        <v>2.7315589353612202</v>
      </c>
      <c r="T153" s="178">
        <f t="shared" ref="T153" si="118">R153/(R153-Q153)</f>
        <v>2.6687431293514101</v>
      </c>
      <c r="U153" s="179">
        <f t="shared" ref="U153" si="119">P153/(R153-Q153)</f>
        <v>2.6324661048002902</v>
      </c>
      <c r="AG153" s="182">
        <v>1009.45</v>
      </c>
      <c r="AH153" s="182">
        <v>976.5</v>
      </c>
      <c r="AI153" s="190">
        <f t="shared" ref="AI153:AI154" si="120">100*AJ153/(100+AJ153)</f>
        <v>2.9826019440240001</v>
      </c>
      <c r="AJ153" s="191">
        <f>100*(AG153-AH153)/AH153-0.3</f>
        <v>3.0742959549411202</v>
      </c>
    </row>
    <row r="154" spans="1:36">
      <c r="A154" s="159" t="s">
        <v>124</v>
      </c>
      <c r="B154" s="159" t="s">
        <v>76</v>
      </c>
      <c r="C154" s="157" t="s">
        <v>97</v>
      </c>
      <c r="D154" s="176">
        <v>100</v>
      </c>
      <c r="E154" s="176">
        <v>100</v>
      </c>
      <c r="F154" s="176">
        <v>100</v>
      </c>
      <c r="G154" s="176">
        <v>100</v>
      </c>
      <c r="H154" s="176">
        <v>99.333303744032804</v>
      </c>
      <c r="I154" s="176">
        <v>72.879852645283506</v>
      </c>
      <c r="J154" s="176">
        <v>44.955714680238302</v>
      </c>
      <c r="K154" s="176">
        <v>30.5080976052393</v>
      </c>
      <c r="L154" s="176">
        <v>23.538978971870399</v>
      </c>
      <c r="M154" s="176">
        <v>15.647931707894401</v>
      </c>
      <c r="N154" s="176">
        <v>10.7683601609658</v>
      </c>
      <c r="O154" s="176">
        <v>6.9240196078431504</v>
      </c>
      <c r="V154" s="180">
        <v>288.58</v>
      </c>
      <c r="W154" s="180">
        <v>685.53499999999997</v>
      </c>
      <c r="X154" s="180">
        <v>868.13499999999999</v>
      </c>
      <c r="Y154" s="180">
        <v>292.5</v>
      </c>
      <c r="Z154" s="196">
        <f>V154/(V154+W154-X154)</f>
        <v>2.7229665974712201</v>
      </c>
      <c r="AA154" s="196">
        <f>Y154/(Y154+W154-X154)</f>
        <v>2.6615104640582401</v>
      </c>
      <c r="AB154" s="196">
        <f>V154/(Y154+W154-X154)</f>
        <v>2.6258416742493198</v>
      </c>
      <c r="AG154" s="182">
        <v>601.4</v>
      </c>
      <c r="AH154" s="182">
        <v>570.15</v>
      </c>
      <c r="AI154" s="190">
        <f t="shared" si="120"/>
        <v>4.7446805755750301</v>
      </c>
      <c r="AJ154" s="191">
        <f>100*(AG154-AH154)/AH154-0.5</f>
        <v>4.9810137683065898</v>
      </c>
    </row>
    <row r="155" spans="1:36" ht="14.4">
      <c r="A155" s="159" t="s">
        <v>126</v>
      </c>
      <c r="B155" s="159" t="s">
        <v>61</v>
      </c>
      <c r="C155" s="157" t="s">
        <v>62</v>
      </c>
      <c r="D155" s="176">
        <v>100</v>
      </c>
      <c r="E155" s="176">
        <v>100</v>
      </c>
      <c r="F155" s="176">
        <v>100</v>
      </c>
      <c r="G155" s="176">
        <v>63.6</v>
      </c>
      <c r="H155" s="176">
        <v>8.8000000000000007</v>
      </c>
      <c r="I155" s="176">
        <v>0.53036936893595099</v>
      </c>
      <c r="J155" s="176">
        <v>0.53036936893595099</v>
      </c>
      <c r="K155" s="176">
        <v>0.53036936893595099</v>
      </c>
      <c r="L155" s="176">
        <v>0.53036936893595099</v>
      </c>
      <c r="M155" s="176">
        <v>0.53036936893595099</v>
      </c>
      <c r="N155" s="176">
        <v>0.53036936893595099</v>
      </c>
      <c r="O155" s="176">
        <v>0.53036936893595099</v>
      </c>
      <c r="P155" s="177">
        <v>1983.2</v>
      </c>
      <c r="Q155" s="177">
        <v>1267.4000000000001</v>
      </c>
      <c r="R155" s="177">
        <v>2001.6</v>
      </c>
      <c r="S155" s="178">
        <f t="shared" ref="S155:S156" si="121">P155/(P155-Q155)</f>
        <v>2.77060631461302</v>
      </c>
      <c r="T155" s="178">
        <f t="shared" ref="T155:T156" si="122">R155/(R155-Q155)</f>
        <v>2.7262326341596301</v>
      </c>
      <c r="U155" s="179">
        <f t="shared" ref="U155:U156" si="123">P155/(R155-Q155)</f>
        <v>2.70117134295832</v>
      </c>
      <c r="V155" s="198"/>
      <c r="W155" s="198"/>
      <c r="X155" s="198"/>
      <c r="Y155" s="198"/>
      <c r="Z155" s="199"/>
      <c r="AA155" s="199"/>
      <c r="AB155" s="199"/>
      <c r="AG155" s="191"/>
      <c r="AH155" s="191"/>
      <c r="AI155" s="190"/>
      <c r="AJ155" s="191"/>
    </row>
    <row r="156" spans="1:36" ht="14.4">
      <c r="A156" s="159" t="s">
        <v>126</v>
      </c>
      <c r="B156" s="159" t="s">
        <v>61</v>
      </c>
      <c r="C156" s="168" t="s">
        <v>63</v>
      </c>
      <c r="D156" s="176">
        <v>100</v>
      </c>
      <c r="E156" s="176">
        <v>100</v>
      </c>
      <c r="F156" s="176">
        <v>100</v>
      </c>
      <c r="G156" s="176">
        <v>100</v>
      </c>
      <c r="H156" s="176">
        <v>94.4</v>
      </c>
      <c r="I156" s="176">
        <v>6</v>
      </c>
      <c r="J156" s="176">
        <v>0.4</v>
      </c>
      <c r="K156" s="176">
        <v>0.4</v>
      </c>
      <c r="L156" s="176">
        <v>0.4</v>
      </c>
      <c r="M156" s="176">
        <v>0.4</v>
      </c>
      <c r="N156" s="176">
        <v>0.4</v>
      </c>
      <c r="O156" s="176">
        <v>0.4</v>
      </c>
      <c r="P156" s="177">
        <v>1464.6</v>
      </c>
      <c r="Q156" s="177">
        <v>932.5</v>
      </c>
      <c r="R156" s="177">
        <v>1478.5</v>
      </c>
      <c r="S156" s="178">
        <f t="shared" si="121"/>
        <v>2.7524901334335699</v>
      </c>
      <c r="T156" s="178">
        <f t="shared" si="122"/>
        <v>2.7078754578754598</v>
      </c>
      <c r="U156" s="179">
        <f t="shared" si="123"/>
        <v>2.68241758241758</v>
      </c>
      <c r="V156" s="198"/>
      <c r="W156" s="198"/>
      <c r="X156" s="198"/>
      <c r="Y156" s="198"/>
      <c r="Z156" s="199"/>
      <c r="AA156" s="199"/>
      <c r="AB156" s="199"/>
      <c r="AG156" s="191"/>
      <c r="AH156" s="191"/>
      <c r="AI156" s="190"/>
      <c r="AJ156" s="191"/>
    </row>
    <row r="157" spans="1:36" ht="14.4">
      <c r="A157" s="159" t="s">
        <v>126</v>
      </c>
      <c r="B157" s="159" t="s">
        <v>64</v>
      </c>
      <c r="C157" s="168" t="s">
        <v>65</v>
      </c>
      <c r="D157" s="176">
        <v>100</v>
      </c>
      <c r="E157" s="176">
        <v>100</v>
      </c>
      <c r="F157" s="176">
        <v>100</v>
      </c>
      <c r="G157" s="176">
        <v>100</v>
      </c>
      <c r="H157" s="176">
        <v>100</v>
      </c>
      <c r="I157" s="176">
        <v>98.1</v>
      </c>
      <c r="J157" s="176">
        <v>62.4</v>
      </c>
      <c r="K157" s="176">
        <v>37.299999999999997</v>
      </c>
      <c r="L157" s="176">
        <v>26.4</v>
      </c>
      <c r="M157" s="176">
        <v>16.7</v>
      </c>
      <c r="N157" s="176">
        <v>11.7</v>
      </c>
      <c r="O157" s="176">
        <v>8.5</v>
      </c>
      <c r="V157" s="200">
        <v>296.10000000000002</v>
      </c>
      <c r="W157" s="200">
        <v>641.5</v>
      </c>
      <c r="X157" s="200">
        <v>829</v>
      </c>
      <c r="Y157" s="200">
        <v>300</v>
      </c>
      <c r="Z157" s="201">
        <f>V157/(V157+W157-X157)</f>
        <v>2.7265193370165699</v>
      </c>
      <c r="AA157" s="201">
        <f>Y157/(Y157+W157-X157)</f>
        <v>2.6666666666666701</v>
      </c>
      <c r="AB157" s="201">
        <f>V157/(Y157+W157-X157)</f>
        <v>2.6320000000000001</v>
      </c>
      <c r="AG157" s="191"/>
      <c r="AH157" s="191"/>
      <c r="AI157" s="190"/>
      <c r="AJ157" s="191"/>
    </row>
    <row r="158" spans="1:36">
      <c r="A158" s="159" t="s">
        <v>126</v>
      </c>
      <c r="B158" s="159" t="s">
        <v>74</v>
      </c>
      <c r="C158" s="168" t="s">
        <v>111</v>
      </c>
      <c r="D158" s="176">
        <v>100</v>
      </c>
      <c r="E158" s="176">
        <v>100</v>
      </c>
      <c r="F158" s="176">
        <v>100</v>
      </c>
      <c r="G158" s="176">
        <v>97.549232406212496</v>
      </c>
      <c r="H158" s="176">
        <v>91.257527106233198</v>
      </c>
      <c r="I158" s="176">
        <v>69.294213614497295</v>
      </c>
      <c r="J158" s="176">
        <v>49.670525672573497</v>
      </c>
      <c r="K158" s="176">
        <v>35.809807317090403</v>
      </c>
      <c r="L158" s="176">
        <v>27.7274233998731</v>
      </c>
      <c r="M158" s="176">
        <v>18.139166039489702</v>
      </c>
      <c r="N158" s="176">
        <v>11.287906849086699</v>
      </c>
      <c r="O158" s="176">
        <v>5.8495603076823999</v>
      </c>
      <c r="P158" s="177">
        <v>567.9</v>
      </c>
      <c r="Q158" s="177">
        <v>365.1</v>
      </c>
      <c r="R158" s="177">
        <v>581.79999999999995</v>
      </c>
      <c r="S158" s="178">
        <f t="shared" ref="S158:S163" si="124">P158/(P158-Q158)</f>
        <v>2.80029585798817</v>
      </c>
      <c r="T158" s="178">
        <f t="shared" ref="T158:T163" si="125">R158/(R158-Q158)</f>
        <v>2.6848177203507202</v>
      </c>
      <c r="U158" s="179">
        <f t="shared" ref="U158:U163" si="126">P158/(R158-Q158)</f>
        <v>2.6206737425011499</v>
      </c>
      <c r="V158" s="198"/>
      <c r="W158" s="198"/>
      <c r="X158" s="198"/>
      <c r="Y158" s="198"/>
      <c r="Z158" s="199"/>
      <c r="AA158" s="199"/>
      <c r="AB158" s="199"/>
      <c r="AG158" s="191">
        <v>891.9</v>
      </c>
      <c r="AH158" s="191">
        <v>846.1</v>
      </c>
      <c r="AI158" s="190">
        <f t="shared" ref="AI158" si="127">100*AJ158/(100+AJ158)</f>
        <v>4.8643538393884</v>
      </c>
      <c r="AJ158" s="191">
        <f>100*(AG158-AH158)/AH158-0.3</f>
        <v>5.1130717409289597</v>
      </c>
    </row>
    <row r="159" spans="1:36" ht="14.4">
      <c r="A159" s="159" t="s">
        <v>127</v>
      </c>
      <c r="B159" s="159" t="s">
        <v>61</v>
      </c>
      <c r="C159" s="129" t="s">
        <v>128</v>
      </c>
      <c r="D159" s="176">
        <v>98.082682248056798</v>
      </c>
      <c r="E159" s="176">
        <v>9.2888274687689592</v>
      </c>
      <c r="F159" s="176">
        <v>0.101102701185845</v>
      </c>
      <c r="G159" s="176">
        <v>0.101102701185845</v>
      </c>
      <c r="H159" s="176">
        <v>0.101102701185845</v>
      </c>
      <c r="I159" s="176">
        <v>0.101102701185845</v>
      </c>
      <c r="J159" s="176">
        <v>0.101102701185845</v>
      </c>
      <c r="K159" s="176">
        <v>0.101102701185845</v>
      </c>
      <c r="L159" s="176">
        <v>0.101102701185845</v>
      </c>
      <c r="M159" s="176">
        <v>0.101102701185845</v>
      </c>
      <c r="N159" s="176">
        <v>0.101102701185845</v>
      </c>
      <c r="O159" s="176">
        <v>0.101102701185845</v>
      </c>
      <c r="P159" s="177">
        <v>2494.6</v>
      </c>
      <c r="Q159" s="177">
        <v>1577.9</v>
      </c>
      <c r="R159" s="177">
        <v>2506.9</v>
      </c>
      <c r="S159" s="178">
        <f t="shared" si="124"/>
        <v>2.7212828624413699</v>
      </c>
      <c r="T159" s="178">
        <f t="shared" si="125"/>
        <v>2.69849300322928</v>
      </c>
      <c r="U159" s="179">
        <f t="shared" si="126"/>
        <v>2.6852529601722299</v>
      </c>
      <c r="V159" s="198"/>
      <c r="W159" s="198"/>
      <c r="X159" s="198"/>
      <c r="Y159" s="198"/>
      <c r="Z159" s="199"/>
      <c r="AA159" s="199"/>
      <c r="AB159" s="199"/>
      <c r="AG159" s="191"/>
      <c r="AH159" s="191"/>
      <c r="AI159" s="190"/>
      <c r="AJ159" s="191"/>
    </row>
    <row r="160" spans="1:36" ht="14.4">
      <c r="A160" s="159" t="s">
        <v>127</v>
      </c>
      <c r="B160" s="159" t="s">
        <v>61</v>
      </c>
      <c r="C160" s="134" t="s">
        <v>86</v>
      </c>
      <c r="D160" s="176">
        <v>100</v>
      </c>
      <c r="E160" s="176">
        <v>77.953780439121701</v>
      </c>
      <c r="F160" s="176">
        <v>8.7413852295408994</v>
      </c>
      <c r="G160" s="176">
        <v>0.52540119760477899</v>
      </c>
      <c r="H160" s="176">
        <v>0.17979640718562701</v>
      </c>
      <c r="I160" s="176">
        <v>0.14781636726546299</v>
      </c>
      <c r="J160" s="176">
        <v>0.123848303393203</v>
      </c>
      <c r="K160" s="176">
        <v>0.123848303393203</v>
      </c>
      <c r="L160" s="176">
        <v>0.123848303393203</v>
      </c>
      <c r="M160" s="176">
        <v>0.123848303393203</v>
      </c>
      <c r="N160" s="176">
        <v>0.123848303393203</v>
      </c>
      <c r="O160" s="176">
        <v>0.123848303393203</v>
      </c>
      <c r="P160" s="177">
        <v>2488.1</v>
      </c>
      <c r="Q160" s="177">
        <v>1578</v>
      </c>
      <c r="R160" s="177">
        <v>2500</v>
      </c>
      <c r="S160" s="178">
        <f t="shared" si="124"/>
        <v>2.7338753983078798</v>
      </c>
      <c r="T160" s="178">
        <f t="shared" si="125"/>
        <v>2.7114967462038999</v>
      </c>
      <c r="U160" s="179">
        <f t="shared" si="126"/>
        <v>2.6985900216919698</v>
      </c>
      <c r="V160" s="198"/>
      <c r="W160" s="198"/>
      <c r="X160" s="198"/>
      <c r="Y160" s="198"/>
      <c r="Z160" s="199"/>
      <c r="AA160" s="199"/>
      <c r="AB160" s="199"/>
      <c r="AG160" s="191"/>
      <c r="AH160" s="191"/>
      <c r="AI160" s="190"/>
      <c r="AJ160" s="191"/>
    </row>
    <row r="161" spans="1:36" ht="14.4">
      <c r="A161" s="159" t="s">
        <v>127</v>
      </c>
      <c r="B161" s="159" t="s">
        <v>61</v>
      </c>
      <c r="C161" s="134" t="s">
        <v>87</v>
      </c>
      <c r="D161" s="176">
        <v>100</v>
      </c>
      <c r="E161" s="176">
        <v>100</v>
      </c>
      <c r="F161" s="176">
        <v>99.068006491545901</v>
      </c>
      <c r="G161" s="176">
        <v>75.690028683574894</v>
      </c>
      <c r="H161" s="176">
        <v>3.45067934782608</v>
      </c>
      <c r="I161" s="176">
        <v>9.7731733091798306E-2</v>
      </c>
      <c r="J161" s="176">
        <v>9.3383907004849095E-2</v>
      </c>
      <c r="K161" s="176">
        <v>9.3383907004849095E-2</v>
      </c>
      <c r="L161" s="176">
        <v>9.3383907004849095E-2</v>
      </c>
      <c r="M161" s="176">
        <v>9.3383907004849095E-2</v>
      </c>
      <c r="N161" s="176">
        <v>9.3383907004849095E-2</v>
      </c>
      <c r="O161" s="176">
        <v>9.3383907004849095E-2</v>
      </c>
      <c r="P161" s="177">
        <v>1996.3</v>
      </c>
      <c r="Q161" s="177">
        <v>1263.4000000000001</v>
      </c>
      <c r="R161" s="177">
        <v>2008</v>
      </c>
      <c r="S161" s="178">
        <f t="shared" si="124"/>
        <v>2.72383681266203</v>
      </c>
      <c r="T161" s="178">
        <f t="shared" si="125"/>
        <v>2.6967499328498499</v>
      </c>
      <c r="U161" s="179">
        <f t="shared" si="126"/>
        <v>2.6810367982809602</v>
      </c>
      <c r="V161" s="198"/>
      <c r="W161" s="198"/>
      <c r="X161" s="198"/>
      <c r="Y161" s="198"/>
      <c r="Z161" s="199"/>
      <c r="AA161" s="199"/>
      <c r="AB161" s="199"/>
      <c r="AG161" s="191"/>
      <c r="AH161" s="191"/>
      <c r="AI161" s="190"/>
      <c r="AJ161" s="191"/>
    </row>
    <row r="162" spans="1:36" ht="14.4">
      <c r="A162" s="159" t="s">
        <v>127</v>
      </c>
      <c r="B162" s="159" t="s">
        <v>61</v>
      </c>
      <c r="C162" s="134" t="s">
        <v>116</v>
      </c>
      <c r="D162" s="176">
        <v>100</v>
      </c>
      <c r="E162" s="176">
        <v>100</v>
      </c>
      <c r="F162" s="176">
        <v>100</v>
      </c>
      <c r="G162" s="176">
        <v>100</v>
      </c>
      <c r="H162" s="176">
        <v>89.344714396382699</v>
      </c>
      <c r="I162" s="176">
        <v>0.36038386137987299</v>
      </c>
      <c r="J162" s="176">
        <v>0.20380778473408201</v>
      </c>
      <c r="K162" s="176">
        <v>0.20380778473408201</v>
      </c>
      <c r="L162" s="176">
        <v>0.20380778473408201</v>
      </c>
      <c r="M162" s="176">
        <v>0.20380778473408201</v>
      </c>
      <c r="N162" s="176">
        <v>0.20380778473408201</v>
      </c>
      <c r="O162" s="176">
        <v>0.20380778473408201</v>
      </c>
      <c r="P162" s="177">
        <v>1492.3</v>
      </c>
      <c r="Q162" s="177">
        <v>942.9</v>
      </c>
      <c r="R162" s="177">
        <v>1501.6</v>
      </c>
      <c r="S162" s="178">
        <f t="shared" si="124"/>
        <v>2.71623589370222</v>
      </c>
      <c r="T162" s="178">
        <f t="shared" si="125"/>
        <v>2.6876678002505798</v>
      </c>
      <c r="U162" s="179">
        <f t="shared" si="126"/>
        <v>2.6710220153928801</v>
      </c>
      <c r="V162" s="198"/>
      <c r="W162" s="198"/>
      <c r="X162" s="198"/>
      <c r="Y162" s="198"/>
      <c r="Z162" s="199"/>
      <c r="AA162" s="199"/>
      <c r="AB162" s="199"/>
      <c r="AG162" s="191"/>
      <c r="AH162" s="191"/>
      <c r="AI162" s="190"/>
      <c r="AJ162" s="191"/>
    </row>
    <row r="163" spans="1:36" ht="14.4">
      <c r="A163" s="159" t="s">
        <v>127</v>
      </c>
      <c r="B163" s="159" t="s">
        <v>61</v>
      </c>
      <c r="C163" s="134" t="s">
        <v>117</v>
      </c>
      <c r="D163" s="176">
        <v>100</v>
      </c>
      <c r="E163" s="176">
        <v>100</v>
      </c>
      <c r="F163" s="176">
        <v>100</v>
      </c>
      <c r="G163" s="176">
        <v>100</v>
      </c>
      <c r="H163" s="176">
        <v>100</v>
      </c>
      <c r="I163" s="176">
        <v>52.4622352487768</v>
      </c>
      <c r="J163" s="176">
        <v>0.51434488035925396</v>
      </c>
      <c r="K163" s="176">
        <v>0.459399825414195</v>
      </c>
      <c r="L163" s="176">
        <v>0.459399825414195</v>
      </c>
      <c r="M163" s="176">
        <v>0.459399825414195</v>
      </c>
      <c r="N163" s="176">
        <v>0.459399825414195</v>
      </c>
      <c r="O163" s="176">
        <v>0.459399825414195</v>
      </c>
      <c r="P163" s="177">
        <v>1091.2</v>
      </c>
      <c r="Q163" s="177">
        <v>687</v>
      </c>
      <c r="R163" s="177">
        <v>1099.7</v>
      </c>
      <c r="S163" s="178">
        <f t="shared" si="124"/>
        <v>2.6996536368134598</v>
      </c>
      <c r="T163" s="178">
        <f t="shared" si="125"/>
        <v>2.66464744366368</v>
      </c>
      <c r="U163" s="179">
        <f t="shared" si="126"/>
        <v>2.6440513690332001</v>
      </c>
      <c r="V163" s="198"/>
      <c r="W163" s="198"/>
      <c r="X163" s="198"/>
      <c r="Y163" s="198"/>
      <c r="Z163" s="199"/>
      <c r="AA163" s="199"/>
      <c r="AB163" s="199"/>
      <c r="AG163" s="191"/>
      <c r="AH163" s="191"/>
      <c r="AI163" s="190"/>
      <c r="AJ163" s="191"/>
    </row>
    <row r="164" spans="1:36" ht="14.4">
      <c r="A164" s="159" t="s">
        <v>127</v>
      </c>
      <c r="B164" s="159" t="s">
        <v>64</v>
      </c>
      <c r="C164" s="134" t="s">
        <v>71</v>
      </c>
      <c r="D164" s="176">
        <v>100</v>
      </c>
      <c r="E164" s="176">
        <v>100</v>
      </c>
      <c r="F164" s="176">
        <v>100</v>
      </c>
      <c r="G164" s="176">
        <v>100</v>
      </c>
      <c r="H164" s="176">
        <v>100</v>
      </c>
      <c r="I164" s="176">
        <v>99.401030689494704</v>
      </c>
      <c r="J164" s="176">
        <v>79.221482148035406</v>
      </c>
      <c r="K164" s="176">
        <v>55.043577348548098</v>
      </c>
      <c r="L164" s="176">
        <v>43.703289875565901</v>
      </c>
      <c r="M164" s="176">
        <v>22.869784644390698</v>
      </c>
      <c r="N164" s="176">
        <v>7.9757733658992498</v>
      </c>
      <c r="O164" s="176">
        <v>5.6150280567173096</v>
      </c>
      <c r="V164" s="200">
        <v>298</v>
      </c>
      <c r="W164" s="200">
        <v>753.3</v>
      </c>
      <c r="X164" s="200">
        <v>941</v>
      </c>
      <c r="Y164" s="200">
        <v>300.2</v>
      </c>
      <c r="Z164" s="201">
        <f>V164/(V164+W164-X164)</f>
        <v>2.7017225747960101</v>
      </c>
      <c r="AA164" s="201">
        <f>Y164/(Y164+W164-X164)</f>
        <v>2.66844444444444</v>
      </c>
      <c r="AB164" s="201">
        <f>V164/(Y164+W164-X164)</f>
        <v>2.64888888888889</v>
      </c>
      <c r="AG164" s="191"/>
      <c r="AH164" s="191"/>
      <c r="AI164" s="190"/>
      <c r="AJ164" s="191"/>
    </row>
    <row r="165" spans="1:36">
      <c r="A165" s="159" t="s">
        <v>127</v>
      </c>
      <c r="B165" s="159" t="s">
        <v>74</v>
      </c>
      <c r="C165" s="157" t="s">
        <v>62</v>
      </c>
      <c r="D165" s="176">
        <v>100</v>
      </c>
      <c r="E165" s="176">
        <v>100</v>
      </c>
      <c r="F165" s="176">
        <v>99.077835990798405</v>
      </c>
      <c r="G165" s="176">
        <v>97.581984864379294</v>
      </c>
      <c r="H165" s="176">
        <v>83.078084537865493</v>
      </c>
      <c r="I165" s="176">
        <v>40.8310940823119</v>
      </c>
      <c r="J165" s="176">
        <v>28.898020024862898</v>
      </c>
      <c r="K165" s="176">
        <v>20.774242193563701</v>
      </c>
      <c r="L165" s="176">
        <v>16.773130661063</v>
      </c>
      <c r="M165" s="176">
        <v>12.950207692180699</v>
      </c>
      <c r="N165" s="176">
        <v>9.7840617998030197</v>
      </c>
      <c r="O165" s="176">
        <v>8.4228059151357506</v>
      </c>
      <c r="P165" s="177">
        <v>2364.9</v>
      </c>
      <c r="Q165" s="177">
        <v>1511.4</v>
      </c>
      <c r="R165" s="177">
        <v>2375.4</v>
      </c>
      <c r="S165" s="178">
        <f t="shared" ref="S165" si="128">P165/(P165-Q165)</f>
        <v>2.7708260105448201</v>
      </c>
      <c r="T165" s="178">
        <f t="shared" ref="T165" si="129">R165/(R165-Q165)</f>
        <v>2.7493055555555599</v>
      </c>
      <c r="U165" s="179">
        <f t="shared" ref="U165" si="130">P165/(R165-Q165)</f>
        <v>2.73715277777778</v>
      </c>
      <c r="V165" s="200"/>
      <c r="W165" s="200"/>
      <c r="X165" s="200"/>
      <c r="Y165" s="200"/>
      <c r="Z165" s="199"/>
      <c r="AA165" s="199"/>
      <c r="AB165" s="199"/>
      <c r="AG165" s="191">
        <v>804.5</v>
      </c>
      <c r="AH165" s="191">
        <f>804.5-38.3</f>
        <v>766.2</v>
      </c>
      <c r="AI165" s="190">
        <f t="shared" ref="AI165:AI166" si="131">100*AJ165/(100+AJ165)</f>
        <v>4.7607209446861303</v>
      </c>
      <c r="AJ165" s="191">
        <f>100*(AG165-AH165)/AH165</f>
        <v>4.9986948577394896</v>
      </c>
    </row>
    <row r="166" spans="1:36">
      <c r="A166" s="159" t="s">
        <v>127</v>
      </c>
      <c r="B166" s="159" t="s">
        <v>76</v>
      </c>
      <c r="C166" s="134" t="s">
        <v>68</v>
      </c>
      <c r="D166" s="176">
        <v>100</v>
      </c>
      <c r="E166" s="176">
        <v>100</v>
      </c>
      <c r="F166" s="176">
        <v>100</v>
      </c>
      <c r="G166" s="176">
        <v>100</v>
      </c>
      <c r="H166" s="176">
        <v>99.021066002588597</v>
      </c>
      <c r="I166" s="176">
        <v>76.491489062093805</v>
      </c>
      <c r="J166" s="176">
        <v>51.165351001864302</v>
      </c>
      <c r="K166" s="176">
        <v>32.830053723649897</v>
      </c>
      <c r="L166" s="176">
        <v>24.432386168893299</v>
      </c>
      <c r="M166" s="176">
        <v>17.979834140129899</v>
      </c>
      <c r="N166" s="176">
        <v>13.847592513415</v>
      </c>
      <c r="O166" s="176">
        <v>12.086160812899299</v>
      </c>
      <c r="V166" s="200">
        <v>292.2</v>
      </c>
      <c r="W166" s="200">
        <v>761.4</v>
      </c>
      <c r="X166" s="200">
        <v>945.5</v>
      </c>
      <c r="Y166" s="200">
        <v>300.3</v>
      </c>
      <c r="Z166" s="199"/>
      <c r="AA166" s="199"/>
      <c r="AB166" s="199"/>
      <c r="AG166" s="191">
        <v>1199.8</v>
      </c>
      <c r="AH166" s="191">
        <f>1199.8-51.6</f>
        <v>1148.2</v>
      </c>
      <c r="AI166" s="190">
        <f t="shared" si="131"/>
        <v>4.3007167861310096</v>
      </c>
      <c r="AJ166" s="191">
        <f>100*(AG166-AH166)/AH166</f>
        <v>4.4939905939731704</v>
      </c>
    </row>
    <row r="167" spans="1:36" ht="14.4">
      <c r="A167" s="159" t="s">
        <v>129</v>
      </c>
      <c r="B167" s="159" t="s">
        <v>61</v>
      </c>
      <c r="C167" s="202" t="s">
        <v>130</v>
      </c>
      <c r="D167" s="176">
        <v>100</v>
      </c>
      <c r="E167" s="176">
        <v>100</v>
      </c>
      <c r="F167" s="176">
        <v>100</v>
      </c>
      <c r="G167" s="176">
        <v>90.5</v>
      </c>
      <c r="H167" s="176">
        <v>32.1</v>
      </c>
      <c r="I167" s="176">
        <v>4.3</v>
      </c>
      <c r="J167" s="176">
        <v>0.3</v>
      </c>
      <c r="K167" s="176">
        <v>2.33333333333334E-2</v>
      </c>
      <c r="L167" s="176">
        <v>2.33333333333334E-2</v>
      </c>
      <c r="M167" s="176">
        <v>2.33333333333334E-2</v>
      </c>
      <c r="N167" s="176">
        <v>2.33333333333334E-2</v>
      </c>
      <c r="O167" s="176">
        <v>2.33333333333334E-2</v>
      </c>
      <c r="V167" s="198"/>
      <c r="W167" s="198"/>
      <c r="X167" s="198"/>
      <c r="Y167" s="198"/>
      <c r="Z167" s="199"/>
      <c r="AA167" s="199"/>
      <c r="AB167" s="199"/>
      <c r="AG167" s="191"/>
      <c r="AH167" s="191"/>
      <c r="AI167" s="190"/>
      <c r="AJ167" s="191"/>
    </row>
    <row r="168" spans="1:36" ht="14.4">
      <c r="A168" s="159" t="s">
        <v>129</v>
      </c>
      <c r="B168" s="159" t="s">
        <v>61</v>
      </c>
      <c r="C168" s="202" t="s">
        <v>131</v>
      </c>
      <c r="D168" s="176">
        <v>100</v>
      </c>
      <c r="E168" s="176">
        <v>100</v>
      </c>
      <c r="F168" s="176">
        <v>100</v>
      </c>
      <c r="G168" s="176">
        <v>100</v>
      </c>
      <c r="H168" s="176">
        <v>80.5</v>
      </c>
      <c r="I168" s="176">
        <v>0.5</v>
      </c>
      <c r="J168" s="176">
        <v>0</v>
      </c>
      <c r="K168" s="176">
        <v>0</v>
      </c>
      <c r="L168" s="176">
        <v>0</v>
      </c>
      <c r="M168" s="176">
        <v>0</v>
      </c>
      <c r="N168" s="176">
        <v>0</v>
      </c>
      <c r="O168" s="176">
        <v>0</v>
      </c>
      <c r="V168" s="198"/>
      <c r="W168" s="198"/>
      <c r="X168" s="198"/>
      <c r="Y168" s="198"/>
      <c r="Z168" s="199"/>
      <c r="AA168" s="199"/>
      <c r="AB168" s="199"/>
      <c r="AG168" s="191"/>
      <c r="AH168" s="191"/>
      <c r="AI168" s="190"/>
      <c r="AJ168" s="191"/>
    </row>
    <row r="169" spans="1:36" ht="14.4">
      <c r="A169" s="159" t="s">
        <v>129</v>
      </c>
      <c r="B169" s="159" t="s">
        <v>61</v>
      </c>
      <c r="C169" s="202" t="s">
        <v>132</v>
      </c>
      <c r="D169" s="176">
        <v>100</v>
      </c>
      <c r="E169" s="176">
        <v>100</v>
      </c>
      <c r="F169" s="176">
        <v>100</v>
      </c>
      <c r="G169" s="176">
        <v>100</v>
      </c>
      <c r="H169" s="176">
        <v>99.1</v>
      </c>
      <c r="I169" s="176">
        <v>55.9</v>
      </c>
      <c r="J169" s="176">
        <v>2</v>
      </c>
      <c r="K169" s="176">
        <v>0.3</v>
      </c>
      <c r="L169" s="176">
        <v>0</v>
      </c>
      <c r="M169" s="176">
        <v>0</v>
      </c>
      <c r="N169" s="176">
        <v>0</v>
      </c>
      <c r="O169" s="176">
        <v>0</v>
      </c>
      <c r="V169" s="198"/>
      <c r="W169" s="198"/>
      <c r="X169" s="198"/>
      <c r="Y169" s="198"/>
      <c r="Z169" s="199"/>
      <c r="AA169" s="199"/>
      <c r="AB169" s="199"/>
      <c r="AG169" s="191"/>
      <c r="AH169" s="191"/>
      <c r="AI169" s="190"/>
      <c r="AJ169" s="191"/>
    </row>
    <row r="170" spans="1:36" ht="14.4">
      <c r="A170" s="159" t="s">
        <v>129</v>
      </c>
      <c r="B170" s="159" t="s">
        <v>64</v>
      </c>
      <c r="C170" s="202" t="s">
        <v>133</v>
      </c>
      <c r="D170" s="176">
        <v>100</v>
      </c>
      <c r="E170" s="176">
        <v>100</v>
      </c>
      <c r="F170" s="176">
        <v>100</v>
      </c>
      <c r="G170" s="176">
        <v>100</v>
      </c>
      <c r="H170" s="176">
        <v>100</v>
      </c>
      <c r="I170" s="176">
        <v>100</v>
      </c>
      <c r="J170" s="176">
        <v>62.6</v>
      </c>
      <c r="K170" s="176">
        <v>28.1</v>
      </c>
      <c r="L170" s="176">
        <v>12.9</v>
      </c>
      <c r="M170" s="176">
        <v>6.4</v>
      </c>
      <c r="N170" s="176">
        <v>3.3</v>
      </c>
      <c r="O170" s="176">
        <v>2.6</v>
      </c>
      <c r="V170" s="198"/>
      <c r="W170" s="198"/>
      <c r="X170" s="198"/>
      <c r="Y170" s="198"/>
      <c r="Z170" s="199"/>
      <c r="AA170" s="199"/>
      <c r="AB170" s="199"/>
      <c r="AG170" s="191"/>
      <c r="AH170" s="191"/>
      <c r="AI170" s="190"/>
      <c r="AJ170" s="191"/>
    </row>
    <row r="171" spans="1:36" ht="14.4">
      <c r="A171" s="159" t="s">
        <v>129</v>
      </c>
      <c r="B171" s="164" t="s">
        <v>99</v>
      </c>
      <c r="C171" s="202" t="s">
        <v>73</v>
      </c>
      <c r="D171" s="176">
        <v>100</v>
      </c>
      <c r="E171" s="176">
        <v>100</v>
      </c>
      <c r="F171" s="176">
        <v>100</v>
      </c>
      <c r="G171" s="176">
        <v>100</v>
      </c>
      <c r="H171" s="176">
        <v>100</v>
      </c>
      <c r="I171" s="176">
        <v>100</v>
      </c>
      <c r="J171" s="176">
        <v>100</v>
      </c>
      <c r="K171" s="176">
        <v>100</v>
      </c>
      <c r="L171" s="176">
        <v>100</v>
      </c>
      <c r="M171" s="176">
        <v>100</v>
      </c>
      <c r="N171" s="176">
        <v>100</v>
      </c>
      <c r="O171" s="176">
        <v>85</v>
      </c>
      <c r="V171" s="198"/>
      <c r="W171" s="198"/>
      <c r="X171" s="198"/>
      <c r="Y171" s="198"/>
      <c r="Z171" s="199"/>
      <c r="AA171" s="199"/>
      <c r="AB171" s="199"/>
      <c r="AG171" s="191"/>
      <c r="AH171" s="191"/>
      <c r="AI171" s="190"/>
      <c r="AJ171" s="191"/>
    </row>
    <row r="172" spans="1:36">
      <c r="A172" s="159" t="s">
        <v>129</v>
      </c>
      <c r="B172" s="159" t="s">
        <v>74</v>
      </c>
      <c r="C172" s="168" t="s">
        <v>111</v>
      </c>
      <c r="D172" s="176">
        <v>100</v>
      </c>
      <c r="E172" s="176">
        <v>100</v>
      </c>
      <c r="F172" s="176">
        <v>100</v>
      </c>
      <c r="G172" s="176">
        <v>97.549232406212496</v>
      </c>
      <c r="H172" s="176">
        <v>91.257527106233198</v>
      </c>
      <c r="I172" s="176">
        <v>69.294213614497295</v>
      </c>
      <c r="J172" s="176">
        <v>49.670525672573497</v>
      </c>
      <c r="K172" s="176">
        <v>35.809807317090403</v>
      </c>
      <c r="L172" s="176">
        <v>27.7274233998731</v>
      </c>
      <c r="M172" s="176">
        <v>18.139166039489702</v>
      </c>
      <c r="N172" s="176">
        <v>11.287906849086699</v>
      </c>
      <c r="O172" s="176">
        <v>5.8495603076823999</v>
      </c>
      <c r="P172" s="177">
        <v>567.9</v>
      </c>
      <c r="Q172" s="177">
        <v>365.1</v>
      </c>
      <c r="R172" s="177">
        <v>581.79999999999995</v>
      </c>
      <c r="S172" s="178">
        <f t="shared" ref="S172:S175" si="132">P172/(P172-Q172)</f>
        <v>2.80029585798817</v>
      </c>
      <c r="T172" s="178">
        <f t="shared" ref="T172:T175" si="133">R172/(R172-Q172)</f>
        <v>2.6848177203507202</v>
      </c>
      <c r="U172" s="179">
        <f t="shared" ref="U172:U175" si="134">P172/(R172-Q172)</f>
        <v>2.6206737425011499</v>
      </c>
      <c r="V172" s="198"/>
      <c r="W172" s="198"/>
      <c r="X172" s="198"/>
      <c r="Y172" s="198"/>
      <c r="Z172" s="199"/>
      <c r="AA172" s="199"/>
      <c r="AB172" s="199"/>
      <c r="AG172" s="191">
        <v>891.9</v>
      </c>
      <c r="AH172" s="191">
        <v>846.1</v>
      </c>
      <c r="AI172" s="190">
        <f t="shared" ref="AI172" si="135">100*AJ172/(100+AJ172)</f>
        <v>4.8643538393884</v>
      </c>
      <c r="AJ172" s="191">
        <f>100*(AG172-AH172)/AH172-0.3</f>
        <v>5.1130717409289597</v>
      </c>
    </row>
    <row r="173" spans="1:36">
      <c r="A173" s="159" t="s">
        <v>134</v>
      </c>
      <c r="B173" s="159" t="s">
        <v>81</v>
      </c>
      <c r="C173" s="157" t="s">
        <v>79</v>
      </c>
      <c r="D173" s="176">
        <v>100</v>
      </c>
      <c r="E173" s="176">
        <v>100</v>
      </c>
      <c r="F173" s="176">
        <v>100</v>
      </c>
      <c r="G173" s="176">
        <v>81.291778095033607</v>
      </c>
      <c r="H173" s="176">
        <v>13.933631306639301</v>
      </c>
      <c r="I173" s="176">
        <v>1.0635300611815399</v>
      </c>
      <c r="J173" s="176">
        <v>0.59115440998588997</v>
      </c>
      <c r="K173" s="176">
        <v>0.59115440998588997</v>
      </c>
      <c r="L173" s="176">
        <v>0.59115440998588997</v>
      </c>
      <c r="M173" s="176">
        <v>0.59115440998588997</v>
      </c>
      <c r="N173" s="176">
        <v>0.59115440998588997</v>
      </c>
      <c r="O173" s="176">
        <v>0.59115440998588997</v>
      </c>
      <c r="P173" s="177">
        <v>1341</v>
      </c>
      <c r="Q173" s="177">
        <v>854</v>
      </c>
      <c r="R173" s="177">
        <v>1349.5</v>
      </c>
      <c r="S173" s="178">
        <f t="shared" si="132"/>
        <v>2.7535934291581099</v>
      </c>
      <c r="T173" s="178">
        <f t="shared" si="133"/>
        <v>2.7235116044399601</v>
      </c>
      <c r="U173" s="179">
        <f t="shared" si="134"/>
        <v>2.7063572149344099</v>
      </c>
      <c r="V173" s="198"/>
      <c r="W173" s="198"/>
      <c r="X173" s="198"/>
      <c r="Y173" s="198"/>
      <c r="Z173" s="199"/>
      <c r="AA173" s="199"/>
      <c r="AB173" s="199"/>
      <c r="AG173" s="191"/>
      <c r="AH173" s="191"/>
      <c r="AI173" s="190"/>
      <c r="AJ173" s="191"/>
    </row>
    <row r="174" spans="1:36">
      <c r="A174" s="159" t="s">
        <v>134</v>
      </c>
      <c r="B174" s="159" t="s">
        <v>81</v>
      </c>
      <c r="C174" s="157" t="s">
        <v>63</v>
      </c>
      <c r="D174" s="176">
        <v>100</v>
      </c>
      <c r="E174" s="176">
        <v>100</v>
      </c>
      <c r="F174" s="176">
        <v>100</v>
      </c>
      <c r="G174" s="176">
        <v>100</v>
      </c>
      <c r="H174" s="176">
        <v>98.132586180805802</v>
      </c>
      <c r="I174" s="176">
        <v>9.6562394680211394</v>
      </c>
      <c r="J174" s="176">
        <v>3.2182371806932002</v>
      </c>
      <c r="K174" s="176">
        <v>1.9539191870521799</v>
      </c>
      <c r="L174" s="176">
        <v>1.74445813279304</v>
      </c>
      <c r="M174" s="176">
        <v>1.6131542369565499</v>
      </c>
      <c r="N174" s="176">
        <v>1.46205083171785</v>
      </c>
      <c r="O174" s="176">
        <v>1.39744139190469</v>
      </c>
      <c r="P174" s="177">
        <v>1205.5</v>
      </c>
      <c r="Q174" s="177">
        <v>758.7</v>
      </c>
      <c r="R174" s="177">
        <v>1213.8</v>
      </c>
      <c r="S174" s="178">
        <f t="shared" si="132"/>
        <v>2.6980752014324101</v>
      </c>
      <c r="T174" s="178">
        <f t="shared" si="133"/>
        <v>2.6671061305207702</v>
      </c>
      <c r="U174" s="179">
        <f t="shared" si="134"/>
        <v>2.6488683805757001</v>
      </c>
      <c r="V174" s="198"/>
      <c r="W174" s="198"/>
      <c r="X174" s="198"/>
      <c r="Y174" s="198"/>
      <c r="Z174" s="199"/>
      <c r="AA174" s="199"/>
      <c r="AB174" s="199"/>
      <c r="AG174" s="191"/>
      <c r="AH174" s="191"/>
      <c r="AI174" s="190"/>
      <c r="AJ174" s="191"/>
    </row>
    <row r="175" spans="1:36">
      <c r="A175" s="159" t="s">
        <v>134</v>
      </c>
      <c r="B175" s="159" t="s">
        <v>81</v>
      </c>
      <c r="C175" s="157" t="s">
        <v>70</v>
      </c>
      <c r="D175" s="176">
        <v>100</v>
      </c>
      <c r="E175" s="176">
        <v>100</v>
      </c>
      <c r="F175" s="176">
        <v>100</v>
      </c>
      <c r="G175" s="176">
        <v>100</v>
      </c>
      <c r="H175" s="176">
        <v>100</v>
      </c>
      <c r="I175" s="176">
        <v>84.2234666575917</v>
      </c>
      <c r="J175" s="176">
        <v>9.9501351710892898</v>
      </c>
      <c r="K175" s="176">
        <v>5.0389832757398896</v>
      </c>
      <c r="L175" s="176">
        <v>4.19854190606355</v>
      </c>
      <c r="M175" s="176">
        <v>3.7498200440131102</v>
      </c>
      <c r="N175" s="176">
        <v>3.1441005215722302</v>
      </c>
      <c r="O175" s="176">
        <v>2.8786120214548601</v>
      </c>
      <c r="P175" s="177">
        <v>444.2</v>
      </c>
      <c r="Q175" s="177">
        <v>281</v>
      </c>
      <c r="R175" s="177">
        <v>447.7</v>
      </c>
      <c r="S175" s="178">
        <f t="shared" si="132"/>
        <v>2.7218137254902</v>
      </c>
      <c r="T175" s="178">
        <f t="shared" si="133"/>
        <v>2.6856628674265099</v>
      </c>
      <c r="U175" s="179">
        <f t="shared" si="134"/>
        <v>2.6646670665866798</v>
      </c>
      <c r="V175" s="198"/>
      <c r="W175" s="198"/>
      <c r="X175" s="198"/>
      <c r="Y175" s="198"/>
      <c r="Z175" s="199"/>
      <c r="AA175" s="199"/>
      <c r="AB175" s="199"/>
      <c r="AG175" s="191"/>
      <c r="AH175" s="191"/>
      <c r="AI175" s="190"/>
      <c r="AJ175" s="191"/>
    </row>
    <row r="176" spans="1:36">
      <c r="A176" s="159" t="s">
        <v>134</v>
      </c>
      <c r="B176" s="159" t="s">
        <v>82</v>
      </c>
      <c r="C176" s="134" t="s">
        <v>71</v>
      </c>
      <c r="D176" s="176">
        <v>100</v>
      </c>
      <c r="E176" s="176">
        <v>100</v>
      </c>
      <c r="F176" s="176">
        <v>100</v>
      </c>
      <c r="G176" s="176">
        <v>100</v>
      </c>
      <c r="H176" s="176">
        <v>100</v>
      </c>
      <c r="I176" s="176">
        <v>99.802561702269003</v>
      </c>
      <c r="J176" s="176">
        <v>78.663550940328605</v>
      </c>
      <c r="K176" s="176">
        <v>47.187738878284001</v>
      </c>
      <c r="L176" s="176">
        <v>30.120927607187699</v>
      </c>
      <c r="M176" s="176">
        <v>17.684958740373801</v>
      </c>
      <c r="N176" s="176">
        <v>10.1654141634837</v>
      </c>
      <c r="O176" s="176">
        <v>8.4104575997334194</v>
      </c>
      <c r="V176" s="198">
        <v>295.7</v>
      </c>
      <c r="W176" s="198">
        <v>739.4</v>
      </c>
      <c r="X176" s="198">
        <v>925.7</v>
      </c>
      <c r="Y176" s="198">
        <v>300</v>
      </c>
      <c r="Z176" s="201">
        <f>V176/(V176+W176-X176)</f>
        <v>2.7029250457038398</v>
      </c>
      <c r="AA176" s="201">
        <f>Y176/(Y176+W176-X176)</f>
        <v>2.63852242744063</v>
      </c>
      <c r="AB176" s="201">
        <f>V176/(Y176+W176-X176)</f>
        <v>2.6007036059806499</v>
      </c>
      <c r="AG176" s="191"/>
      <c r="AH176" s="191"/>
      <c r="AI176" s="190"/>
      <c r="AJ176" s="191"/>
    </row>
    <row r="177" spans="1:36">
      <c r="A177" s="159" t="s">
        <v>134</v>
      </c>
      <c r="B177" s="159" t="s">
        <v>74</v>
      </c>
      <c r="C177" s="157" t="s">
        <v>79</v>
      </c>
      <c r="D177" s="176">
        <v>100</v>
      </c>
      <c r="E177" s="176">
        <v>100</v>
      </c>
      <c r="F177" s="176">
        <v>100</v>
      </c>
      <c r="G177" s="176">
        <v>91.481602957618506</v>
      </c>
      <c r="H177" s="176">
        <v>45.252333180676601</v>
      </c>
      <c r="I177" s="176">
        <v>18.427116335069702</v>
      </c>
      <c r="J177" s="176">
        <v>14.839525379323799</v>
      </c>
      <c r="K177" s="176">
        <v>11.3395009170846</v>
      </c>
      <c r="L177" s="176">
        <v>9.4771148488245398</v>
      </c>
      <c r="M177" s="176">
        <v>7.5622033056660696</v>
      </c>
      <c r="N177" s="176">
        <v>5.9461762722048501</v>
      </c>
      <c r="O177" s="176">
        <v>5.0341853245319799</v>
      </c>
      <c r="P177" s="177">
        <v>2447.6</v>
      </c>
      <c r="Q177" s="177">
        <v>1571.1</v>
      </c>
      <c r="R177" s="177">
        <v>2479.3000000000002</v>
      </c>
      <c r="S177" s="178">
        <f t="shared" ref="S177:S178" si="136">P177/(P177-Q177)</f>
        <v>2.79247005134056</v>
      </c>
      <c r="T177" s="178">
        <f t="shared" ref="T177:T178" si="137">R177/(R177-Q177)</f>
        <v>2.7299053072010602</v>
      </c>
      <c r="U177" s="179">
        <f t="shared" ref="U177:U178" si="138">P177/(R177-Q177)</f>
        <v>2.6950011010790602</v>
      </c>
      <c r="V177" s="198"/>
      <c r="W177" s="198"/>
      <c r="X177" s="198"/>
      <c r="Y177" s="198"/>
      <c r="Z177" s="199"/>
      <c r="AA177" s="199"/>
      <c r="AB177" s="199"/>
      <c r="AG177" s="183">
        <v>1017.1</v>
      </c>
      <c r="AH177" s="183">
        <f>1017.1-33</f>
        <v>984.1</v>
      </c>
      <c r="AI177" s="190">
        <f t="shared" ref="AI177:AI179" si="139">100*AJ177/(100+AJ177)</f>
        <v>2.7741620927908501</v>
      </c>
      <c r="AJ177" s="191">
        <f t="shared" ref="AJ177:AJ179" si="140">100*(AG177-AH177)/AH177-0.5</f>
        <v>2.8533177522609501</v>
      </c>
    </row>
    <row r="178" spans="1:36">
      <c r="A178" s="159" t="s">
        <v>134</v>
      </c>
      <c r="B178" s="159" t="s">
        <v>74</v>
      </c>
      <c r="C178" s="157" t="s">
        <v>63</v>
      </c>
      <c r="D178" s="176">
        <v>100</v>
      </c>
      <c r="E178" s="176">
        <v>100</v>
      </c>
      <c r="F178" s="176">
        <v>100</v>
      </c>
      <c r="G178" s="176">
        <v>100</v>
      </c>
      <c r="H178" s="176">
        <v>99.567887241679003</v>
      </c>
      <c r="I178" s="176">
        <v>45.762968265763199</v>
      </c>
      <c r="J178" s="176">
        <v>22.5914918431377</v>
      </c>
      <c r="K178" s="176">
        <v>15.9413189111261</v>
      </c>
      <c r="L178" s="176">
        <v>13.1044505584101</v>
      </c>
      <c r="M178" s="176">
        <v>10.7279515339476</v>
      </c>
      <c r="N178" s="176">
        <v>8.48424570372846</v>
      </c>
      <c r="O178" s="176">
        <v>6.9478375731814204</v>
      </c>
      <c r="P178" s="177">
        <v>2447.6</v>
      </c>
      <c r="Q178" s="177">
        <v>1571.1</v>
      </c>
      <c r="R178" s="177">
        <v>2479.3000000000002</v>
      </c>
      <c r="S178" s="178">
        <f t="shared" si="136"/>
        <v>2.79247005134056</v>
      </c>
      <c r="T178" s="178">
        <f t="shared" si="137"/>
        <v>2.7299053072010602</v>
      </c>
      <c r="U178" s="179">
        <f t="shared" si="138"/>
        <v>2.6950011010790602</v>
      </c>
      <c r="V178" s="198"/>
      <c r="W178" s="198"/>
      <c r="X178" s="198"/>
      <c r="Y178" s="198"/>
      <c r="Z178" s="199"/>
      <c r="AA178" s="199"/>
      <c r="AB178" s="199"/>
      <c r="AG178" s="183">
        <v>1009.1</v>
      </c>
      <c r="AH178" s="183">
        <f>1009.1-37.4</f>
        <v>971.7</v>
      </c>
      <c r="AI178" s="190">
        <f t="shared" si="139"/>
        <v>3.2404058187198999</v>
      </c>
      <c r="AJ178" s="191">
        <f t="shared" si="140"/>
        <v>3.3489245651950199</v>
      </c>
    </row>
    <row r="179" spans="1:36">
      <c r="A179" s="159" t="s">
        <v>134</v>
      </c>
      <c r="B179" s="159" t="s">
        <v>76</v>
      </c>
      <c r="C179" s="134" t="s">
        <v>65</v>
      </c>
      <c r="D179" s="176">
        <v>100</v>
      </c>
      <c r="E179" s="176">
        <v>100</v>
      </c>
      <c r="F179" s="176">
        <v>100</v>
      </c>
      <c r="G179" s="176">
        <v>100</v>
      </c>
      <c r="H179" s="176">
        <v>100</v>
      </c>
      <c r="I179" s="176">
        <v>96.773241575442697</v>
      </c>
      <c r="J179" s="176">
        <v>58.955499795773399</v>
      </c>
      <c r="K179" s="176">
        <v>32.060997642496702</v>
      </c>
      <c r="L179" s="176">
        <v>23.467347478352799</v>
      </c>
      <c r="M179" s="176">
        <v>17.429766402104299</v>
      </c>
      <c r="N179" s="176">
        <v>13.4674110343355</v>
      </c>
      <c r="O179" s="176">
        <v>11.5498931412078</v>
      </c>
      <c r="V179" s="198">
        <v>293.2</v>
      </c>
      <c r="W179" s="198">
        <v>767.9</v>
      </c>
      <c r="X179" s="198">
        <v>953.8</v>
      </c>
      <c r="Y179" s="198">
        <v>300.2</v>
      </c>
      <c r="Z179" s="201">
        <f>V179/(V179+W179-X179)</f>
        <v>2.7325256290773501</v>
      </c>
      <c r="AA179" s="201">
        <f>Y179/(Y179+W179-X179)</f>
        <v>2.62642169728784</v>
      </c>
      <c r="AB179" s="201">
        <f>V179/(Y179+W179-X179)</f>
        <v>2.5651793525809299</v>
      </c>
      <c r="AG179" s="183">
        <v>744.6</v>
      </c>
      <c r="AH179" s="183">
        <f>744.6-42.6</f>
        <v>702</v>
      </c>
      <c r="AI179" s="190">
        <f t="shared" si="139"/>
        <v>5.2746629963971996</v>
      </c>
      <c r="AJ179" s="191">
        <f t="shared" si="140"/>
        <v>5.5683760683760699</v>
      </c>
    </row>
    <row r="180" spans="1:36">
      <c r="A180" s="159" t="s">
        <v>135</v>
      </c>
      <c r="B180" s="159" t="s">
        <v>81</v>
      </c>
      <c r="C180" s="134" t="s">
        <v>87</v>
      </c>
      <c r="D180" s="176">
        <v>100</v>
      </c>
      <c r="E180" s="176">
        <v>100</v>
      </c>
      <c r="F180" s="176">
        <v>94.637850219141797</v>
      </c>
      <c r="G180" s="176">
        <v>76.303749798747404</v>
      </c>
      <c r="H180" s="176">
        <v>6.3420145910626102</v>
      </c>
      <c r="I180" s="176">
        <v>0.146091158623463</v>
      </c>
      <c r="J180" s="176">
        <v>0.146091158623463</v>
      </c>
      <c r="K180" s="176">
        <v>0.14808072927188901</v>
      </c>
      <c r="L180" s="176">
        <v>0.146091158623463</v>
      </c>
      <c r="M180" s="176">
        <v>0.146091158623463</v>
      </c>
      <c r="N180" s="176">
        <v>0.146091158623463</v>
      </c>
      <c r="O180" s="176">
        <v>0.146091158623463</v>
      </c>
      <c r="P180" s="177">
        <v>1503.6</v>
      </c>
      <c r="Q180" s="177">
        <v>966.9</v>
      </c>
      <c r="R180" s="177">
        <v>1511.6</v>
      </c>
      <c r="S180" s="178">
        <f t="shared" ref="S180:S182" si="141">P180/(P180-Q180)</f>
        <v>2.80156512017887</v>
      </c>
      <c r="T180" s="178">
        <f t="shared" ref="T180:T182" si="142">R180/(R180-Q180)</f>
        <v>2.7751055626950598</v>
      </c>
      <c r="U180" s="179">
        <f t="shared" ref="U180:U182" si="143">P180/(R180-Q180)</f>
        <v>2.7604185790343299</v>
      </c>
      <c r="V180" s="198"/>
      <c r="W180" s="198"/>
      <c r="X180" s="198"/>
      <c r="Y180" s="198"/>
      <c r="Z180" s="199"/>
      <c r="AA180" s="199"/>
      <c r="AB180" s="199"/>
      <c r="AI180" s="190"/>
      <c r="AJ180" s="191"/>
    </row>
    <row r="181" spans="1:36">
      <c r="A181" s="159" t="s">
        <v>135</v>
      </c>
      <c r="B181" s="159" t="s">
        <v>81</v>
      </c>
      <c r="C181" s="134" t="s">
        <v>116</v>
      </c>
      <c r="D181" s="176">
        <v>100</v>
      </c>
      <c r="E181" s="176">
        <v>100</v>
      </c>
      <c r="F181" s="176">
        <v>100</v>
      </c>
      <c r="G181" s="176">
        <v>99.755693581780505</v>
      </c>
      <c r="H181" s="176">
        <v>80.299871170192105</v>
      </c>
      <c r="I181" s="176">
        <v>46.065973770081001</v>
      </c>
      <c r="J181" s="176">
        <v>0.23180728788062099</v>
      </c>
      <c r="K181" s="176">
        <v>0.22766890019646999</v>
      </c>
      <c r="L181" s="176">
        <v>0.22766890019646999</v>
      </c>
      <c r="M181" s="176">
        <v>0.22766890019646999</v>
      </c>
      <c r="N181" s="176">
        <v>0.22766890019646999</v>
      </c>
      <c r="O181" s="176">
        <v>0.22766890019646999</v>
      </c>
      <c r="P181" s="177">
        <v>1198.4000000000001</v>
      </c>
      <c r="Q181" s="177">
        <v>764.8</v>
      </c>
      <c r="R181" s="177">
        <v>1207.5</v>
      </c>
      <c r="S181" s="178">
        <f t="shared" si="141"/>
        <v>2.7638376383763799</v>
      </c>
      <c r="T181" s="178">
        <f t="shared" si="142"/>
        <v>2.7275807544612598</v>
      </c>
      <c r="U181" s="179">
        <f t="shared" si="143"/>
        <v>2.70702507341315</v>
      </c>
      <c r="V181" s="198"/>
      <c r="W181" s="198"/>
      <c r="X181" s="198"/>
      <c r="Y181" s="198"/>
      <c r="Z181" s="199"/>
      <c r="AA181" s="199"/>
      <c r="AB181" s="199"/>
      <c r="AI181" s="190"/>
      <c r="AJ181" s="191"/>
    </row>
    <row r="182" spans="1:36">
      <c r="A182" s="159" t="s">
        <v>135</v>
      </c>
      <c r="B182" s="159" t="s">
        <v>81</v>
      </c>
      <c r="C182" s="134" t="s">
        <v>117</v>
      </c>
      <c r="D182" s="176">
        <v>100</v>
      </c>
      <c r="E182" s="176">
        <v>100</v>
      </c>
      <c r="F182" s="176">
        <v>100</v>
      </c>
      <c r="G182" s="176">
        <v>100</v>
      </c>
      <c r="H182" s="176">
        <v>98.083762953604506</v>
      </c>
      <c r="I182" s="176">
        <v>56.827495177978399</v>
      </c>
      <c r="J182" s="176">
        <v>0.55765195882440799</v>
      </c>
      <c r="K182" s="176">
        <v>0.37869315390193498</v>
      </c>
      <c r="L182" s="176">
        <v>0.37869315390193498</v>
      </c>
      <c r="M182" s="176">
        <v>0.37869315390193498</v>
      </c>
      <c r="N182" s="176">
        <v>0.37869315390193498</v>
      </c>
      <c r="O182" s="176">
        <v>0.37869315390193498</v>
      </c>
      <c r="P182" s="177">
        <v>833</v>
      </c>
      <c r="Q182" s="177">
        <v>527.79999999999995</v>
      </c>
      <c r="R182" s="177">
        <v>836.3</v>
      </c>
      <c r="S182" s="178">
        <f t="shared" si="141"/>
        <v>2.72935779816514</v>
      </c>
      <c r="T182" s="178">
        <f t="shared" si="142"/>
        <v>2.7108589951377602</v>
      </c>
      <c r="U182" s="179">
        <f t="shared" si="143"/>
        <v>2.70016207455429</v>
      </c>
      <c r="V182" s="198"/>
      <c r="W182" s="198"/>
      <c r="X182" s="198"/>
      <c r="Y182" s="198"/>
      <c r="Z182" s="199"/>
      <c r="AA182" s="199"/>
      <c r="AB182" s="199"/>
      <c r="AI182" s="190"/>
      <c r="AJ182" s="191"/>
    </row>
    <row r="183" spans="1:36">
      <c r="A183" s="159" t="s">
        <v>135</v>
      </c>
      <c r="B183" s="159" t="s">
        <v>82</v>
      </c>
      <c r="C183" s="134" t="s">
        <v>71</v>
      </c>
      <c r="D183" s="176">
        <v>100</v>
      </c>
      <c r="E183" s="176">
        <v>100</v>
      </c>
      <c r="F183" s="176">
        <v>100</v>
      </c>
      <c r="G183" s="176">
        <v>100</v>
      </c>
      <c r="H183" s="176">
        <v>100</v>
      </c>
      <c r="I183" s="176">
        <v>99.535863080549802</v>
      </c>
      <c r="J183" s="176">
        <v>80.920571600011101</v>
      </c>
      <c r="K183" s="176">
        <v>52.361261114203501</v>
      </c>
      <c r="L183" s="176">
        <v>35.177958105460696</v>
      </c>
      <c r="M183" s="176">
        <v>20.742205209966201</v>
      </c>
      <c r="N183" s="176">
        <v>9.9446623024430405</v>
      </c>
      <c r="O183" s="176">
        <v>6.6012497172878204</v>
      </c>
      <c r="V183" s="198">
        <v>298.39999999999998</v>
      </c>
      <c r="W183" s="198">
        <v>741.1</v>
      </c>
      <c r="X183" s="198">
        <v>930.9</v>
      </c>
      <c r="Y183" s="198">
        <v>300</v>
      </c>
      <c r="Z183" s="201">
        <f>V183/(V183+W183-X183)</f>
        <v>2.74769797421731</v>
      </c>
      <c r="AA183" s="201">
        <f>Y183/(Y183+W183-X183)</f>
        <v>2.7223230490018202</v>
      </c>
      <c r="AB183" s="201">
        <f>V183/(Y183+W183-X183)</f>
        <v>2.70780399274047</v>
      </c>
      <c r="AI183" s="190"/>
      <c r="AJ183" s="191"/>
    </row>
    <row r="184" spans="1:36">
      <c r="A184" s="159" t="s">
        <v>135</v>
      </c>
      <c r="B184" s="159" t="s">
        <v>74</v>
      </c>
      <c r="C184" s="157" t="s">
        <v>136</v>
      </c>
      <c r="D184" s="176">
        <v>100</v>
      </c>
      <c r="E184" s="176">
        <v>100</v>
      </c>
      <c r="F184" s="176">
        <v>100</v>
      </c>
      <c r="G184" s="176">
        <v>100</v>
      </c>
      <c r="H184" s="176">
        <v>95.271971471292403</v>
      </c>
      <c r="I184" s="176">
        <v>47.303558868326498</v>
      </c>
      <c r="J184" s="176">
        <v>26.624307868140701</v>
      </c>
      <c r="K184" s="176">
        <v>18.480404699556999</v>
      </c>
      <c r="L184" s="176">
        <v>15.153501315455401</v>
      </c>
      <c r="M184" s="176">
        <v>11.9140681619254</v>
      </c>
      <c r="N184" s="176">
        <v>9.18411906287532</v>
      </c>
      <c r="O184" s="176">
        <v>7.7645283225088901</v>
      </c>
      <c r="P184" s="177">
        <v>640.70000000000005</v>
      </c>
      <c r="Q184" s="177">
        <v>412.6</v>
      </c>
      <c r="R184" s="177">
        <v>649.1</v>
      </c>
      <c r="S184" s="178">
        <f t="shared" ref="S184" si="144">P184/(P184-Q184)</f>
        <v>2.8088557650153398</v>
      </c>
      <c r="T184" s="178">
        <f t="shared" ref="T184" si="145">R184/(R184-Q184)</f>
        <v>2.7446088794926</v>
      </c>
      <c r="U184" s="179">
        <f t="shared" ref="U184" si="146">P184/(R184-Q184)</f>
        <v>2.7090909090909099</v>
      </c>
      <c r="V184" s="198"/>
      <c r="W184" s="198"/>
      <c r="X184" s="198"/>
      <c r="Y184" s="198"/>
      <c r="Z184" s="199"/>
      <c r="AA184" s="199"/>
      <c r="AB184" s="199"/>
      <c r="AG184" s="183">
        <v>1002.3</v>
      </c>
      <c r="AH184" s="183">
        <f>1002.3-44.3</f>
        <v>958</v>
      </c>
      <c r="AI184" s="190">
        <f t="shared" ref="AI184:AI185" si="147">100*AJ184/(100+AJ184)</f>
        <v>3.9608625477438801</v>
      </c>
      <c r="AJ184" s="191">
        <f t="shared" ref="AJ184:AJ185" si="148">100*(AG184-AH184)/AH184-0.5</f>
        <v>4.12421711899791</v>
      </c>
    </row>
    <row r="185" spans="1:36">
      <c r="A185" s="159" t="s">
        <v>135</v>
      </c>
      <c r="B185" s="159" t="s">
        <v>76</v>
      </c>
      <c r="C185" s="134" t="s">
        <v>65</v>
      </c>
      <c r="D185" s="176">
        <v>100</v>
      </c>
      <c r="E185" s="176">
        <v>100</v>
      </c>
      <c r="F185" s="176">
        <v>100</v>
      </c>
      <c r="G185" s="176">
        <v>100</v>
      </c>
      <c r="H185" s="176">
        <v>100</v>
      </c>
      <c r="I185" s="176">
        <v>99.846564268322695</v>
      </c>
      <c r="J185" s="176">
        <v>93.887234677489801</v>
      </c>
      <c r="K185" s="176">
        <v>68.363897673676107</v>
      </c>
      <c r="L185" s="176">
        <v>50.980040748104798</v>
      </c>
      <c r="M185" s="176">
        <v>33.530336651835</v>
      </c>
      <c r="N185" s="176">
        <v>22.239253603116399</v>
      </c>
      <c r="O185" s="176">
        <v>18.428441763522802</v>
      </c>
      <c r="V185" s="198">
        <v>290.3</v>
      </c>
      <c r="W185" s="198">
        <v>746.5</v>
      </c>
      <c r="X185" s="198">
        <v>927.5</v>
      </c>
      <c r="Y185" s="198">
        <v>300.39999999999998</v>
      </c>
      <c r="Z185" s="201">
        <f>V185/(V185+W185-X185)</f>
        <v>2.6559926806953298</v>
      </c>
      <c r="AA185" s="201">
        <f>Y185/(Y185+W185-X185)</f>
        <v>2.5159128978224401</v>
      </c>
      <c r="AB185" s="201">
        <f>V185/(Y185+W185-X185)</f>
        <v>2.4313232830820799</v>
      </c>
      <c r="AG185" s="183">
        <v>599.5</v>
      </c>
      <c r="AH185" s="183">
        <f>599.5-44.2</f>
        <v>555.29999999999995</v>
      </c>
      <c r="AI185" s="190">
        <f t="shared" si="147"/>
        <v>6.9418248150106496</v>
      </c>
      <c r="AJ185" s="191">
        <f t="shared" si="148"/>
        <v>7.4596614442643698</v>
      </c>
    </row>
    <row r="186" spans="1:36">
      <c r="A186" s="159" t="s">
        <v>137</v>
      </c>
      <c r="B186" s="159" t="s">
        <v>81</v>
      </c>
      <c r="C186" s="168" t="s">
        <v>79</v>
      </c>
      <c r="D186" s="176">
        <v>100</v>
      </c>
      <c r="E186" s="176">
        <v>100</v>
      </c>
      <c r="F186" s="176">
        <v>100</v>
      </c>
      <c r="G186" s="176">
        <v>93.4</v>
      </c>
      <c r="H186" s="176">
        <v>21.7</v>
      </c>
      <c r="I186" s="176">
        <v>0.5</v>
      </c>
      <c r="J186" s="176">
        <v>0.4</v>
      </c>
      <c r="K186" s="176">
        <v>0.4</v>
      </c>
      <c r="L186" s="176">
        <v>0.4</v>
      </c>
      <c r="M186" s="176">
        <v>0.4</v>
      </c>
      <c r="N186" s="176">
        <v>0.4</v>
      </c>
      <c r="O186" s="176">
        <v>0.4</v>
      </c>
      <c r="P186" s="177">
        <v>1983.2</v>
      </c>
      <c r="Q186" s="177">
        <v>1267.4000000000001</v>
      </c>
      <c r="R186" s="177">
        <v>2001.6</v>
      </c>
      <c r="S186" s="178">
        <f t="shared" ref="S186:S187" si="149">P186/(P186-Q186)</f>
        <v>2.77060631461302</v>
      </c>
      <c r="T186" s="178">
        <f t="shared" ref="T186:T187" si="150">R186/(R186-Q186)</f>
        <v>2.7262326341596301</v>
      </c>
      <c r="U186" s="179">
        <f t="shared" ref="U186:U187" si="151">P186/(R186-Q186)</f>
        <v>2.70117134295832</v>
      </c>
      <c r="V186" s="198"/>
      <c r="W186" s="198"/>
      <c r="X186" s="198"/>
      <c r="Y186" s="198"/>
      <c r="Z186" s="199"/>
      <c r="AA186" s="199"/>
      <c r="AB186" s="199"/>
      <c r="AI186" s="190"/>
      <c r="AJ186" s="191"/>
    </row>
    <row r="187" spans="1:36">
      <c r="A187" s="159" t="s">
        <v>137</v>
      </c>
      <c r="B187" s="159" t="s">
        <v>81</v>
      </c>
      <c r="C187" s="168" t="s">
        <v>63</v>
      </c>
      <c r="D187" s="176">
        <v>100</v>
      </c>
      <c r="E187" s="176">
        <v>100</v>
      </c>
      <c r="F187" s="176">
        <v>100</v>
      </c>
      <c r="G187" s="176">
        <v>100</v>
      </c>
      <c r="H187" s="176">
        <v>94.446666666666701</v>
      </c>
      <c r="I187" s="176">
        <v>5.9733333333333301</v>
      </c>
      <c r="J187" s="176">
        <v>0.35999999999999899</v>
      </c>
      <c r="K187" s="176">
        <v>0.35999999999999899</v>
      </c>
      <c r="L187" s="176">
        <v>0.35999999999999899</v>
      </c>
      <c r="M187" s="176">
        <v>0.35999999999999899</v>
      </c>
      <c r="N187" s="176">
        <v>0.35999999999999899</v>
      </c>
      <c r="O187" s="176">
        <v>0.35999999999999899</v>
      </c>
      <c r="P187" s="177">
        <v>1464.6</v>
      </c>
      <c r="Q187" s="177">
        <v>932.5</v>
      </c>
      <c r="R187" s="177">
        <v>1478.5</v>
      </c>
      <c r="S187" s="178">
        <f t="shared" si="149"/>
        <v>2.7524901334335699</v>
      </c>
      <c r="T187" s="178">
        <f t="shared" si="150"/>
        <v>2.7078754578754598</v>
      </c>
      <c r="U187" s="179">
        <f t="shared" si="151"/>
        <v>2.68241758241758</v>
      </c>
      <c r="V187" s="198"/>
      <c r="W187" s="198"/>
      <c r="X187" s="198"/>
      <c r="Y187" s="198"/>
      <c r="Z187" s="199"/>
      <c r="AA187" s="199"/>
      <c r="AB187" s="199"/>
      <c r="AI187" s="190"/>
      <c r="AJ187" s="191"/>
    </row>
    <row r="188" spans="1:36">
      <c r="A188" s="159" t="s">
        <v>137</v>
      </c>
      <c r="B188" s="159" t="s">
        <v>82</v>
      </c>
      <c r="C188" s="168" t="s">
        <v>65</v>
      </c>
      <c r="D188" s="176">
        <v>100</v>
      </c>
      <c r="E188" s="176">
        <v>100</v>
      </c>
      <c r="F188" s="176">
        <v>100</v>
      </c>
      <c r="G188" s="176">
        <v>100</v>
      </c>
      <c r="H188" s="176">
        <v>100</v>
      </c>
      <c r="I188" s="176">
        <v>98.066666666666706</v>
      </c>
      <c r="J188" s="176">
        <v>62.4</v>
      </c>
      <c r="K188" s="176">
        <v>37.266666666666701</v>
      </c>
      <c r="L188" s="176">
        <v>26.441666666666698</v>
      </c>
      <c r="M188" s="176">
        <v>16.7083333333333</v>
      </c>
      <c r="N188" s="176">
        <v>11.675000000000001</v>
      </c>
      <c r="O188" s="176">
        <v>8.4500000000000206</v>
      </c>
      <c r="V188" s="198">
        <v>296.10000000000002</v>
      </c>
      <c r="W188" s="198">
        <v>641.5</v>
      </c>
      <c r="X188" s="198">
        <v>829</v>
      </c>
      <c r="Y188" s="198">
        <v>300</v>
      </c>
      <c r="Z188" s="201">
        <f>V188/(V188+W188-X188)</f>
        <v>2.7265193370165699</v>
      </c>
      <c r="AA188" s="201">
        <f>Y188/(Y188+W188-X188)</f>
        <v>2.6666666666666701</v>
      </c>
      <c r="AB188" s="201">
        <f>V188/(Y188+W188-X188)</f>
        <v>2.6320000000000001</v>
      </c>
      <c r="AI188" s="190"/>
      <c r="AJ188" s="191"/>
    </row>
    <row r="189" spans="1:36">
      <c r="A189" s="159" t="s">
        <v>137</v>
      </c>
      <c r="B189" s="159" t="s">
        <v>99</v>
      </c>
      <c r="C189" s="168" t="s">
        <v>91</v>
      </c>
      <c r="D189" s="176">
        <v>100</v>
      </c>
      <c r="E189" s="176">
        <v>100</v>
      </c>
      <c r="F189" s="176">
        <v>100</v>
      </c>
      <c r="G189" s="176">
        <v>100</v>
      </c>
      <c r="H189" s="176">
        <v>100</v>
      </c>
      <c r="I189" s="176">
        <v>100</v>
      </c>
      <c r="J189" s="176">
        <v>100</v>
      </c>
      <c r="K189" s="176">
        <v>100</v>
      </c>
      <c r="L189" s="176">
        <v>100</v>
      </c>
      <c r="M189" s="176">
        <v>97.4</v>
      </c>
      <c r="N189" s="176">
        <v>90.2</v>
      </c>
      <c r="O189" s="176">
        <v>78.2</v>
      </c>
      <c r="V189" s="198"/>
      <c r="W189" s="198"/>
      <c r="X189" s="198"/>
      <c r="Y189" s="198"/>
      <c r="Z189" s="199"/>
      <c r="AA189" s="199"/>
      <c r="AB189" s="199"/>
      <c r="AI189" s="190"/>
      <c r="AJ189" s="191"/>
    </row>
    <row r="190" spans="1:36">
      <c r="A190" s="159" t="s">
        <v>137</v>
      </c>
      <c r="B190" s="159" t="s">
        <v>74</v>
      </c>
      <c r="C190" s="168" t="s">
        <v>111</v>
      </c>
      <c r="D190" s="176">
        <v>100</v>
      </c>
      <c r="E190" s="176">
        <v>100</v>
      </c>
      <c r="F190" s="176">
        <v>100</v>
      </c>
      <c r="G190" s="176">
        <v>100</v>
      </c>
      <c r="H190" s="176">
        <v>94.631534306349806</v>
      </c>
      <c r="I190" s="176">
        <v>71.414194868457699</v>
      </c>
      <c r="J190" s="176">
        <v>53.083236941136803</v>
      </c>
      <c r="K190" s="176">
        <v>32.815684342438601</v>
      </c>
      <c r="L190" s="176">
        <v>23.463768303381499</v>
      </c>
      <c r="M190" s="176">
        <v>18.126532623805701</v>
      </c>
      <c r="N190" s="176">
        <v>14.568378258203699</v>
      </c>
      <c r="O190" s="176">
        <v>12.9414871477451</v>
      </c>
      <c r="P190" s="177">
        <v>2364.9</v>
      </c>
      <c r="Q190" s="177">
        <v>1511.4</v>
      </c>
      <c r="R190" s="177">
        <v>2375.4</v>
      </c>
      <c r="S190" s="178">
        <f t="shared" ref="S190:S191" si="152">P190/(P190-Q190)</f>
        <v>2.7708260105448201</v>
      </c>
      <c r="T190" s="178">
        <f t="shared" ref="T190:T191" si="153">R190/(R190-Q190)</f>
        <v>2.7493055555555599</v>
      </c>
      <c r="U190" s="179">
        <f t="shared" ref="U190:U191" si="154">P190/(R190-Q190)</f>
        <v>2.73715277777778</v>
      </c>
      <c r="V190" s="198"/>
      <c r="W190" s="198"/>
      <c r="X190" s="198"/>
      <c r="Y190" s="198"/>
      <c r="Z190" s="199"/>
      <c r="AA190" s="199"/>
      <c r="AB190" s="199"/>
      <c r="AG190" s="183">
        <v>1000.9</v>
      </c>
      <c r="AH190" s="183">
        <f>1000.9-48.3</f>
        <v>952.6</v>
      </c>
      <c r="AI190" s="190">
        <f t="shared" ref="AI190" si="155">100*AJ190/(100+AJ190)</f>
        <v>4.3705835643089204</v>
      </c>
      <c r="AJ190" s="191">
        <f>100*(AG190-AH190)/AH190-0.5</f>
        <v>4.5703338232206496</v>
      </c>
    </row>
    <row r="191" spans="1:36" ht="14.4">
      <c r="A191" s="159" t="s">
        <v>138</v>
      </c>
      <c r="B191" s="159" t="s">
        <v>61</v>
      </c>
      <c r="C191" s="157" t="s">
        <v>63</v>
      </c>
      <c r="D191" s="176">
        <v>100</v>
      </c>
      <c r="E191" s="176">
        <v>100</v>
      </c>
      <c r="F191" s="176">
        <v>100</v>
      </c>
      <c r="G191" s="176">
        <v>100</v>
      </c>
      <c r="H191" s="176">
        <v>96.042728012680499</v>
      </c>
      <c r="I191" s="176">
        <v>27.549548044381599</v>
      </c>
      <c r="J191" s="176">
        <v>4.8975667223578903</v>
      </c>
      <c r="K191" s="176">
        <v>2.4941481386282902</v>
      </c>
      <c r="L191" s="176">
        <v>1.45217409930173</v>
      </c>
      <c r="M191" s="176">
        <v>0.98345970954891004</v>
      </c>
      <c r="N191" s="176">
        <v>0.81166516728784199</v>
      </c>
      <c r="O191" s="176">
        <v>0.77201302317611498</v>
      </c>
      <c r="P191" s="177">
        <v>1290.0999999999999</v>
      </c>
      <c r="Q191" s="177">
        <v>815.6</v>
      </c>
      <c r="R191" s="177">
        <v>1295.7</v>
      </c>
      <c r="S191" s="178">
        <f t="shared" si="152"/>
        <v>2.7188619599578501</v>
      </c>
      <c r="T191" s="178">
        <f t="shared" si="153"/>
        <v>2.6988127473443</v>
      </c>
      <c r="U191" s="179">
        <f t="shared" si="154"/>
        <v>2.6871485107269302</v>
      </c>
      <c r="V191" s="198"/>
      <c r="W191" s="198"/>
      <c r="X191" s="198"/>
      <c r="Y191" s="198"/>
      <c r="Z191" s="199"/>
      <c r="AA191" s="199"/>
      <c r="AB191" s="199"/>
      <c r="AI191" s="190"/>
      <c r="AJ191" s="191"/>
    </row>
    <row r="192" spans="1:36" ht="14.4">
      <c r="A192" s="159" t="s">
        <v>138</v>
      </c>
      <c r="B192" s="159" t="s">
        <v>61</v>
      </c>
      <c r="C192" s="157" t="s">
        <v>65</v>
      </c>
      <c r="D192" s="176">
        <v>100</v>
      </c>
      <c r="E192" s="176">
        <v>100</v>
      </c>
      <c r="F192" s="176">
        <v>100</v>
      </c>
      <c r="G192" s="176">
        <v>100</v>
      </c>
      <c r="H192" s="176">
        <v>99.236611901192305</v>
      </c>
      <c r="I192" s="176">
        <v>86.826955227471302</v>
      </c>
      <c r="J192" s="176">
        <v>71.086515167718204</v>
      </c>
      <c r="K192" s="176">
        <v>45.040300052994397</v>
      </c>
      <c r="L192" s="176">
        <v>21.575020368028198</v>
      </c>
      <c r="M192" s="176">
        <v>4.9984219960763498</v>
      </c>
      <c r="N192" s="176">
        <v>3.2489656252831902</v>
      </c>
      <c r="O192" s="176">
        <v>3.1262759441073702</v>
      </c>
      <c r="V192" s="198">
        <v>296.7</v>
      </c>
      <c r="W192" s="198">
        <v>767.6</v>
      </c>
      <c r="X192" s="198">
        <v>956.5</v>
      </c>
      <c r="Y192" s="198">
        <v>300.7</v>
      </c>
      <c r="Z192" s="201">
        <f t="shared" ref="Z192:Z193" si="156">V192/(V192+W192-X192)</f>
        <v>2.7523191094619701</v>
      </c>
      <c r="AA192" s="201">
        <f t="shared" ref="AA192:AA193" si="157">Y192/(Y192+W192-X192)</f>
        <v>2.6896243291592099</v>
      </c>
      <c r="AB192" s="201">
        <f t="shared" ref="AB192:AB193" si="158">V192/(Y192+W192-X192)</f>
        <v>2.6538461538461502</v>
      </c>
      <c r="AI192" s="190"/>
      <c r="AJ192" s="191"/>
    </row>
    <row r="193" spans="1:36" ht="13.8" customHeight="1">
      <c r="A193" s="159" t="s">
        <v>138</v>
      </c>
      <c r="B193" s="159" t="s">
        <v>74</v>
      </c>
      <c r="C193" s="157" t="s">
        <v>68</v>
      </c>
      <c r="D193" s="176">
        <v>100</v>
      </c>
      <c r="E193" s="176">
        <v>100</v>
      </c>
      <c r="F193" s="176">
        <v>100</v>
      </c>
      <c r="G193" s="176">
        <v>100</v>
      </c>
      <c r="H193" s="176">
        <v>98.177912288745205</v>
      </c>
      <c r="I193" s="176">
        <v>73.821693572194803</v>
      </c>
      <c r="J193" s="176">
        <v>47.239610365571799</v>
      </c>
      <c r="K193" s="176">
        <v>31.981399802975901</v>
      </c>
      <c r="L193" s="176">
        <v>25.115732115088498</v>
      </c>
      <c r="M193" s="176">
        <v>19.8664693332525</v>
      </c>
      <c r="N193" s="176">
        <v>15.319459798481001</v>
      </c>
      <c r="O193" s="176">
        <v>13.447492309697401</v>
      </c>
      <c r="V193" s="198">
        <v>295.5</v>
      </c>
      <c r="W193" s="198">
        <v>759.3</v>
      </c>
      <c r="X193" s="198">
        <v>946.2</v>
      </c>
      <c r="Y193" s="198">
        <v>300.7</v>
      </c>
      <c r="Z193" s="201">
        <f t="shared" si="156"/>
        <v>2.7209944751381201</v>
      </c>
      <c r="AA193" s="201">
        <f t="shared" si="157"/>
        <v>2.6423550087873502</v>
      </c>
      <c r="AB193" s="201">
        <f t="shared" si="158"/>
        <v>2.5966608084358498</v>
      </c>
      <c r="AG193" s="183">
        <v>800.3</v>
      </c>
      <c r="AH193" s="183">
        <f>800-36.9</f>
        <v>763.1</v>
      </c>
      <c r="AI193" s="190">
        <f t="shared" ref="AI193" si="159">100*AJ193/(100+AJ193)</f>
        <v>4.1914814412584196</v>
      </c>
      <c r="AJ193" s="191">
        <f>100*(AG193-AH193)/AH193-0.5</f>
        <v>4.3748525750229197</v>
      </c>
    </row>
    <row r="194" spans="1:36" ht="14.4">
      <c r="A194" s="159" t="s">
        <v>139</v>
      </c>
      <c r="B194" s="159" t="s">
        <v>61</v>
      </c>
      <c r="C194" s="157" t="s">
        <v>79</v>
      </c>
      <c r="D194" s="176">
        <v>100</v>
      </c>
      <c r="E194" s="176">
        <v>100</v>
      </c>
      <c r="F194" s="176">
        <v>99.815487173382493</v>
      </c>
      <c r="G194" s="176">
        <v>71.804270529175099</v>
      </c>
      <c r="H194" s="176">
        <v>2.05813713412343</v>
      </c>
      <c r="I194" s="176">
        <v>0.36445529606907501</v>
      </c>
      <c r="J194" s="176">
        <v>0.20873111641036199</v>
      </c>
      <c r="K194" s="176">
        <v>0.181860642073808</v>
      </c>
      <c r="L194" s="176">
        <v>0.181860642073808</v>
      </c>
      <c r="M194" s="176">
        <v>0.181860642073808</v>
      </c>
      <c r="N194" s="176">
        <v>0.181860642073808</v>
      </c>
      <c r="O194" s="176">
        <v>0.181860642073808</v>
      </c>
      <c r="P194" s="177">
        <v>1673.9</v>
      </c>
      <c r="Q194" s="177">
        <v>1074</v>
      </c>
      <c r="R194" s="177">
        <v>1681.2</v>
      </c>
      <c r="S194" s="178">
        <f t="shared" ref="S194:S196" si="160">P194/(P194-Q194)</f>
        <v>2.7902983830638401</v>
      </c>
      <c r="T194" s="178">
        <f t="shared" ref="T194:T196" si="161">R194/(R194-Q194)</f>
        <v>2.7687747035573098</v>
      </c>
      <c r="U194" s="179">
        <f t="shared" ref="U194:U196" si="162">P194/(R194-Q194)</f>
        <v>2.75675230566535</v>
      </c>
      <c r="V194" s="198"/>
      <c r="W194" s="198"/>
      <c r="X194" s="198"/>
      <c r="Y194" s="198"/>
      <c r="Z194" s="199"/>
      <c r="AA194" s="199"/>
      <c r="AB194" s="199"/>
      <c r="AI194" s="190"/>
      <c r="AJ194" s="191"/>
    </row>
    <row r="195" spans="1:36" ht="14.4">
      <c r="A195" s="159" t="s">
        <v>139</v>
      </c>
      <c r="B195" s="159" t="s">
        <v>61</v>
      </c>
      <c r="C195" s="157" t="s">
        <v>63</v>
      </c>
      <c r="D195" s="176">
        <v>100</v>
      </c>
      <c r="E195" s="176">
        <v>100</v>
      </c>
      <c r="F195" s="176">
        <v>100</v>
      </c>
      <c r="G195" s="176">
        <v>100</v>
      </c>
      <c r="H195" s="176">
        <v>81.668649106546198</v>
      </c>
      <c r="I195" s="176">
        <v>1.81686729782663</v>
      </c>
      <c r="J195" s="176">
        <v>0.29438793944159902</v>
      </c>
      <c r="K195" s="176">
        <v>0.22131603568859501</v>
      </c>
      <c r="L195" s="176">
        <v>0.22131603568859501</v>
      </c>
      <c r="M195" s="176">
        <v>0.22131603568859501</v>
      </c>
      <c r="N195" s="176">
        <v>0.22131603568859501</v>
      </c>
      <c r="O195" s="176">
        <v>0.22131603568859501</v>
      </c>
      <c r="P195" s="177">
        <v>1539.9</v>
      </c>
      <c r="Q195" s="177">
        <v>988.5</v>
      </c>
      <c r="R195" s="177">
        <v>1548.6</v>
      </c>
      <c r="S195" s="178">
        <f t="shared" si="160"/>
        <v>2.79270946681175</v>
      </c>
      <c r="T195" s="178">
        <f t="shared" si="161"/>
        <v>2.7648634172469202</v>
      </c>
      <c r="U195" s="179">
        <f t="shared" si="162"/>
        <v>2.7493304767005902</v>
      </c>
      <c r="V195" s="198"/>
      <c r="W195" s="198"/>
      <c r="X195" s="198"/>
      <c r="Y195" s="198"/>
      <c r="Z195" s="199"/>
      <c r="AA195" s="199"/>
      <c r="AB195" s="199"/>
      <c r="AI195" s="190"/>
      <c r="AJ195" s="191"/>
    </row>
    <row r="196" spans="1:36">
      <c r="A196" s="159" t="s">
        <v>139</v>
      </c>
      <c r="B196" s="159" t="s">
        <v>82</v>
      </c>
      <c r="C196" s="157" t="s">
        <v>70</v>
      </c>
      <c r="D196" s="176">
        <v>100</v>
      </c>
      <c r="E196" s="176">
        <v>100</v>
      </c>
      <c r="F196" s="176">
        <v>100</v>
      </c>
      <c r="G196" s="176">
        <v>100</v>
      </c>
      <c r="H196" s="176">
        <v>95.036330210977894</v>
      </c>
      <c r="I196" s="176">
        <v>46.4282003930415</v>
      </c>
      <c r="J196" s="176">
        <v>1.1347013717423999</v>
      </c>
      <c r="K196" s="176">
        <v>0.44895733280608102</v>
      </c>
      <c r="L196" s="176">
        <v>0.42155006074322898</v>
      </c>
      <c r="M196" s="176">
        <v>0.42155006074322898</v>
      </c>
      <c r="N196" s="176">
        <v>0.42155006074322898</v>
      </c>
      <c r="O196" s="176">
        <v>0.42155006074322898</v>
      </c>
      <c r="P196" s="177">
        <v>360.3</v>
      </c>
      <c r="Q196" s="177">
        <v>231</v>
      </c>
      <c r="R196" s="177">
        <v>363</v>
      </c>
      <c r="S196" s="178">
        <f t="shared" si="160"/>
        <v>2.7865429234338701</v>
      </c>
      <c r="T196" s="178">
        <f t="shared" si="161"/>
        <v>2.75</v>
      </c>
      <c r="U196" s="179">
        <f t="shared" si="162"/>
        <v>2.7295454545454501</v>
      </c>
      <c r="V196" s="198"/>
      <c r="W196" s="198"/>
      <c r="X196" s="198"/>
      <c r="Y196" s="198"/>
      <c r="Z196" s="199"/>
      <c r="AA196" s="199"/>
      <c r="AB196" s="199"/>
      <c r="AI196" s="190"/>
      <c r="AJ196" s="191"/>
    </row>
    <row r="197" spans="1:36">
      <c r="A197" s="159" t="s">
        <v>139</v>
      </c>
      <c r="B197" s="159" t="s">
        <v>82</v>
      </c>
      <c r="C197" s="134" t="s">
        <v>71</v>
      </c>
      <c r="D197" s="176">
        <v>100</v>
      </c>
      <c r="E197" s="176">
        <v>100</v>
      </c>
      <c r="F197" s="176">
        <v>100</v>
      </c>
      <c r="G197" s="176">
        <v>100</v>
      </c>
      <c r="H197" s="176">
        <v>100</v>
      </c>
      <c r="I197" s="176">
        <v>99.532533164876796</v>
      </c>
      <c r="J197" s="176">
        <v>80.821225521162305</v>
      </c>
      <c r="K197" s="176">
        <v>44.763108022741598</v>
      </c>
      <c r="L197" s="176">
        <v>28.553379658875599</v>
      </c>
      <c r="M197" s="176">
        <v>14.971572962729001</v>
      </c>
      <c r="N197" s="176">
        <v>6.9993682880606496</v>
      </c>
      <c r="O197" s="176">
        <v>4.7252053063802899</v>
      </c>
      <c r="V197" s="198">
        <v>295.7</v>
      </c>
      <c r="W197" s="198">
        <v>745.7</v>
      </c>
      <c r="X197" s="198">
        <v>935.6</v>
      </c>
      <c r="Y197" s="198">
        <v>300.10000000000002</v>
      </c>
      <c r="Z197" s="201">
        <f>V197/(V197+W197-X197)</f>
        <v>2.7948960302457402</v>
      </c>
      <c r="AA197" s="201">
        <f>Y197/(Y197+W197-X197)</f>
        <v>2.7232304900181501</v>
      </c>
      <c r="AB197" s="201">
        <f>V197/(Y197+W197-X197)</f>
        <v>2.6833030852994502</v>
      </c>
      <c r="AI197" s="190"/>
      <c r="AJ197" s="191"/>
    </row>
    <row r="198" spans="1:36">
      <c r="A198" s="159" t="s">
        <v>139</v>
      </c>
      <c r="B198" s="159" t="s">
        <v>74</v>
      </c>
      <c r="C198" s="157" t="s">
        <v>79</v>
      </c>
      <c r="D198" s="176">
        <v>100</v>
      </c>
      <c r="E198" s="176">
        <v>100</v>
      </c>
      <c r="F198" s="176">
        <v>100</v>
      </c>
      <c r="G198" s="176">
        <v>91.013576504729301</v>
      </c>
      <c r="H198" s="176">
        <v>35.114676769530597</v>
      </c>
      <c r="I198" s="176">
        <v>14.138474366119601</v>
      </c>
      <c r="J198" s="176">
        <v>12.017557231641501</v>
      </c>
      <c r="K198" s="176">
        <v>9.5475946629640909</v>
      </c>
      <c r="L198" s="176">
        <v>8.0902106454630793</v>
      </c>
      <c r="M198" s="176">
        <v>6.4950104302226599</v>
      </c>
      <c r="N198" s="176">
        <v>4.9259508419456699</v>
      </c>
      <c r="O198" s="176">
        <v>3.9324442812726899</v>
      </c>
      <c r="P198" s="177">
        <v>2467.8000000000002</v>
      </c>
      <c r="Q198" s="177">
        <v>1581</v>
      </c>
      <c r="R198" s="177">
        <v>2491</v>
      </c>
      <c r="S198" s="178">
        <f t="shared" ref="S198" si="163">P198/(P198-Q198)</f>
        <v>2.7828146143437098</v>
      </c>
      <c r="T198" s="178">
        <f t="shared" ref="T198" si="164">R198/(R198-Q198)</f>
        <v>2.7373626373626401</v>
      </c>
      <c r="U198" s="179">
        <f t="shared" ref="U198" si="165">P198/(R198-Q198)</f>
        <v>2.7118681318681301</v>
      </c>
      <c r="V198" s="198"/>
      <c r="W198" s="198"/>
      <c r="X198" s="198"/>
      <c r="Y198" s="198"/>
      <c r="Z198" s="199"/>
      <c r="AA198" s="199"/>
      <c r="AB198" s="199"/>
      <c r="AG198" s="183">
        <v>1456.2</v>
      </c>
      <c r="AH198" s="183">
        <f>1456.2-41.5</f>
        <v>1414.7</v>
      </c>
      <c r="AI198" s="190">
        <f t="shared" ref="AI198:AI199" si="166">100*AJ198/(100+AJ198)</f>
        <v>2.3756725172026001</v>
      </c>
      <c r="AJ198" s="191">
        <f>100*(AG198-AH198)/AH198-0.5</f>
        <v>2.4334841309111499</v>
      </c>
    </row>
    <row r="199" spans="1:36">
      <c r="A199" s="159" t="s">
        <v>139</v>
      </c>
      <c r="B199" s="159" t="s">
        <v>76</v>
      </c>
      <c r="C199" s="134" t="s">
        <v>68</v>
      </c>
      <c r="D199" s="176">
        <v>100</v>
      </c>
      <c r="E199" s="176">
        <v>100</v>
      </c>
      <c r="F199" s="176">
        <v>100</v>
      </c>
      <c r="G199" s="176">
        <v>100</v>
      </c>
      <c r="H199" s="176">
        <v>100</v>
      </c>
      <c r="I199" s="176">
        <v>75.325455099566</v>
      </c>
      <c r="J199" s="176">
        <v>55.826170615454799</v>
      </c>
      <c r="K199" s="176">
        <v>38.336554587692198</v>
      </c>
      <c r="L199" s="176">
        <v>30.279386471354599</v>
      </c>
      <c r="M199" s="176">
        <v>23.056654870431</v>
      </c>
      <c r="N199" s="176">
        <v>17.608254986307401</v>
      </c>
      <c r="O199" s="176">
        <v>15.252162407194501</v>
      </c>
      <c r="V199" s="198">
        <v>290</v>
      </c>
      <c r="W199" s="198">
        <v>745.9</v>
      </c>
      <c r="X199" s="198">
        <v>932.5</v>
      </c>
      <c r="Y199" s="198">
        <v>300.39999999999998</v>
      </c>
      <c r="Z199" s="201">
        <f>V199/(V199+W199-X199)</f>
        <v>2.8046421663442902</v>
      </c>
      <c r="AA199" s="201">
        <f>Y199/(Y199+W199-X199)</f>
        <v>2.6397188049209102</v>
      </c>
      <c r="AB199" s="201">
        <f>V199/(Y199+W199-X199)</f>
        <v>2.5483304042179298</v>
      </c>
      <c r="AG199" s="183">
        <v>1295.9000000000001</v>
      </c>
      <c r="AH199" s="183">
        <f>1295.9-77.5</f>
        <v>1218.4000000000001</v>
      </c>
      <c r="AI199" s="190">
        <f t="shared" si="166"/>
        <v>5.5363278875615602</v>
      </c>
      <c r="AJ199" s="191">
        <f>100*(AG199-AH199)/AH199-0.5</f>
        <v>5.8608010505581101</v>
      </c>
    </row>
    <row r="200" spans="1:36" ht="14.4">
      <c r="A200" s="159" t="s">
        <v>140</v>
      </c>
      <c r="B200" s="159" t="s">
        <v>61</v>
      </c>
      <c r="C200" s="157" t="s">
        <v>79</v>
      </c>
      <c r="D200" s="176">
        <v>100</v>
      </c>
      <c r="E200" s="176">
        <v>100</v>
      </c>
      <c r="F200" s="176">
        <v>100</v>
      </c>
      <c r="G200" s="176">
        <v>63.6</v>
      </c>
      <c r="H200" s="176">
        <v>8.8000000000000007</v>
      </c>
      <c r="I200" s="176">
        <v>0.5</v>
      </c>
      <c r="J200" s="176">
        <v>0.4</v>
      </c>
      <c r="K200" s="176">
        <v>0.4</v>
      </c>
      <c r="L200" s="176">
        <v>0.4</v>
      </c>
      <c r="M200" s="176">
        <v>0.4</v>
      </c>
      <c r="N200" s="176">
        <v>0.4</v>
      </c>
      <c r="O200" s="176">
        <v>0.4</v>
      </c>
      <c r="P200" s="177">
        <v>1983.2</v>
      </c>
      <c r="Q200" s="177">
        <v>1267.4000000000001</v>
      </c>
      <c r="R200" s="177">
        <v>2001.6</v>
      </c>
      <c r="S200" s="178">
        <f t="shared" ref="S200:S201" si="167">P200/(P200-Q200)</f>
        <v>2.77060631461302</v>
      </c>
      <c r="T200" s="178">
        <f t="shared" ref="T200:T201" si="168">R200/(R200-Q200)</f>
        <v>2.7262326341596301</v>
      </c>
      <c r="U200" s="179">
        <f t="shared" ref="U200:U201" si="169">P200/(R200-Q200)</f>
        <v>2.70117134295832</v>
      </c>
      <c r="V200" s="198"/>
      <c r="W200" s="198"/>
      <c r="X200" s="198"/>
      <c r="Y200" s="198"/>
      <c r="Z200" s="199"/>
      <c r="AA200" s="199"/>
      <c r="AB200" s="199"/>
      <c r="AI200" s="190"/>
      <c r="AJ200" s="191"/>
    </row>
    <row r="201" spans="1:36" ht="14.4">
      <c r="A201" s="159" t="s">
        <v>140</v>
      </c>
      <c r="B201" s="159" t="s">
        <v>61</v>
      </c>
      <c r="C201" s="157" t="s">
        <v>63</v>
      </c>
      <c r="D201" s="176">
        <v>100</v>
      </c>
      <c r="E201" s="176">
        <v>100</v>
      </c>
      <c r="F201" s="176">
        <v>100</v>
      </c>
      <c r="G201" s="176">
        <v>100</v>
      </c>
      <c r="H201" s="176">
        <v>93.5</v>
      </c>
      <c r="I201" s="176">
        <v>7.4</v>
      </c>
      <c r="J201" s="176">
        <v>0.35999999999999899</v>
      </c>
      <c r="K201" s="176">
        <v>0.35999999999999899</v>
      </c>
      <c r="L201" s="176">
        <v>0.35999999999999899</v>
      </c>
      <c r="M201" s="176">
        <v>0.35999999999999899</v>
      </c>
      <c r="N201" s="176">
        <v>0.35999999999999899</v>
      </c>
      <c r="O201" s="176">
        <v>0.35999999999999899</v>
      </c>
      <c r="P201" s="177">
        <v>1464.6</v>
      </c>
      <c r="Q201" s="177">
        <v>932.5</v>
      </c>
      <c r="R201" s="177">
        <v>1478.5</v>
      </c>
      <c r="S201" s="178">
        <f t="shared" si="167"/>
        <v>2.7524901334335699</v>
      </c>
      <c r="T201" s="178">
        <f t="shared" si="168"/>
        <v>2.7078754578754598</v>
      </c>
      <c r="U201" s="179">
        <f t="shared" si="169"/>
        <v>2.68241758241758</v>
      </c>
      <c r="V201" s="198"/>
      <c r="W201" s="198"/>
      <c r="X201" s="198"/>
      <c r="Y201" s="198"/>
      <c r="Z201" s="199"/>
      <c r="AA201" s="199"/>
      <c r="AB201" s="199"/>
      <c r="AI201" s="190"/>
      <c r="AJ201" s="191"/>
    </row>
    <row r="202" spans="1:36">
      <c r="A202" s="159" t="s">
        <v>140</v>
      </c>
      <c r="B202" s="159" t="s">
        <v>82</v>
      </c>
      <c r="C202" s="157" t="s">
        <v>70</v>
      </c>
      <c r="D202" s="176">
        <v>100</v>
      </c>
      <c r="E202" s="176">
        <v>100</v>
      </c>
      <c r="F202" s="176">
        <v>100</v>
      </c>
      <c r="G202" s="176">
        <v>100</v>
      </c>
      <c r="H202" s="176">
        <v>100</v>
      </c>
      <c r="I202" s="176">
        <v>99.9</v>
      </c>
      <c r="J202" s="176">
        <v>83.5</v>
      </c>
      <c r="K202" s="176">
        <v>56.8</v>
      </c>
      <c r="L202" s="176">
        <v>39.9</v>
      </c>
      <c r="M202" s="176">
        <v>20.6</v>
      </c>
      <c r="N202" s="176">
        <v>10.9</v>
      </c>
      <c r="O202" s="176">
        <v>8.1</v>
      </c>
      <c r="V202" s="198">
        <v>296.10000000000002</v>
      </c>
      <c r="W202" s="198">
        <v>641.5</v>
      </c>
      <c r="X202" s="198">
        <v>829</v>
      </c>
      <c r="Y202" s="198">
        <v>300</v>
      </c>
      <c r="Z202" s="201">
        <f>V202/(V202+W202-X202)</f>
        <v>2.7265193370165699</v>
      </c>
      <c r="AA202" s="201">
        <f>Y202/(Y202+W202-X202)</f>
        <v>2.6666666666666701</v>
      </c>
      <c r="AB202" s="201">
        <f>V202/(Y202+W202-X202)</f>
        <v>2.6320000000000001</v>
      </c>
      <c r="AI202" s="190"/>
      <c r="AJ202" s="191"/>
    </row>
    <row r="203" spans="1:36">
      <c r="A203" s="159" t="s">
        <v>140</v>
      </c>
      <c r="B203" s="159" t="s">
        <v>74</v>
      </c>
      <c r="C203" s="157" t="s">
        <v>79</v>
      </c>
      <c r="D203" s="176">
        <v>100</v>
      </c>
      <c r="E203" s="176">
        <v>100</v>
      </c>
      <c r="F203" s="176">
        <v>99.061349142189897</v>
      </c>
      <c r="G203" s="176">
        <v>93.522061341639997</v>
      </c>
      <c r="H203" s="176">
        <v>70.466137268272206</v>
      </c>
      <c r="I203" s="176">
        <v>24.944912416444801</v>
      </c>
      <c r="J203" s="176">
        <v>16.7509758878846</v>
      </c>
      <c r="K203" s="176">
        <v>13.6415206737985</v>
      </c>
      <c r="L203" s="176">
        <v>12.135196512757</v>
      </c>
      <c r="M203" s="176">
        <v>10.9083350720075</v>
      </c>
      <c r="N203" s="176">
        <v>9.7272316820288296</v>
      </c>
      <c r="O203" s="176">
        <v>8.7535209418483895</v>
      </c>
      <c r="P203" s="177">
        <v>1694.2</v>
      </c>
      <c r="Q203" s="177">
        <v>1090.7</v>
      </c>
      <c r="R203" s="177">
        <v>1702.1</v>
      </c>
      <c r="S203" s="178">
        <f t="shared" ref="S203" si="170">P203/(P203-Q203)</f>
        <v>2.8072908036454001</v>
      </c>
      <c r="T203" s="178">
        <f t="shared" ref="T203" si="171">R203/(R203-Q203)</f>
        <v>2.7839385017991498</v>
      </c>
      <c r="U203" s="179">
        <f t="shared" ref="U203" si="172">P203/(R203-Q203)</f>
        <v>2.7710173372587499</v>
      </c>
      <c r="V203" s="198"/>
      <c r="W203" s="198"/>
      <c r="X203" s="198"/>
      <c r="Y203" s="198"/>
      <c r="Z203" s="199"/>
      <c r="AA203" s="199"/>
      <c r="AB203" s="199"/>
      <c r="AG203" s="183">
        <v>1162.9000000000001</v>
      </c>
      <c r="AH203" s="183">
        <f>1162.9-49.6</f>
        <v>1113.3</v>
      </c>
      <c r="AI203" s="190">
        <f t="shared" ref="AI203:AI204" si="173">100*AJ203/(100+AJ203)</f>
        <v>3.80473735530855</v>
      </c>
      <c r="AJ203" s="191">
        <f t="shared" ref="AJ203:AJ204" si="174">100*(AG203-AH203)/AH203-0.5</f>
        <v>3.9552232102757499</v>
      </c>
    </row>
    <row r="204" spans="1:36">
      <c r="A204" s="159" t="s">
        <v>140</v>
      </c>
      <c r="B204" s="159" t="s">
        <v>76</v>
      </c>
      <c r="C204" s="134" t="s">
        <v>68</v>
      </c>
      <c r="D204" s="176">
        <v>100</v>
      </c>
      <c r="E204" s="176">
        <v>100</v>
      </c>
      <c r="F204" s="176">
        <v>100</v>
      </c>
      <c r="G204" s="176">
        <v>99.024444856800201</v>
      </c>
      <c r="H204" s="176">
        <v>96.353643135230101</v>
      </c>
      <c r="I204" s="176">
        <v>69.669906188055506</v>
      </c>
      <c r="J204" s="176">
        <v>50.000926367474698</v>
      </c>
      <c r="K204" s="176">
        <v>36.3312093640562</v>
      </c>
      <c r="L204" s="176">
        <v>28.752656900308999</v>
      </c>
      <c r="M204" s="176">
        <v>23.421788024767601</v>
      </c>
      <c r="N204" s="176">
        <v>19.962279226780002</v>
      </c>
      <c r="O204" s="176">
        <v>18.206417533326</v>
      </c>
      <c r="V204" s="198">
        <v>291.3</v>
      </c>
      <c r="W204" s="198">
        <v>763.8</v>
      </c>
      <c r="X204" s="198">
        <v>948.4</v>
      </c>
      <c r="Y204" s="198">
        <v>300.7</v>
      </c>
      <c r="Z204" s="201">
        <f>V204/(V204+W204-X204)</f>
        <v>2.73008434864105</v>
      </c>
      <c r="AA204" s="201">
        <f>Y204/(Y204+W204-X204)</f>
        <v>2.59000861326443</v>
      </c>
      <c r="AB204" s="201">
        <f>V204/(Y204+W204-X204)</f>
        <v>2.5090439276485799</v>
      </c>
      <c r="AG204" s="183">
        <v>808</v>
      </c>
      <c r="AH204" s="183">
        <f>808-51.3</f>
        <v>756.7</v>
      </c>
      <c r="AI204" s="190">
        <f t="shared" si="173"/>
        <v>5.9084214263199</v>
      </c>
      <c r="AJ204" s="191">
        <f t="shared" si="174"/>
        <v>6.2794370292057602</v>
      </c>
    </row>
    <row r="205" spans="1:36">
      <c r="A205" s="159" t="s">
        <v>141</v>
      </c>
      <c r="B205" s="159" t="s">
        <v>81</v>
      </c>
      <c r="C205" s="168" t="s">
        <v>79</v>
      </c>
      <c r="D205" s="176">
        <v>100</v>
      </c>
      <c r="E205" s="176">
        <v>100</v>
      </c>
      <c r="F205" s="176">
        <v>95.736024086581494</v>
      </c>
      <c r="G205" s="176">
        <v>58.100740499633801</v>
      </c>
      <c r="H205" s="176">
        <v>8.2675563512084</v>
      </c>
      <c r="I205" s="176">
        <v>0.46382944096346501</v>
      </c>
      <c r="J205" s="176">
        <v>0.45569208235008302</v>
      </c>
      <c r="K205" s="176">
        <v>0.45569208235008302</v>
      </c>
      <c r="L205" s="176">
        <v>0.45569208235008302</v>
      </c>
      <c r="M205" s="176">
        <v>0.45569208235008302</v>
      </c>
      <c r="N205" s="176">
        <v>0.45569208235008302</v>
      </c>
      <c r="O205" s="176">
        <v>0.45569208235008302</v>
      </c>
      <c r="P205" s="177">
        <v>1332.6</v>
      </c>
      <c r="Q205" s="177">
        <v>845.1</v>
      </c>
      <c r="R205" s="177">
        <v>1339.3</v>
      </c>
      <c r="S205" s="178">
        <f t="shared" ref="S205:S207" si="175">P205/(P205-Q205)</f>
        <v>2.7335384615384601</v>
      </c>
      <c r="T205" s="178">
        <f t="shared" ref="T205:T207" si="176">R205/(R205-Q205)</f>
        <v>2.7100364225010098</v>
      </c>
      <c r="U205" s="179">
        <f t="shared" ref="U205:U207" si="177">P205/(R205-Q205)</f>
        <v>2.6964791582355301</v>
      </c>
      <c r="V205" s="198"/>
      <c r="W205" s="198"/>
      <c r="X205" s="198"/>
      <c r="Y205" s="198"/>
      <c r="Z205" s="199"/>
      <c r="AA205" s="199"/>
      <c r="AB205" s="199"/>
      <c r="AI205" s="190"/>
      <c r="AJ205" s="191"/>
    </row>
    <row r="206" spans="1:36">
      <c r="A206" s="159" t="s">
        <v>141</v>
      </c>
      <c r="B206" s="159" t="s">
        <v>81</v>
      </c>
      <c r="C206" s="168" t="s">
        <v>63</v>
      </c>
      <c r="D206" s="176">
        <v>100</v>
      </c>
      <c r="E206" s="176">
        <v>100</v>
      </c>
      <c r="F206" s="176">
        <v>100</v>
      </c>
      <c r="G206" s="176">
        <v>100</v>
      </c>
      <c r="H206" s="176">
        <v>96.401811445039101</v>
      </c>
      <c r="I206" s="176">
        <v>11.0415808974887</v>
      </c>
      <c r="J206" s="176">
        <v>1.6797035817208601</v>
      </c>
      <c r="K206" s="176">
        <v>1.6797035817208601</v>
      </c>
      <c r="L206" s="176">
        <v>1.6797035817208601</v>
      </c>
      <c r="M206" s="176">
        <v>1.6797035817208601</v>
      </c>
      <c r="N206" s="176">
        <v>1.6797035817208601</v>
      </c>
      <c r="O206" s="176">
        <v>1.4738575545491801</v>
      </c>
      <c r="P206" s="177">
        <v>927.3</v>
      </c>
      <c r="Q206" s="177">
        <v>601.5</v>
      </c>
      <c r="R206" s="177">
        <v>934.7</v>
      </c>
      <c r="S206" s="178">
        <f t="shared" si="175"/>
        <v>2.84622467771639</v>
      </c>
      <c r="T206" s="178">
        <f t="shared" si="176"/>
        <v>2.8052220888355301</v>
      </c>
      <c r="U206" s="179">
        <f t="shared" si="177"/>
        <v>2.7830132052821099</v>
      </c>
      <c r="V206" s="198"/>
      <c r="W206" s="198"/>
      <c r="X206" s="198"/>
      <c r="Y206" s="198"/>
      <c r="Z206" s="199"/>
      <c r="AA206" s="199"/>
      <c r="AB206" s="199"/>
      <c r="AI206" s="190"/>
      <c r="AJ206" s="191"/>
    </row>
    <row r="207" spans="1:36">
      <c r="A207" s="159" t="s">
        <v>141</v>
      </c>
      <c r="B207" s="159" t="s">
        <v>82</v>
      </c>
      <c r="C207" s="168" t="s">
        <v>70</v>
      </c>
      <c r="D207" s="176">
        <v>100</v>
      </c>
      <c r="E207" s="176">
        <v>100</v>
      </c>
      <c r="F207" s="176">
        <v>100</v>
      </c>
      <c r="G207" s="176">
        <v>100</v>
      </c>
      <c r="H207" s="176">
        <v>100</v>
      </c>
      <c r="I207" s="176">
        <v>97.156617578957096</v>
      </c>
      <c r="J207" s="176">
        <v>28.248587570621499</v>
      </c>
      <c r="K207" s="176">
        <v>9.3822358062424591</v>
      </c>
      <c r="L207" s="176">
        <v>6.2054274335463599</v>
      </c>
      <c r="M207" s="176">
        <v>5.3903862183940001</v>
      </c>
      <c r="N207" s="176">
        <v>4.9180327868852602</v>
      </c>
      <c r="O207" s="176">
        <v>4.2974900435306198</v>
      </c>
      <c r="P207" s="177">
        <v>743.5</v>
      </c>
      <c r="Q207" s="177">
        <v>482.5</v>
      </c>
      <c r="R207" s="177">
        <v>753</v>
      </c>
      <c r="S207" s="178">
        <f t="shared" si="175"/>
        <v>2.8486590038314201</v>
      </c>
      <c r="T207" s="178">
        <f t="shared" si="176"/>
        <v>2.7837338262476901</v>
      </c>
      <c r="U207" s="179">
        <f t="shared" si="177"/>
        <v>2.7486136783733799</v>
      </c>
      <c r="V207" s="198"/>
      <c r="W207" s="198"/>
      <c r="X207" s="198"/>
      <c r="Y207" s="198"/>
      <c r="Z207" s="199"/>
      <c r="AA207" s="199"/>
      <c r="AB207" s="199"/>
      <c r="AI207" s="190"/>
      <c r="AJ207" s="191"/>
    </row>
    <row r="208" spans="1:36">
      <c r="A208" s="159" t="s">
        <v>141</v>
      </c>
      <c r="B208" s="159" t="s">
        <v>82</v>
      </c>
      <c r="C208" s="168" t="s">
        <v>71</v>
      </c>
      <c r="D208" s="176">
        <v>100</v>
      </c>
      <c r="E208" s="176">
        <v>100</v>
      </c>
      <c r="F208" s="176">
        <v>100</v>
      </c>
      <c r="G208" s="176">
        <v>100</v>
      </c>
      <c r="H208" s="176">
        <v>100</v>
      </c>
      <c r="I208" s="176">
        <v>100</v>
      </c>
      <c r="J208" s="176">
        <v>94.585448392554994</v>
      </c>
      <c r="K208" s="176">
        <v>49.557081715935098</v>
      </c>
      <c r="L208" s="176">
        <v>28.934010152284301</v>
      </c>
      <c r="M208" s="176">
        <v>16.820941574599399</v>
      </c>
      <c r="N208" s="176">
        <v>9.2166815964964695</v>
      </c>
      <c r="O208" s="176">
        <v>6.3003881755748097</v>
      </c>
      <c r="V208" s="198">
        <v>291.3</v>
      </c>
      <c r="W208" s="198">
        <v>763.8</v>
      </c>
      <c r="X208" s="198">
        <v>948.4</v>
      </c>
      <c r="Y208" s="198">
        <v>300.7</v>
      </c>
      <c r="Z208" s="201">
        <f>V208/(V208+W208-X208)</f>
        <v>2.73008434864105</v>
      </c>
      <c r="AA208" s="201">
        <f>Y208/(Y208+W208-X208)</f>
        <v>2.59000861326443</v>
      </c>
      <c r="AB208" s="201">
        <f>V208/(Y208+W208-X208)</f>
        <v>2.5090439276485799</v>
      </c>
      <c r="AI208" s="190"/>
      <c r="AJ208" s="191"/>
    </row>
    <row r="209" spans="1:36">
      <c r="A209" s="159" t="s">
        <v>141</v>
      </c>
      <c r="B209" s="159" t="s">
        <v>99</v>
      </c>
      <c r="C209" s="168" t="s">
        <v>91</v>
      </c>
      <c r="D209" s="176">
        <v>100</v>
      </c>
      <c r="E209" s="176">
        <v>100</v>
      </c>
      <c r="F209" s="176">
        <v>100</v>
      </c>
      <c r="G209" s="176">
        <v>100</v>
      </c>
      <c r="H209" s="176">
        <v>100</v>
      </c>
      <c r="I209" s="176">
        <v>100</v>
      </c>
      <c r="J209" s="176">
        <v>100</v>
      </c>
      <c r="K209" s="176">
        <v>100</v>
      </c>
      <c r="L209" s="176">
        <v>100</v>
      </c>
      <c r="M209" s="176">
        <v>97.4</v>
      </c>
      <c r="N209" s="176">
        <v>90.2</v>
      </c>
      <c r="O209" s="176">
        <v>78.2</v>
      </c>
      <c r="V209" s="198"/>
      <c r="W209" s="198"/>
      <c r="X209" s="198"/>
      <c r="Y209" s="198"/>
      <c r="Z209" s="199"/>
      <c r="AA209" s="199"/>
      <c r="AB209" s="199"/>
      <c r="AI209" s="190"/>
      <c r="AJ209" s="191"/>
    </row>
    <row r="210" spans="1:36">
      <c r="A210" s="159" t="s">
        <v>141</v>
      </c>
      <c r="B210" s="159" t="s">
        <v>74</v>
      </c>
      <c r="C210" s="168" t="s">
        <v>111</v>
      </c>
      <c r="D210" s="176">
        <v>100</v>
      </c>
      <c r="E210" s="176">
        <v>100</v>
      </c>
      <c r="F210" s="176">
        <v>99.387624531578496</v>
      </c>
      <c r="G210" s="176">
        <v>96.099894439390098</v>
      </c>
      <c r="H210" s="176">
        <v>86.531711371940204</v>
      </c>
      <c r="I210" s="176">
        <v>64.999844284612294</v>
      </c>
      <c r="J210" s="176">
        <v>50.518839398460997</v>
      </c>
      <c r="K210" s="176">
        <v>35.572675523159603</v>
      </c>
      <c r="L210" s="176">
        <v>26.0537351100165</v>
      </c>
      <c r="M210" s="176">
        <v>17.3911051310704</v>
      </c>
      <c r="N210" s="176">
        <v>11.0224325777745</v>
      </c>
      <c r="O210" s="176">
        <v>8.8285256274141499</v>
      </c>
      <c r="P210" s="177">
        <v>927.3</v>
      </c>
      <c r="Q210" s="177">
        <v>601.5</v>
      </c>
      <c r="R210" s="177">
        <v>934.7</v>
      </c>
      <c r="S210" s="178">
        <f t="shared" ref="S210:S212" si="178">P210/(P210-Q210)</f>
        <v>2.84622467771639</v>
      </c>
      <c r="T210" s="178">
        <f t="shared" ref="T210:T212" si="179">R210/(R210-Q210)</f>
        <v>2.8052220888355301</v>
      </c>
      <c r="U210" s="179">
        <f t="shared" ref="U210:U212" si="180">P210/(R210-Q210)</f>
        <v>2.7830132052821099</v>
      </c>
      <c r="V210" s="198"/>
      <c r="W210" s="198"/>
      <c r="X210" s="198"/>
      <c r="Y210" s="198"/>
      <c r="Z210" s="199"/>
      <c r="AA210" s="199"/>
      <c r="AB210" s="199"/>
      <c r="AG210" s="183">
        <v>1083.9000000000001</v>
      </c>
      <c r="AH210" s="183">
        <f>1083.9-57.3</f>
        <v>1026.5999999999999</v>
      </c>
      <c r="AI210" s="190">
        <f t="shared" ref="AI210" si="181">100*AJ210/(100+AJ210)</f>
        <v>4.8357986479007904</v>
      </c>
      <c r="AJ210" s="191">
        <f>100*(AG210-AH210)/AH210-0.5</f>
        <v>5.08153126826417</v>
      </c>
    </row>
    <row r="211" spans="1:36">
      <c r="A211" s="159" t="s">
        <v>142</v>
      </c>
      <c r="B211" s="159" t="s">
        <v>81</v>
      </c>
      <c r="C211" s="168" t="s">
        <v>79</v>
      </c>
      <c r="D211" s="176">
        <v>100</v>
      </c>
      <c r="E211" s="176">
        <v>100</v>
      </c>
      <c r="F211" s="176">
        <v>100</v>
      </c>
      <c r="G211" s="176">
        <v>91.437286438985197</v>
      </c>
      <c r="H211" s="176">
        <v>22.984206828022799</v>
      </c>
      <c r="I211" s="176">
        <v>0.34897496353152502</v>
      </c>
      <c r="J211" s="176">
        <v>0.34897496353152502</v>
      </c>
      <c r="K211" s="176">
        <v>0.34897496353152502</v>
      </c>
      <c r="L211" s="176">
        <v>0.34897496353152502</v>
      </c>
      <c r="M211" s="176">
        <v>0.34897496353152502</v>
      </c>
      <c r="N211" s="176">
        <v>0.34897496353152502</v>
      </c>
      <c r="O211" s="176">
        <v>0.34897496353152502</v>
      </c>
      <c r="P211" s="177">
        <v>1983.2</v>
      </c>
      <c r="Q211" s="177">
        <v>1267.4000000000001</v>
      </c>
      <c r="R211" s="177">
        <v>2001.6</v>
      </c>
      <c r="S211" s="178">
        <f t="shared" si="178"/>
        <v>2.77060631461302</v>
      </c>
      <c r="T211" s="178">
        <f t="shared" si="179"/>
        <v>2.7262326341596301</v>
      </c>
      <c r="U211" s="179">
        <f t="shared" si="180"/>
        <v>2.70117134295832</v>
      </c>
      <c r="V211" s="198"/>
      <c r="W211" s="198"/>
      <c r="X211" s="198"/>
      <c r="Y211" s="198"/>
      <c r="Z211" s="199"/>
      <c r="AA211" s="199"/>
      <c r="AB211" s="199"/>
      <c r="AI211" s="190"/>
      <c r="AJ211" s="191"/>
    </row>
    <row r="212" spans="1:36">
      <c r="A212" s="159" t="s">
        <v>142</v>
      </c>
      <c r="B212" s="159" t="s">
        <v>81</v>
      </c>
      <c r="C212" s="168" t="s">
        <v>63</v>
      </c>
      <c r="D212" s="176">
        <v>100</v>
      </c>
      <c r="E212" s="176">
        <v>100</v>
      </c>
      <c r="F212" s="176">
        <v>100</v>
      </c>
      <c r="G212" s="176">
        <v>100</v>
      </c>
      <c r="H212" s="176">
        <v>92.5</v>
      </c>
      <c r="I212" s="176">
        <v>7.4</v>
      </c>
      <c r="J212" s="176">
        <v>0.35999999999999899</v>
      </c>
      <c r="K212" s="176">
        <v>0.35999999999999899</v>
      </c>
      <c r="L212" s="176">
        <v>0.35999999999999899</v>
      </c>
      <c r="M212" s="176">
        <v>0.35999999999999899</v>
      </c>
      <c r="N212" s="176">
        <v>0.35999999999999899</v>
      </c>
      <c r="O212" s="176">
        <v>0.35999999999999899</v>
      </c>
      <c r="P212" s="177">
        <v>1464.6</v>
      </c>
      <c r="Q212" s="177">
        <v>932.5</v>
      </c>
      <c r="R212" s="177">
        <v>1478.5</v>
      </c>
      <c r="S212" s="178">
        <f t="shared" si="178"/>
        <v>2.7524901334335699</v>
      </c>
      <c r="T212" s="178">
        <f t="shared" si="179"/>
        <v>2.7078754578754598</v>
      </c>
      <c r="U212" s="179">
        <f t="shared" si="180"/>
        <v>2.68241758241758</v>
      </c>
      <c r="V212" s="198"/>
      <c r="W212" s="198"/>
      <c r="X212" s="198"/>
      <c r="Y212" s="198"/>
      <c r="Z212" s="199"/>
      <c r="AA212" s="199"/>
      <c r="AB212" s="199"/>
      <c r="AI212" s="190"/>
      <c r="AJ212" s="191"/>
    </row>
    <row r="213" spans="1:36">
      <c r="A213" s="159" t="s">
        <v>142</v>
      </c>
      <c r="B213" s="159" t="s">
        <v>82</v>
      </c>
      <c r="C213" s="168" t="s">
        <v>65</v>
      </c>
      <c r="D213" s="176">
        <v>100</v>
      </c>
      <c r="E213" s="176">
        <v>100</v>
      </c>
      <c r="F213" s="176">
        <v>100</v>
      </c>
      <c r="G213" s="176">
        <v>100</v>
      </c>
      <c r="H213" s="176">
        <v>100</v>
      </c>
      <c r="I213" s="176">
        <v>99.9</v>
      </c>
      <c r="J213" s="176">
        <v>83.5</v>
      </c>
      <c r="K213" s="176">
        <v>56.8</v>
      </c>
      <c r="L213" s="176">
        <v>39.9</v>
      </c>
      <c r="M213" s="176">
        <v>20.6</v>
      </c>
      <c r="N213" s="176">
        <v>10.9</v>
      </c>
      <c r="O213" s="176">
        <v>8.1</v>
      </c>
      <c r="V213" s="198">
        <v>296.10000000000002</v>
      </c>
      <c r="W213" s="198">
        <v>641.5</v>
      </c>
      <c r="X213" s="198">
        <v>829</v>
      </c>
      <c r="Y213" s="198">
        <v>300</v>
      </c>
      <c r="Z213" s="201">
        <f>V213/(V213+W213-X213)</f>
        <v>2.7265193370165699</v>
      </c>
      <c r="AA213" s="201">
        <f>Y213/(Y213+W213-X213)</f>
        <v>2.6666666666666701</v>
      </c>
      <c r="AB213" s="201">
        <f>V213/(Y213+W213-X213)</f>
        <v>2.6320000000000001</v>
      </c>
      <c r="AI213" s="190"/>
      <c r="AJ213" s="191"/>
    </row>
    <row r="214" spans="1:36">
      <c r="A214" s="159" t="s">
        <v>142</v>
      </c>
      <c r="B214" s="159" t="s">
        <v>74</v>
      </c>
      <c r="C214" s="168" t="s">
        <v>111</v>
      </c>
      <c r="D214" s="176">
        <v>100</v>
      </c>
      <c r="E214" s="176">
        <v>100</v>
      </c>
      <c r="F214" s="176">
        <v>100</v>
      </c>
      <c r="G214" s="176">
        <v>99.620172677117196</v>
      </c>
      <c r="H214" s="176">
        <v>92.357730024761807</v>
      </c>
      <c r="I214" s="176">
        <v>64.674846034911198</v>
      </c>
      <c r="J214" s="176">
        <v>46.329933084574201</v>
      </c>
      <c r="K214" s="176">
        <v>32.977763061594999</v>
      </c>
      <c r="L214" s="176">
        <v>25.047888052268299</v>
      </c>
      <c r="M214" s="176">
        <v>19.222329744859</v>
      </c>
      <c r="N214" s="176">
        <v>14.748167489201499</v>
      </c>
      <c r="O214" s="176">
        <v>12.7905775986073</v>
      </c>
      <c r="P214" s="177">
        <v>698.9</v>
      </c>
      <c r="Q214" s="177">
        <v>454.7</v>
      </c>
      <c r="R214" s="177">
        <v>707.6</v>
      </c>
      <c r="S214" s="178">
        <f t="shared" ref="S214:S216" si="182">P214/(P214-Q214)</f>
        <v>2.86199836199836</v>
      </c>
      <c r="T214" s="178">
        <f t="shared" ref="T214:T216" si="183">R214/(R214-Q214)</f>
        <v>2.79794385132463</v>
      </c>
      <c r="U214" s="179">
        <f t="shared" ref="U214:U216" si="184">P214/(R214-Q214)</f>
        <v>2.7635429023329401</v>
      </c>
      <c r="V214" s="198"/>
      <c r="W214" s="198"/>
      <c r="X214" s="198"/>
      <c r="Y214" s="198"/>
      <c r="Z214" s="199"/>
      <c r="AA214" s="199"/>
      <c r="AB214" s="199"/>
      <c r="AG214" s="183">
        <v>1142.2</v>
      </c>
      <c r="AH214" s="183">
        <f>1142.3-57.5</f>
        <v>1084.8</v>
      </c>
      <c r="AI214" s="190">
        <f t="shared" ref="AI214" si="185">100*AJ214/(100+AJ214)</f>
        <v>4.5722288296023201</v>
      </c>
      <c r="AJ214" s="191">
        <f>100*(AG214-AH214)/AH214-0.5</f>
        <v>4.7912979351032501</v>
      </c>
    </row>
    <row r="215" spans="1:36">
      <c r="A215" s="159" t="s">
        <v>143</v>
      </c>
      <c r="B215" s="159" t="s">
        <v>81</v>
      </c>
      <c r="C215" s="168" t="s">
        <v>79</v>
      </c>
      <c r="D215" s="176">
        <v>100</v>
      </c>
      <c r="E215" s="176">
        <v>100</v>
      </c>
      <c r="F215" s="176">
        <v>100</v>
      </c>
      <c r="G215" s="176">
        <v>91.437286438985197</v>
      </c>
      <c r="H215" s="176">
        <v>22.984206828022799</v>
      </c>
      <c r="I215" s="176">
        <v>0.34897496353152502</v>
      </c>
      <c r="J215" s="176">
        <v>0.34897496353152502</v>
      </c>
      <c r="K215" s="176">
        <v>0.34897496353152502</v>
      </c>
      <c r="L215" s="176">
        <v>0.34897496353152502</v>
      </c>
      <c r="M215" s="176">
        <v>0.34897496353152502</v>
      </c>
      <c r="N215" s="176">
        <v>0.34897496353152502</v>
      </c>
      <c r="O215" s="176">
        <v>0.34897496353152502</v>
      </c>
      <c r="P215" s="177">
        <v>1983.2</v>
      </c>
      <c r="Q215" s="177">
        <v>1267.4000000000001</v>
      </c>
      <c r="R215" s="177">
        <v>2001.6</v>
      </c>
      <c r="S215" s="178">
        <f t="shared" si="182"/>
        <v>2.77060631461302</v>
      </c>
      <c r="T215" s="178">
        <f t="shared" si="183"/>
        <v>2.7262326341596301</v>
      </c>
      <c r="U215" s="179">
        <f t="shared" si="184"/>
        <v>2.70117134295832</v>
      </c>
      <c r="V215" s="198"/>
      <c r="W215" s="198"/>
      <c r="X215" s="198"/>
      <c r="Y215" s="198"/>
      <c r="Z215" s="199"/>
      <c r="AA215" s="199"/>
      <c r="AB215" s="199"/>
      <c r="AI215" s="190"/>
      <c r="AJ215" s="191"/>
    </row>
    <row r="216" spans="1:36">
      <c r="A216" s="159" t="s">
        <v>143</v>
      </c>
      <c r="B216" s="159" t="s">
        <v>81</v>
      </c>
      <c r="C216" s="168" t="s">
        <v>63</v>
      </c>
      <c r="D216" s="176">
        <v>100</v>
      </c>
      <c r="E216" s="176">
        <v>100</v>
      </c>
      <c r="F216" s="176">
        <v>100</v>
      </c>
      <c r="G216" s="176">
        <v>100</v>
      </c>
      <c r="H216" s="176">
        <v>92.5</v>
      </c>
      <c r="I216" s="176">
        <v>7.4</v>
      </c>
      <c r="J216" s="176">
        <v>0.35999999999999899</v>
      </c>
      <c r="K216" s="176">
        <v>0.35999999999999899</v>
      </c>
      <c r="L216" s="176">
        <v>0.35999999999999899</v>
      </c>
      <c r="M216" s="176">
        <v>0.35999999999999899</v>
      </c>
      <c r="N216" s="176">
        <v>0.35999999999999899</v>
      </c>
      <c r="O216" s="176">
        <v>0.35999999999999899</v>
      </c>
      <c r="P216" s="177">
        <v>1464.6</v>
      </c>
      <c r="Q216" s="177">
        <v>932.5</v>
      </c>
      <c r="R216" s="177">
        <v>1478.5</v>
      </c>
      <c r="S216" s="178">
        <f t="shared" si="182"/>
        <v>2.7524901334335699</v>
      </c>
      <c r="T216" s="178">
        <f t="shared" si="183"/>
        <v>2.7078754578754598</v>
      </c>
      <c r="U216" s="179">
        <f t="shared" si="184"/>
        <v>2.68241758241758</v>
      </c>
      <c r="V216" s="198"/>
      <c r="W216" s="198"/>
      <c r="X216" s="198"/>
      <c r="Y216" s="198"/>
      <c r="Z216" s="199"/>
      <c r="AA216" s="199"/>
      <c r="AB216" s="199"/>
      <c r="AI216" s="190"/>
      <c r="AJ216" s="191"/>
    </row>
    <row r="217" spans="1:36">
      <c r="A217" s="159" t="s">
        <v>143</v>
      </c>
      <c r="B217" s="159" t="s">
        <v>82</v>
      </c>
      <c r="C217" s="168" t="s">
        <v>65</v>
      </c>
      <c r="D217" s="176">
        <v>100</v>
      </c>
      <c r="E217" s="176">
        <v>100</v>
      </c>
      <c r="F217" s="176">
        <v>100</v>
      </c>
      <c r="G217" s="176">
        <v>100</v>
      </c>
      <c r="H217" s="176">
        <v>100</v>
      </c>
      <c r="I217" s="176">
        <v>99.9</v>
      </c>
      <c r="J217" s="176">
        <v>83.5</v>
      </c>
      <c r="K217" s="176">
        <v>56.8</v>
      </c>
      <c r="L217" s="176">
        <v>39.9</v>
      </c>
      <c r="M217" s="176">
        <v>20.6</v>
      </c>
      <c r="N217" s="176">
        <v>10.9</v>
      </c>
      <c r="O217" s="176">
        <v>8.1</v>
      </c>
      <c r="V217" s="198">
        <v>296.10000000000002</v>
      </c>
      <c r="W217" s="198">
        <v>641.5</v>
      </c>
      <c r="X217" s="198">
        <v>829</v>
      </c>
      <c r="Y217" s="198">
        <v>300</v>
      </c>
      <c r="Z217" s="201">
        <f>V217/(V217+W217-X217)</f>
        <v>2.7265193370165699</v>
      </c>
      <c r="AA217" s="201">
        <f>Y217/(Y217+W217-X217)</f>
        <v>2.6666666666666701</v>
      </c>
      <c r="AB217" s="201">
        <f>V217/(Y217+W217-X217)</f>
        <v>2.6320000000000001</v>
      </c>
      <c r="AI217" s="190"/>
      <c r="AJ217" s="191"/>
    </row>
    <row r="218" spans="1:36">
      <c r="A218" s="159" t="s">
        <v>143</v>
      </c>
      <c r="B218" s="159" t="s">
        <v>74</v>
      </c>
      <c r="C218" s="168" t="s">
        <v>79</v>
      </c>
      <c r="D218" s="176">
        <v>100</v>
      </c>
      <c r="E218" s="176">
        <v>100</v>
      </c>
      <c r="F218" s="176">
        <v>98.815826135413801</v>
      </c>
      <c r="G218" s="176">
        <v>94.839114747462403</v>
      </c>
      <c r="H218" s="176">
        <v>73.415186724375104</v>
      </c>
      <c r="I218" s="176">
        <v>42.675238987936602</v>
      </c>
      <c r="J218" s="176">
        <v>29.029170661558801</v>
      </c>
      <c r="K218" s="176">
        <v>20.941949813070998</v>
      </c>
      <c r="L218" s="176">
        <v>16.021754844800299</v>
      </c>
      <c r="M218" s="176">
        <v>12.081363515278699</v>
      </c>
      <c r="N218" s="176">
        <v>9.5138522790398206</v>
      </c>
      <c r="O218" s="176">
        <v>8.5369764631661305</v>
      </c>
      <c r="P218" s="177">
        <v>698.9</v>
      </c>
      <c r="Q218" s="177">
        <v>454.7</v>
      </c>
      <c r="R218" s="177">
        <v>707.6</v>
      </c>
      <c r="S218" s="178">
        <f t="shared" ref="S218:S221" si="186">P218/(P218-Q218)</f>
        <v>2.86199836199836</v>
      </c>
      <c r="T218" s="178">
        <f t="shared" ref="T218:T221" si="187">R218/(R218-Q218)</f>
        <v>2.79794385132463</v>
      </c>
      <c r="U218" s="179">
        <f t="shared" ref="U218:U221" si="188">P218/(R218-Q218)</f>
        <v>2.7635429023329401</v>
      </c>
      <c r="V218" s="198"/>
      <c r="W218" s="198"/>
      <c r="X218" s="198"/>
      <c r="Y218" s="198"/>
      <c r="Z218" s="199"/>
      <c r="AA218" s="199"/>
      <c r="AB218" s="199"/>
      <c r="AG218" s="183">
        <v>1121</v>
      </c>
      <c r="AH218" s="183">
        <f>1121-44.3</f>
        <v>1076.7</v>
      </c>
      <c r="AI218" s="190">
        <f t="shared" ref="AI218:AI219" si="189">100*AJ218/(100+AJ218)</f>
        <v>3.48834030332107</v>
      </c>
      <c r="AJ218" s="191">
        <f t="shared" ref="AJ218:AJ219" si="190">100*(AG218-AH218)/AH218-0.5</f>
        <v>3.61442370205256</v>
      </c>
    </row>
    <row r="219" spans="1:36">
      <c r="A219" s="159" t="s">
        <v>143</v>
      </c>
      <c r="B219" s="159" t="s">
        <v>74</v>
      </c>
      <c r="C219" s="168" t="s">
        <v>68</v>
      </c>
      <c r="D219" s="176">
        <v>100</v>
      </c>
      <c r="E219" s="176">
        <v>100</v>
      </c>
      <c r="F219" s="176">
        <v>100</v>
      </c>
      <c r="G219" s="176">
        <v>100</v>
      </c>
      <c r="H219" s="176">
        <v>100</v>
      </c>
      <c r="I219" s="176">
        <v>88.657609858163994</v>
      </c>
      <c r="J219" s="176">
        <v>72.101874372017605</v>
      </c>
      <c r="K219" s="176">
        <v>54.176647938692398</v>
      </c>
      <c r="L219" s="176">
        <v>41.6004796084367</v>
      </c>
      <c r="M219" s="176">
        <v>30.701322330350099</v>
      </c>
      <c r="N219" s="176">
        <v>22.962816987307399</v>
      </c>
      <c r="O219" s="176">
        <v>20.0645821764092</v>
      </c>
      <c r="P219" s="177">
        <v>559.29999999999995</v>
      </c>
      <c r="Q219" s="177">
        <v>360.6</v>
      </c>
      <c r="R219" s="177">
        <v>566.70000000000005</v>
      </c>
      <c r="S219" s="178">
        <f t="shared" si="186"/>
        <v>2.8147961751384001</v>
      </c>
      <c r="T219" s="178">
        <f t="shared" si="187"/>
        <v>2.74963609898108</v>
      </c>
      <c r="U219" s="179">
        <f t="shared" si="188"/>
        <v>2.7137311984473498</v>
      </c>
      <c r="V219" s="198"/>
      <c r="W219" s="198"/>
      <c r="X219" s="198"/>
      <c r="Y219" s="198"/>
      <c r="Z219" s="199"/>
      <c r="AA219" s="199"/>
      <c r="AB219" s="199"/>
      <c r="AG219" s="183">
        <v>878.2</v>
      </c>
      <c r="AH219" s="183">
        <f>878.2-58.5</f>
        <v>819.7</v>
      </c>
      <c r="AI219" s="190">
        <f t="shared" si="189"/>
        <v>6.22370514179417</v>
      </c>
      <c r="AJ219" s="191">
        <f t="shared" si="190"/>
        <v>6.6367573502500896</v>
      </c>
    </row>
    <row r="220" spans="1:36">
      <c r="A220" s="159" t="s">
        <v>144</v>
      </c>
      <c r="B220" s="159" t="s">
        <v>81</v>
      </c>
      <c r="C220" s="168" t="s">
        <v>62</v>
      </c>
      <c r="D220" s="176">
        <v>100</v>
      </c>
      <c r="E220" s="176">
        <v>100</v>
      </c>
      <c r="F220" s="176">
        <v>100</v>
      </c>
      <c r="G220" s="176">
        <v>91.437286438985197</v>
      </c>
      <c r="H220" s="176">
        <v>22.984206828022799</v>
      </c>
      <c r="I220" s="176">
        <v>0.34897496353152502</v>
      </c>
      <c r="J220" s="176">
        <v>0.34897496353152502</v>
      </c>
      <c r="K220" s="176">
        <v>0.34897496353152502</v>
      </c>
      <c r="L220" s="176">
        <v>0.34897496353152502</v>
      </c>
      <c r="M220" s="176">
        <v>0.34897496353152502</v>
      </c>
      <c r="N220" s="176">
        <v>0.34897496353152502</v>
      </c>
      <c r="O220" s="176">
        <v>0.34897496353152502</v>
      </c>
      <c r="P220" s="177">
        <v>1983.2</v>
      </c>
      <c r="Q220" s="177">
        <v>1267.4000000000001</v>
      </c>
      <c r="R220" s="177">
        <v>2001.6</v>
      </c>
      <c r="S220" s="178">
        <f t="shared" si="186"/>
        <v>2.77060631461302</v>
      </c>
      <c r="T220" s="178">
        <f t="shared" si="187"/>
        <v>2.7262326341596301</v>
      </c>
      <c r="U220" s="179">
        <f t="shared" si="188"/>
        <v>2.70117134295832</v>
      </c>
      <c r="V220" s="198"/>
      <c r="W220" s="198"/>
      <c r="X220" s="198"/>
      <c r="Y220" s="198"/>
      <c r="Z220" s="199"/>
      <c r="AA220" s="199"/>
      <c r="AB220" s="199"/>
      <c r="AI220" s="190"/>
      <c r="AJ220" s="191"/>
    </row>
    <row r="221" spans="1:36">
      <c r="A221" s="159" t="s">
        <v>144</v>
      </c>
      <c r="B221" s="159" t="s">
        <v>81</v>
      </c>
      <c r="C221" s="168" t="s">
        <v>63</v>
      </c>
      <c r="D221" s="176">
        <v>100</v>
      </c>
      <c r="E221" s="176">
        <v>100</v>
      </c>
      <c r="F221" s="176">
        <v>100</v>
      </c>
      <c r="G221" s="176">
        <v>100</v>
      </c>
      <c r="H221" s="176">
        <v>92.5</v>
      </c>
      <c r="I221" s="176">
        <v>7.4</v>
      </c>
      <c r="J221" s="176">
        <v>0.35999999999999899</v>
      </c>
      <c r="K221" s="176">
        <v>0.35999999999999899</v>
      </c>
      <c r="L221" s="176">
        <v>0.35999999999999899</v>
      </c>
      <c r="M221" s="176">
        <v>0.35999999999999899</v>
      </c>
      <c r="N221" s="176">
        <v>0.35999999999999899</v>
      </c>
      <c r="O221" s="176">
        <v>0.35999999999999899</v>
      </c>
      <c r="P221" s="177">
        <v>1464.6</v>
      </c>
      <c r="Q221" s="177">
        <v>932.5</v>
      </c>
      <c r="R221" s="177">
        <v>1478.5</v>
      </c>
      <c r="S221" s="178">
        <f t="shared" si="186"/>
        <v>2.7524901334335699</v>
      </c>
      <c r="T221" s="178">
        <f t="shared" si="187"/>
        <v>2.7078754578754598</v>
      </c>
      <c r="U221" s="179">
        <f t="shared" si="188"/>
        <v>2.68241758241758</v>
      </c>
      <c r="V221" s="198"/>
      <c r="W221" s="198"/>
      <c r="X221" s="198"/>
      <c r="Y221" s="198"/>
      <c r="Z221" s="199"/>
      <c r="AA221" s="199"/>
      <c r="AB221" s="199"/>
      <c r="AI221" s="190"/>
      <c r="AJ221" s="191"/>
    </row>
    <row r="222" spans="1:36">
      <c r="A222" s="159" t="s">
        <v>144</v>
      </c>
      <c r="B222" s="159" t="s">
        <v>82</v>
      </c>
      <c r="C222" s="168" t="s">
        <v>65</v>
      </c>
      <c r="D222" s="176">
        <v>100</v>
      </c>
      <c r="E222" s="176">
        <v>100</v>
      </c>
      <c r="F222" s="176">
        <v>100</v>
      </c>
      <c r="G222" s="176">
        <v>100</v>
      </c>
      <c r="H222" s="176">
        <v>100</v>
      </c>
      <c r="I222" s="176">
        <v>99.9</v>
      </c>
      <c r="J222" s="176">
        <v>83.5</v>
      </c>
      <c r="K222" s="176">
        <v>56.8</v>
      </c>
      <c r="L222" s="176">
        <v>39.9</v>
      </c>
      <c r="M222" s="176">
        <v>20.6</v>
      </c>
      <c r="N222" s="176">
        <v>10.9</v>
      </c>
      <c r="O222" s="176">
        <v>8.1</v>
      </c>
      <c r="V222" s="198">
        <v>296.10000000000002</v>
      </c>
      <c r="W222" s="198">
        <v>641.5</v>
      </c>
      <c r="X222" s="198">
        <v>829</v>
      </c>
      <c r="Y222" s="198">
        <v>300</v>
      </c>
      <c r="Z222" s="201">
        <f>V222/(V222+W222-X222)</f>
        <v>2.7265193370165699</v>
      </c>
      <c r="AA222" s="201">
        <f>Y222/(Y222+W222-X222)</f>
        <v>2.6666666666666701</v>
      </c>
      <c r="AB222" s="201">
        <f>V222/(Y222+W222-X222)</f>
        <v>2.6320000000000001</v>
      </c>
      <c r="AI222" s="190"/>
      <c r="AJ222" s="191"/>
    </row>
    <row r="223" spans="1:36">
      <c r="A223" s="159" t="s">
        <v>144</v>
      </c>
      <c r="B223" s="159" t="s">
        <v>74</v>
      </c>
      <c r="C223" s="168" t="s">
        <v>79</v>
      </c>
      <c r="D223" s="176">
        <v>100</v>
      </c>
      <c r="E223" s="176">
        <v>100</v>
      </c>
      <c r="F223" s="176">
        <v>98.827796869034003</v>
      </c>
      <c r="G223" s="176">
        <v>86.648717540682995</v>
      </c>
      <c r="H223" s="176">
        <v>48.306335573151003</v>
      </c>
      <c r="I223" s="176">
        <v>31.8748856077734</v>
      </c>
      <c r="J223" s="176">
        <v>25.705021693306001</v>
      </c>
      <c r="K223" s="176">
        <v>20.3046142538807</v>
      </c>
      <c r="L223" s="176">
        <v>15.806456237536301</v>
      </c>
      <c r="M223" s="176">
        <v>10.767019293398899</v>
      </c>
      <c r="N223" s="176">
        <v>7.1691991851211396</v>
      </c>
      <c r="O223" s="176">
        <v>6.0312073941223696</v>
      </c>
      <c r="P223" s="177">
        <v>698.9</v>
      </c>
      <c r="Q223" s="177">
        <v>454.7</v>
      </c>
      <c r="R223" s="177">
        <v>707.6</v>
      </c>
      <c r="S223" s="178">
        <f t="shared" ref="S223:S226" si="191">P223/(P223-Q223)</f>
        <v>2.86199836199836</v>
      </c>
      <c r="T223" s="178">
        <f t="shared" ref="T223:T226" si="192">R223/(R223-Q223)</f>
        <v>2.79794385132463</v>
      </c>
      <c r="U223" s="179">
        <f t="shared" ref="U223:U226" si="193">P223/(R223-Q223)</f>
        <v>2.7635429023329401</v>
      </c>
      <c r="V223" s="198"/>
      <c r="W223" s="198"/>
      <c r="X223" s="198"/>
      <c r="Y223" s="198"/>
      <c r="Z223" s="199"/>
      <c r="AA223" s="199"/>
      <c r="AB223" s="199"/>
      <c r="AG223" s="183">
        <v>1121</v>
      </c>
      <c r="AH223" s="183">
        <f>1121-44.3</f>
        <v>1076.7</v>
      </c>
      <c r="AI223" s="190">
        <f t="shared" ref="AI223:AI224" si="194">100*AJ223/(100+AJ223)</f>
        <v>3.48834030332107</v>
      </c>
      <c r="AJ223" s="191">
        <f t="shared" ref="AJ223:AJ224" si="195">100*(AG223-AH223)/AH223-0.5</f>
        <v>3.61442370205256</v>
      </c>
    </row>
    <row r="224" spans="1:36">
      <c r="A224" s="159" t="s">
        <v>144</v>
      </c>
      <c r="B224" s="159" t="s">
        <v>74</v>
      </c>
      <c r="C224" s="168" t="s">
        <v>68</v>
      </c>
      <c r="D224" s="176">
        <v>100</v>
      </c>
      <c r="E224" s="176">
        <v>100</v>
      </c>
      <c r="F224" s="176">
        <v>100</v>
      </c>
      <c r="G224" s="176">
        <v>100</v>
      </c>
      <c r="H224" s="176">
        <v>94.658932970580196</v>
      </c>
      <c r="I224" s="176">
        <v>53.595178405762397</v>
      </c>
      <c r="J224" s="176">
        <v>37.496669471654599</v>
      </c>
      <c r="K224" s="176">
        <v>27.9921340304107</v>
      </c>
      <c r="L224" s="176">
        <v>22.152964079412701</v>
      </c>
      <c r="M224" s="176">
        <v>16.2792091481776</v>
      </c>
      <c r="N224" s="176">
        <v>12.0712743331915</v>
      </c>
      <c r="O224" s="176">
        <v>10.618690948765099</v>
      </c>
      <c r="P224" s="177">
        <v>559.29999999999995</v>
      </c>
      <c r="Q224" s="177">
        <v>360.6</v>
      </c>
      <c r="R224" s="177">
        <v>566.70000000000005</v>
      </c>
      <c r="S224" s="178">
        <f t="shared" si="191"/>
        <v>2.8147961751384001</v>
      </c>
      <c r="T224" s="178">
        <f t="shared" si="192"/>
        <v>2.74963609898108</v>
      </c>
      <c r="U224" s="179">
        <f t="shared" si="193"/>
        <v>2.7137311984473498</v>
      </c>
      <c r="V224" s="198"/>
      <c r="W224" s="198"/>
      <c r="X224" s="198"/>
      <c r="Y224" s="198"/>
      <c r="Z224" s="199"/>
      <c r="AA224" s="199"/>
      <c r="AB224" s="199"/>
      <c r="AG224" s="183">
        <v>878.2</v>
      </c>
      <c r="AH224" s="183">
        <f>878.2-58.5</f>
        <v>819.7</v>
      </c>
      <c r="AI224" s="190">
        <f t="shared" si="194"/>
        <v>6.22370514179417</v>
      </c>
      <c r="AJ224" s="191">
        <f t="shared" si="195"/>
        <v>6.6367573502500896</v>
      </c>
    </row>
    <row r="225" spans="1:36" ht="14.4">
      <c r="A225" s="159" t="s">
        <v>145</v>
      </c>
      <c r="B225" s="159" t="s">
        <v>61</v>
      </c>
      <c r="C225" s="157" t="s">
        <v>63</v>
      </c>
      <c r="D225" s="176">
        <v>100</v>
      </c>
      <c r="E225" s="176">
        <v>100</v>
      </c>
      <c r="F225" s="176">
        <v>100</v>
      </c>
      <c r="G225" s="176">
        <v>100</v>
      </c>
      <c r="H225" s="176">
        <v>86.636867650022893</v>
      </c>
      <c r="I225" s="176">
        <v>7.5850585702972104</v>
      </c>
      <c r="J225" s="176">
        <v>1.1059583314083801</v>
      </c>
      <c r="K225" s="176">
        <v>0.724264884069029</v>
      </c>
      <c r="L225" s="176">
        <v>0.68371064277129501</v>
      </c>
      <c r="M225" s="176">
        <v>0.68371064277129501</v>
      </c>
      <c r="N225" s="176">
        <v>0.68371064277129501</v>
      </c>
      <c r="O225" s="176">
        <v>0.68371064277129501</v>
      </c>
      <c r="P225" s="177">
        <v>768.3</v>
      </c>
      <c r="Q225" s="177">
        <v>486.4</v>
      </c>
      <c r="R225" s="177">
        <v>774.7</v>
      </c>
      <c r="S225" s="178">
        <f t="shared" si="191"/>
        <v>2.7254345512593101</v>
      </c>
      <c r="T225" s="178">
        <f t="shared" si="192"/>
        <v>2.6871314602844301</v>
      </c>
      <c r="U225" s="179">
        <f t="shared" si="193"/>
        <v>2.6649323621227898</v>
      </c>
      <c r="V225" s="198"/>
      <c r="W225" s="198"/>
      <c r="X225" s="198"/>
      <c r="Y225" s="198"/>
      <c r="Z225" s="199"/>
      <c r="AA225" s="199"/>
      <c r="AB225" s="199"/>
      <c r="AI225" s="190"/>
      <c r="AJ225" s="191"/>
    </row>
    <row r="226" spans="1:36" ht="14.4">
      <c r="A226" s="159" t="s">
        <v>145</v>
      </c>
      <c r="B226" s="159" t="s">
        <v>61</v>
      </c>
      <c r="C226" s="157" t="s">
        <v>70</v>
      </c>
      <c r="D226" s="176">
        <v>100</v>
      </c>
      <c r="E226" s="176">
        <v>100</v>
      </c>
      <c r="F226" s="176">
        <v>100</v>
      </c>
      <c r="G226" s="176">
        <v>100</v>
      </c>
      <c r="H226" s="176">
        <v>100</v>
      </c>
      <c r="I226" s="176">
        <v>72.015163507644701</v>
      </c>
      <c r="J226" s="176">
        <v>20.286060876500599</v>
      </c>
      <c r="K226" s="176">
        <v>12.596910395016501</v>
      </c>
      <c r="L226" s="176">
        <v>10.5361419145519</v>
      </c>
      <c r="M226" s="176">
        <v>8.8874297651085996</v>
      </c>
      <c r="N226" s="176">
        <v>7.2581538884348697</v>
      </c>
      <c r="O226" s="176">
        <v>6.1777804915484804</v>
      </c>
      <c r="P226" s="177">
        <v>1389.1</v>
      </c>
      <c r="Q226" s="177">
        <v>878</v>
      </c>
      <c r="R226" s="177">
        <v>1398.3</v>
      </c>
      <c r="S226" s="178">
        <f t="shared" si="191"/>
        <v>2.7178634318137398</v>
      </c>
      <c r="T226" s="178">
        <f t="shared" si="192"/>
        <v>2.6874879876994</v>
      </c>
      <c r="U226" s="179">
        <f t="shared" si="193"/>
        <v>2.6698058812223699</v>
      </c>
      <c r="V226" s="198"/>
      <c r="W226" s="198"/>
      <c r="X226" s="198"/>
      <c r="Y226" s="198"/>
      <c r="Z226" s="199"/>
      <c r="AA226" s="199"/>
      <c r="AB226" s="199"/>
      <c r="AI226" s="190"/>
      <c r="AJ226" s="191"/>
    </row>
    <row r="227" spans="1:36" ht="14.4">
      <c r="A227" s="159" t="s">
        <v>145</v>
      </c>
      <c r="B227" s="159" t="s">
        <v>61</v>
      </c>
      <c r="C227" s="134" t="s">
        <v>71</v>
      </c>
      <c r="D227" s="176">
        <v>100</v>
      </c>
      <c r="E227" s="176">
        <v>100</v>
      </c>
      <c r="F227" s="176">
        <v>100</v>
      </c>
      <c r="G227" s="176">
        <v>100</v>
      </c>
      <c r="H227" s="176">
        <v>100</v>
      </c>
      <c r="I227" s="176">
        <v>98.111939055727404</v>
      </c>
      <c r="J227" s="176">
        <v>92.536129045242205</v>
      </c>
      <c r="K227" s="176">
        <v>74.521420219526604</v>
      </c>
      <c r="L227" s="176">
        <v>58.894791247156199</v>
      </c>
      <c r="M227" s="176">
        <v>42.394636104297597</v>
      </c>
      <c r="N227" s="176">
        <v>23.466914320227701</v>
      </c>
      <c r="O227" s="176">
        <v>16.099297179628898</v>
      </c>
      <c r="V227" s="198">
        <v>296.10000000000002</v>
      </c>
      <c r="W227" s="198">
        <v>768.8</v>
      </c>
      <c r="X227" s="198">
        <v>955.5</v>
      </c>
      <c r="Y227" s="198">
        <v>300.39999999999998</v>
      </c>
      <c r="Z227" s="201">
        <f t="shared" ref="Z227:Z228" si="196">V227/(V227+W227-X227)</f>
        <v>2.70658135283364</v>
      </c>
      <c r="AA227" s="201">
        <f t="shared" ref="AA227:AA228" si="197">Y227/(Y227+W227-X227)</f>
        <v>2.64204045734389</v>
      </c>
      <c r="AB227" s="201">
        <f t="shared" ref="AB227:AB228" si="198">V227/(Y227+W227-X227)</f>
        <v>2.6042216358839099</v>
      </c>
      <c r="AI227" s="190"/>
      <c r="AJ227" s="191"/>
    </row>
    <row r="228" spans="1:36" ht="14.4">
      <c r="A228" s="159" t="s">
        <v>145</v>
      </c>
      <c r="B228" s="159" t="s">
        <v>67</v>
      </c>
      <c r="C228" s="157" t="s">
        <v>68</v>
      </c>
      <c r="D228" s="176">
        <v>100</v>
      </c>
      <c r="E228" s="176">
        <v>100</v>
      </c>
      <c r="F228" s="176">
        <v>100</v>
      </c>
      <c r="G228" s="176">
        <v>100</v>
      </c>
      <c r="H228" s="176">
        <v>98.177912288745205</v>
      </c>
      <c r="I228" s="176">
        <v>73.821693572194803</v>
      </c>
      <c r="J228" s="176">
        <v>47.239610365571799</v>
      </c>
      <c r="K228" s="176">
        <v>31.981399802975901</v>
      </c>
      <c r="L228" s="176">
        <v>25.115732115088498</v>
      </c>
      <c r="M228" s="176">
        <v>19.8664693332525</v>
      </c>
      <c r="N228" s="176">
        <v>15.319459798481001</v>
      </c>
      <c r="O228" s="176">
        <v>13.447492309697401</v>
      </c>
      <c r="V228" s="198">
        <v>293.2</v>
      </c>
      <c r="W228" s="198">
        <v>767.8</v>
      </c>
      <c r="X228" s="198">
        <v>950.7</v>
      </c>
      <c r="Y228" s="198">
        <v>300.60000000000002</v>
      </c>
      <c r="Z228" s="201">
        <f t="shared" si="196"/>
        <v>2.6582048957388902</v>
      </c>
      <c r="AA228" s="201">
        <f t="shared" si="197"/>
        <v>2.5539507221750202</v>
      </c>
      <c r="AB228" s="201">
        <f t="shared" si="198"/>
        <v>2.4910790144435002</v>
      </c>
      <c r="AG228" s="183">
        <v>1038.9000000000001</v>
      </c>
      <c r="AH228" s="183">
        <f>1038.9-53.3</f>
        <v>985.6</v>
      </c>
      <c r="AI228" s="190">
        <f t="shared" ref="AI228" si="199">100*AJ228/(100+AJ228)</f>
        <v>4.6782698177513504</v>
      </c>
      <c r="AJ228" s="191">
        <f>100*(AG228-AH228)/AH228-0.5</f>
        <v>4.9078733766233702</v>
      </c>
    </row>
    <row r="229" spans="1:36">
      <c r="A229" s="159" t="s">
        <v>146</v>
      </c>
      <c r="B229" s="159" t="s">
        <v>81</v>
      </c>
      <c r="C229" s="168" t="s">
        <v>79</v>
      </c>
      <c r="D229" s="176">
        <v>100</v>
      </c>
      <c r="E229" s="176">
        <v>100</v>
      </c>
      <c r="F229" s="176">
        <v>100</v>
      </c>
      <c r="G229" s="176">
        <v>93.4</v>
      </c>
      <c r="H229" s="176">
        <v>21.7</v>
      </c>
      <c r="I229" s="176">
        <v>0.5</v>
      </c>
      <c r="J229" s="176">
        <v>0.4</v>
      </c>
      <c r="K229" s="176">
        <v>0.4</v>
      </c>
      <c r="L229" s="176">
        <v>0.4</v>
      </c>
      <c r="M229" s="176">
        <v>0.4</v>
      </c>
      <c r="N229" s="176">
        <v>0.4</v>
      </c>
      <c r="O229" s="176">
        <v>0.4</v>
      </c>
      <c r="P229" s="177">
        <v>1983.2</v>
      </c>
      <c r="Q229" s="177">
        <v>1267.4000000000001</v>
      </c>
      <c r="R229" s="177">
        <v>2001.6</v>
      </c>
      <c r="S229" s="178">
        <f t="shared" ref="S229:S230" si="200">P229/(P229-Q229)</f>
        <v>2.77060631461302</v>
      </c>
      <c r="T229" s="178">
        <f t="shared" ref="T229:T230" si="201">R229/(R229-Q229)</f>
        <v>2.7262326341596301</v>
      </c>
      <c r="U229" s="179">
        <f t="shared" ref="U229:U230" si="202">P229/(R229-Q229)</f>
        <v>2.70117134295832</v>
      </c>
      <c r="V229" s="198"/>
      <c r="W229" s="198"/>
      <c r="X229" s="198"/>
      <c r="Y229" s="198"/>
      <c r="Z229" s="199"/>
      <c r="AA229" s="199"/>
      <c r="AB229" s="199"/>
      <c r="AI229" s="190"/>
      <c r="AJ229" s="191"/>
    </row>
    <row r="230" spans="1:36">
      <c r="A230" s="159" t="s">
        <v>146</v>
      </c>
      <c r="B230" s="159" t="s">
        <v>81</v>
      </c>
      <c r="C230" s="168" t="s">
        <v>63</v>
      </c>
      <c r="D230" s="176">
        <v>100</v>
      </c>
      <c r="E230" s="176">
        <v>100</v>
      </c>
      <c r="F230" s="176">
        <v>100</v>
      </c>
      <c r="G230" s="176">
        <v>100</v>
      </c>
      <c r="H230" s="176">
        <v>92.5</v>
      </c>
      <c r="I230" s="176">
        <v>7.4</v>
      </c>
      <c r="J230" s="176">
        <v>0.35999999999999899</v>
      </c>
      <c r="K230" s="176">
        <v>0.35999999999999899</v>
      </c>
      <c r="L230" s="176">
        <v>0.35999999999999899</v>
      </c>
      <c r="M230" s="176">
        <v>0.35999999999999899</v>
      </c>
      <c r="N230" s="176">
        <v>0.35999999999999899</v>
      </c>
      <c r="O230" s="176">
        <v>0.35999999999999899</v>
      </c>
      <c r="P230" s="177">
        <v>1464.6</v>
      </c>
      <c r="Q230" s="177">
        <v>932.5</v>
      </c>
      <c r="R230" s="177">
        <v>1478.5</v>
      </c>
      <c r="S230" s="178">
        <f t="shared" si="200"/>
        <v>2.7524901334335699</v>
      </c>
      <c r="T230" s="178">
        <f t="shared" si="201"/>
        <v>2.7078754578754598</v>
      </c>
      <c r="U230" s="179">
        <f t="shared" si="202"/>
        <v>2.68241758241758</v>
      </c>
      <c r="V230" s="198"/>
      <c r="W230" s="198"/>
      <c r="X230" s="198"/>
      <c r="Y230" s="198"/>
      <c r="Z230" s="199"/>
      <c r="AA230" s="199"/>
      <c r="AB230" s="199"/>
      <c r="AI230" s="190"/>
      <c r="AJ230" s="191"/>
    </row>
    <row r="231" spans="1:36">
      <c r="A231" s="159" t="s">
        <v>146</v>
      </c>
      <c r="B231" s="159" t="s">
        <v>82</v>
      </c>
      <c r="C231" s="168" t="s">
        <v>65</v>
      </c>
      <c r="D231" s="176">
        <v>100</v>
      </c>
      <c r="E231" s="176">
        <v>100</v>
      </c>
      <c r="F231" s="176">
        <v>100</v>
      </c>
      <c r="G231" s="176">
        <v>100</v>
      </c>
      <c r="H231" s="176">
        <v>100</v>
      </c>
      <c r="I231" s="176">
        <v>99.9</v>
      </c>
      <c r="J231" s="176">
        <v>83.5</v>
      </c>
      <c r="K231" s="176">
        <v>56.8</v>
      </c>
      <c r="L231" s="176">
        <v>39.9</v>
      </c>
      <c r="M231" s="176">
        <v>20.6</v>
      </c>
      <c r="N231" s="176">
        <v>10.9</v>
      </c>
      <c r="O231" s="176">
        <v>8.1</v>
      </c>
      <c r="V231" s="198">
        <v>296.10000000000002</v>
      </c>
      <c r="W231" s="198">
        <v>641.5</v>
      </c>
      <c r="X231" s="198">
        <v>829</v>
      </c>
      <c r="Y231" s="198">
        <v>300</v>
      </c>
      <c r="Z231" s="201">
        <f>V231/(V231+W231-X231)</f>
        <v>2.7265193370165699</v>
      </c>
      <c r="AA231" s="201">
        <f>Y231/(Y231+W231-X231)</f>
        <v>2.6666666666666701</v>
      </c>
      <c r="AB231" s="201">
        <f>V231/(Y231+W231-X231)</f>
        <v>2.6320000000000001</v>
      </c>
      <c r="AI231" s="190"/>
      <c r="AJ231" s="191"/>
    </row>
    <row r="232" spans="1:36">
      <c r="A232" s="159" t="s">
        <v>146</v>
      </c>
      <c r="B232" s="159" t="s">
        <v>74</v>
      </c>
      <c r="C232" s="168" t="s">
        <v>111</v>
      </c>
      <c r="D232" s="176">
        <v>100</v>
      </c>
      <c r="E232" s="176">
        <v>100</v>
      </c>
      <c r="F232" s="176">
        <v>100</v>
      </c>
      <c r="G232" s="176">
        <v>100</v>
      </c>
      <c r="H232" s="176">
        <v>90.7401923251022</v>
      </c>
      <c r="I232" s="176">
        <v>61.525657924012101</v>
      </c>
      <c r="J232" s="176">
        <v>45.323296133703799</v>
      </c>
      <c r="K232" s="176">
        <v>29.587016597898799</v>
      </c>
      <c r="L232" s="176">
        <v>22.913754451756901</v>
      </c>
      <c r="M232" s="176">
        <v>17.4996432456817</v>
      </c>
      <c r="N232" s="176">
        <v>13.9721869730202</v>
      </c>
      <c r="O232" s="176">
        <v>12.4397929137084</v>
      </c>
      <c r="P232" s="177">
        <v>790.7</v>
      </c>
      <c r="Q232" s="177">
        <v>520.5</v>
      </c>
      <c r="R232" s="177">
        <v>801</v>
      </c>
      <c r="S232" s="178">
        <f t="shared" ref="S232:S234" si="203">P232/(P232-Q232)</f>
        <v>2.9263508512213199</v>
      </c>
      <c r="T232" s="178">
        <f t="shared" ref="T232:T234" si="204">R232/(R232-Q232)</f>
        <v>2.8556149732620302</v>
      </c>
      <c r="U232" s="179">
        <f t="shared" ref="U232:U234" si="205">P232/(R232-Q232)</f>
        <v>2.8188948306595401</v>
      </c>
      <c r="V232" s="198"/>
      <c r="W232" s="198"/>
      <c r="X232" s="198"/>
      <c r="Y232" s="198"/>
      <c r="Z232" s="199"/>
      <c r="AA232" s="199"/>
      <c r="AB232" s="199"/>
      <c r="AG232" s="183">
        <v>1048.4000000000001</v>
      </c>
      <c r="AH232" s="183">
        <f>1048.4-42.5</f>
        <v>1005.9</v>
      </c>
      <c r="AI232" s="190">
        <f t="shared" ref="AI232" si="206">100*AJ232/(100+AJ232)</f>
        <v>3.59129379256937</v>
      </c>
      <c r="AJ232" s="191">
        <f>100*(AG232-AH232)/AH232-0.5</f>
        <v>3.7250720747589199</v>
      </c>
    </row>
    <row r="233" spans="1:36">
      <c r="A233" s="159" t="s">
        <v>147</v>
      </c>
      <c r="B233" s="159" t="s">
        <v>81</v>
      </c>
      <c r="C233" s="168" t="s">
        <v>79</v>
      </c>
      <c r="D233" s="176">
        <v>100</v>
      </c>
      <c r="E233" s="176">
        <v>100</v>
      </c>
      <c r="F233" s="176">
        <v>100</v>
      </c>
      <c r="G233" s="176">
        <v>93.4</v>
      </c>
      <c r="H233" s="176">
        <v>21.7</v>
      </c>
      <c r="I233" s="176">
        <v>0.5</v>
      </c>
      <c r="J233" s="176">
        <v>0.4</v>
      </c>
      <c r="K233" s="176">
        <v>0.4</v>
      </c>
      <c r="L233" s="176">
        <v>0.4</v>
      </c>
      <c r="M233" s="176">
        <v>0.4</v>
      </c>
      <c r="N233" s="176">
        <v>0.4</v>
      </c>
      <c r="O233" s="176">
        <v>0.4</v>
      </c>
      <c r="P233" s="177">
        <v>1983.2</v>
      </c>
      <c r="Q233" s="177">
        <v>1267.4000000000001</v>
      </c>
      <c r="R233" s="177">
        <v>2001.6</v>
      </c>
      <c r="S233" s="178">
        <f t="shared" si="203"/>
        <v>2.77060631461302</v>
      </c>
      <c r="T233" s="178">
        <f t="shared" si="204"/>
        <v>2.7262326341596301</v>
      </c>
      <c r="U233" s="179">
        <f t="shared" si="205"/>
        <v>2.70117134295832</v>
      </c>
      <c r="V233" s="198"/>
      <c r="W233" s="198"/>
      <c r="X233" s="198"/>
      <c r="Y233" s="198"/>
      <c r="Z233" s="199"/>
      <c r="AA233" s="199"/>
      <c r="AB233" s="199"/>
      <c r="AI233" s="190"/>
      <c r="AJ233" s="191"/>
    </row>
    <row r="234" spans="1:36">
      <c r="A234" s="159" t="s">
        <v>147</v>
      </c>
      <c r="B234" s="159" t="s">
        <v>81</v>
      </c>
      <c r="C234" s="168" t="s">
        <v>63</v>
      </c>
      <c r="D234" s="176">
        <v>100</v>
      </c>
      <c r="E234" s="176">
        <v>100</v>
      </c>
      <c r="F234" s="176">
        <v>100</v>
      </c>
      <c r="G234" s="176">
        <v>100</v>
      </c>
      <c r="H234" s="176">
        <v>92.5</v>
      </c>
      <c r="I234" s="176">
        <v>7.4</v>
      </c>
      <c r="J234" s="176">
        <v>0.35999999999999899</v>
      </c>
      <c r="K234" s="176">
        <v>0.35999999999999899</v>
      </c>
      <c r="L234" s="176">
        <v>0.35999999999999899</v>
      </c>
      <c r="M234" s="176">
        <v>0.35999999999999899</v>
      </c>
      <c r="N234" s="176">
        <v>0.35999999999999899</v>
      </c>
      <c r="O234" s="176">
        <v>0.35999999999999899</v>
      </c>
      <c r="P234" s="177">
        <v>1464.6</v>
      </c>
      <c r="Q234" s="177">
        <v>932.5</v>
      </c>
      <c r="R234" s="177">
        <v>1478.5</v>
      </c>
      <c r="S234" s="178">
        <f t="shared" si="203"/>
        <v>2.7524901334335699</v>
      </c>
      <c r="T234" s="178">
        <f t="shared" si="204"/>
        <v>2.7078754578754598</v>
      </c>
      <c r="U234" s="179">
        <f t="shared" si="205"/>
        <v>2.68241758241758</v>
      </c>
      <c r="V234" s="198"/>
      <c r="W234" s="198"/>
      <c r="X234" s="198"/>
      <c r="Y234" s="198"/>
      <c r="Z234" s="199"/>
      <c r="AA234" s="199"/>
      <c r="AB234" s="199"/>
      <c r="AI234" s="190"/>
      <c r="AJ234" s="191"/>
    </row>
    <row r="235" spans="1:36">
      <c r="A235" s="159" t="s">
        <v>147</v>
      </c>
      <c r="B235" s="159" t="s">
        <v>82</v>
      </c>
      <c r="C235" s="168" t="s">
        <v>65</v>
      </c>
      <c r="D235" s="176">
        <v>100</v>
      </c>
      <c r="E235" s="176">
        <v>100</v>
      </c>
      <c r="F235" s="176">
        <v>100</v>
      </c>
      <c r="G235" s="176">
        <v>100</v>
      </c>
      <c r="H235" s="176">
        <v>100</v>
      </c>
      <c r="I235" s="176">
        <v>99.9</v>
      </c>
      <c r="J235" s="176">
        <v>83.5</v>
      </c>
      <c r="K235" s="176">
        <v>56.8</v>
      </c>
      <c r="L235" s="176">
        <v>39.9</v>
      </c>
      <c r="M235" s="176">
        <v>20.6</v>
      </c>
      <c r="N235" s="176">
        <v>10.9</v>
      </c>
      <c r="O235" s="176">
        <v>8.1</v>
      </c>
      <c r="V235" s="198">
        <v>296.10000000000002</v>
      </c>
      <c r="W235" s="198">
        <v>641.5</v>
      </c>
      <c r="X235" s="198">
        <v>829</v>
      </c>
      <c r="Y235" s="198">
        <v>300</v>
      </c>
      <c r="Z235" s="201">
        <f>V235/(V235+W235-X235)</f>
        <v>2.7265193370165699</v>
      </c>
      <c r="AA235" s="201">
        <f>Y235/(Y235+W235-X235)</f>
        <v>2.6666666666666701</v>
      </c>
      <c r="AB235" s="201">
        <f>V235/(Y235+W235-X235)</f>
        <v>2.6320000000000001</v>
      </c>
      <c r="AI235" s="190"/>
      <c r="AJ235" s="191"/>
    </row>
    <row r="236" spans="1:36">
      <c r="A236" s="159" t="s">
        <v>147</v>
      </c>
      <c r="B236" s="159" t="s">
        <v>74</v>
      </c>
      <c r="C236" s="168" t="s">
        <v>79</v>
      </c>
      <c r="D236" s="176">
        <v>100</v>
      </c>
      <c r="E236" s="176">
        <v>100</v>
      </c>
      <c r="F236" s="176">
        <v>100</v>
      </c>
      <c r="G236" s="176">
        <v>100</v>
      </c>
      <c r="H236" s="176">
        <v>90.7401923251022</v>
      </c>
      <c r="I236" s="176">
        <v>61.525657924012101</v>
      </c>
      <c r="J236" s="176">
        <v>45.323296133703799</v>
      </c>
      <c r="K236" s="176">
        <v>29.587016597898799</v>
      </c>
      <c r="L236" s="176">
        <v>22.913754451756901</v>
      </c>
      <c r="M236" s="176">
        <v>17.4996432456817</v>
      </c>
      <c r="N236" s="176">
        <v>13.9721869730202</v>
      </c>
      <c r="O236" s="176">
        <v>12.4397929137084</v>
      </c>
      <c r="P236" s="177">
        <v>790.7</v>
      </c>
      <c r="Q236" s="177">
        <v>520.5</v>
      </c>
      <c r="R236" s="177">
        <v>801</v>
      </c>
      <c r="S236" s="178">
        <f t="shared" ref="S236:S239" si="207">P236/(P236-Q236)</f>
        <v>2.9263508512213199</v>
      </c>
      <c r="T236" s="178">
        <f t="shared" ref="T236:T239" si="208">R236/(R236-Q236)</f>
        <v>2.8556149732620302</v>
      </c>
      <c r="U236" s="179">
        <f t="shared" ref="U236:U239" si="209">P236/(R236-Q236)</f>
        <v>2.8188948306595401</v>
      </c>
      <c r="V236" s="198"/>
      <c r="W236" s="198"/>
      <c r="X236" s="198"/>
      <c r="Y236" s="198"/>
      <c r="Z236" s="199"/>
      <c r="AA236" s="199"/>
      <c r="AB236" s="199"/>
      <c r="AG236" s="183">
        <v>1048.4000000000001</v>
      </c>
      <c r="AH236" s="183">
        <f>1048.4-42.5</f>
        <v>1005.9</v>
      </c>
      <c r="AI236" s="190">
        <f t="shared" ref="AI236:AI237" si="210">100*AJ236/(100+AJ236)</f>
        <v>3.59129379256937</v>
      </c>
      <c r="AJ236" s="191">
        <f t="shared" ref="AJ236:AJ237" si="211">100*(AG236-AH236)/AH236-0.5</f>
        <v>3.7250720747589199</v>
      </c>
    </row>
    <row r="237" spans="1:36">
      <c r="A237" s="159" t="s">
        <v>147</v>
      </c>
      <c r="B237" s="159" t="s">
        <v>74</v>
      </c>
      <c r="C237" s="168" t="s">
        <v>68</v>
      </c>
      <c r="D237" s="176">
        <v>100</v>
      </c>
      <c r="E237" s="176">
        <v>100</v>
      </c>
      <c r="F237" s="176">
        <v>100</v>
      </c>
      <c r="G237" s="176">
        <v>100</v>
      </c>
      <c r="H237" s="176">
        <v>90.7401923251022</v>
      </c>
      <c r="I237" s="176">
        <v>61.525657924012101</v>
      </c>
      <c r="J237" s="176">
        <v>45.323296133703799</v>
      </c>
      <c r="K237" s="176">
        <v>29.587016597898799</v>
      </c>
      <c r="L237" s="176">
        <v>22.913754451756901</v>
      </c>
      <c r="M237" s="176">
        <v>17.4996432456817</v>
      </c>
      <c r="N237" s="176">
        <v>13.9721869730202</v>
      </c>
      <c r="O237" s="176">
        <v>12.4397929137084</v>
      </c>
      <c r="P237" s="177">
        <v>790.7</v>
      </c>
      <c r="Q237" s="177">
        <v>520.5</v>
      </c>
      <c r="R237" s="177">
        <v>801</v>
      </c>
      <c r="S237" s="178">
        <f t="shared" si="207"/>
        <v>2.9263508512213199</v>
      </c>
      <c r="T237" s="178">
        <f t="shared" si="208"/>
        <v>2.8556149732620302</v>
      </c>
      <c r="U237" s="179">
        <f t="shared" si="209"/>
        <v>2.8188948306595401</v>
      </c>
      <c r="V237" s="198"/>
      <c r="W237" s="198"/>
      <c r="X237" s="198"/>
      <c r="Y237" s="198"/>
      <c r="Z237" s="199"/>
      <c r="AA237" s="199"/>
      <c r="AB237" s="199"/>
      <c r="AG237" s="183">
        <v>878.2</v>
      </c>
      <c r="AH237" s="183">
        <f>878.2-58.5</f>
        <v>819.7</v>
      </c>
      <c r="AI237" s="190">
        <f t="shared" si="210"/>
        <v>6.22370514179417</v>
      </c>
      <c r="AJ237" s="191">
        <f t="shared" si="211"/>
        <v>6.6367573502500896</v>
      </c>
    </row>
    <row r="238" spans="1:36">
      <c r="A238" s="159" t="s">
        <v>148</v>
      </c>
      <c r="B238" s="159" t="s">
        <v>81</v>
      </c>
      <c r="C238" s="168" t="s">
        <v>79</v>
      </c>
      <c r="D238" s="176">
        <v>100</v>
      </c>
      <c r="E238" s="176">
        <v>100</v>
      </c>
      <c r="F238" s="176">
        <v>100</v>
      </c>
      <c r="G238" s="176">
        <v>93.4</v>
      </c>
      <c r="H238" s="176">
        <v>21.7</v>
      </c>
      <c r="I238" s="176">
        <v>0.5</v>
      </c>
      <c r="J238" s="176">
        <v>0.4</v>
      </c>
      <c r="K238" s="176">
        <v>0.4</v>
      </c>
      <c r="L238" s="176">
        <v>0.4</v>
      </c>
      <c r="M238" s="176">
        <v>0.4</v>
      </c>
      <c r="N238" s="176">
        <v>0.4</v>
      </c>
      <c r="O238" s="176">
        <v>0.4</v>
      </c>
      <c r="P238" s="177">
        <v>1983.2</v>
      </c>
      <c r="Q238" s="177">
        <v>1267.4000000000001</v>
      </c>
      <c r="R238" s="177">
        <v>2001.6</v>
      </c>
      <c r="S238" s="178">
        <f t="shared" si="207"/>
        <v>2.77060631461302</v>
      </c>
      <c r="T238" s="178">
        <f t="shared" si="208"/>
        <v>2.7262326341596301</v>
      </c>
      <c r="U238" s="179">
        <f t="shared" si="209"/>
        <v>2.70117134295832</v>
      </c>
      <c r="V238" s="198"/>
      <c r="W238" s="198"/>
      <c r="X238" s="198"/>
      <c r="Y238" s="198"/>
      <c r="Z238" s="199"/>
      <c r="AA238" s="199"/>
      <c r="AB238" s="199"/>
      <c r="AI238" s="190"/>
      <c r="AJ238" s="191"/>
    </row>
    <row r="239" spans="1:36">
      <c r="A239" s="159" t="s">
        <v>148</v>
      </c>
      <c r="B239" s="159" t="s">
        <v>81</v>
      </c>
      <c r="C239" s="168" t="s">
        <v>63</v>
      </c>
      <c r="D239" s="176">
        <v>100</v>
      </c>
      <c r="E239" s="176">
        <v>100</v>
      </c>
      <c r="F239" s="176">
        <v>100</v>
      </c>
      <c r="G239" s="176">
        <v>100</v>
      </c>
      <c r="H239" s="176">
        <v>92.5</v>
      </c>
      <c r="I239" s="176">
        <v>7.4</v>
      </c>
      <c r="J239" s="176">
        <v>0.35999999999999899</v>
      </c>
      <c r="K239" s="176">
        <v>0.35999999999999899</v>
      </c>
      <c r="L239" s="176">
        <v>0.35999999999999899</v>
      </c>
      <c r="M239" s="176">
        <v>0.35999999999999899</v>
      </c>
      <c r="N239" s="176">
        <v>0.35999999999999899</v>
      </c>
      <c r="O239" s="176">
        <v>0.35999999999999899</v>
      </c>
      <c r="P239" s="177">
        <v>1464.6</v>
      </c>
      <c r="Q239" s="177">
        <v>932.5</v>
      </c>
      <c r="R239" s="177">
        <v>1478.5</v>
      </c>
      <c r="S239" s="178">
        <f t="shared" si="207"/>
        <v>2.7524901334335699</v>
      </c>
      <c r="T239" s="178">
        <f t="shared" si="208"/>
        <v>2.7078754578754598</v>
      </c>
      <c r="U239" s="179">
        <f t="shared" si="209"/>
        <v>2.68241758241758</v>
      </c>
      <c r="V239" s="198"/>
      <c r="W239" s="198"/>
      <c r="X239" s="198"/>
      <c r="Y239" s="198"/>
      <c r="Z239" s="199"/>
      <c r="AA239" s="199"/>
      <c r="AB239" s="199"/>
      <c r="AI239" s="190"/>
      <c r="AJ239" s="191"/>
    </row>
    <row r="240" spans="1:36">
      <c r="A240" s="159" t="s">
        <v>148</v>
      </c>
      <c r="B240" s="159" t="s">
        <v>82</v>
      </c>
      <c r="C240" s="168" t="s">
        <v>65</v>
      </c>
      <c r="D240" s="176">
        <v>100</v>
      </c>
      <c r="E240" s="176">
        <v>100</v>
      </c>
      <c r="F240" s="176">
        <v>100</v>
      </c>
      <c r="G240" s="176">
        <v>100</v>
      </c>
      <c r="H240" s="176">
        <v>100</v>
      </c>
      <c r="I240" s="176">
        <v>99.9</v>
      </c>
      <c r="J240" s="176">
        <v>83.5</v>
      </c>
      <c r="K240" s="176">
        <v>56.8</v>
      </c>
      <c r="L240" s="176">
        <v>39.9</v>
      </c>
      <c r="M240" s="176">
        <v>20.6</v>
      </c>
      <c r="N240" s="176">
        <v>10.9</v>
      </c>
      <c r="O240" s="176">
        <v>8.1</v>
      </c>
      <c r="V240" s="198">
        <v>296.10000000000002</v>
      </c>
      <c r="W240" s="198">
        <v>641.5</v>
      </c>
      <c r="X240" s="198">
        <v>829</v>
      </c>
      <c r="Y240" s="198">
        <v>300</v>
      </c>
      <c r="Z240" s="201">
        <f>V240/(V240+W240-X240)</f>
        <v>2.7265193370165699</v>
      </c>
      <c r="AA240" s="201">
        <f>Y240/(Y240+W240-X240)</f>
        <v>2.6666666666666701</v>
      </c>
      <c r="AB240" s="201">
        <f>V240/(Y240+W240-X240)</f>
        <v>2.6320000000000001</v>
      </c>
      <c r="AI240" s="190"/>
      <c r="AJ240" s="191"/>
    </row>
    <row r="241" spans="1:36">
      <c r="A241" s="159" t="s">
        <v>148</v>
      </c>
      <c r="B241" s="159" t="s">
        <v>74</v>
      </c>
      <c r="C241" s="168" t="s">
        <v>111</v>
      </c>
      <c r="D241" s="176">
        <v>100</v>
      </c>
      <c r="E241" s="176">
        <v>100</v>
      </c>
      <c r="F241" s="176">
        <v>100</v>
      </c>
      <c r="G241" s="176">
        <v>98.485228335785195</v>
      </c>
      <c r="H241" s="176">
        <v>89.136849822306402</v>
      </c>
      <c r="I241" s="176">
        <v>45.158123478754099</v>
      </c>
      <c r="J241" s="176">
        <v>27.377295960003998</v>
      </c>
      <c r="K241" s="176">
        <v>19.784845785131601</v>
      </c>
      <c r="L241" s="176">
        <v>15.805131779280901</v>
      </c>
      <c r="M241" s="176">
        <v>11.8304038389502</v>
      </c>
      <c r="N241" s="176">
        <v>9.2004542726004406</v>
      </c>
      <c r="O241" s="176">
        <v>8.0332743005289107</v>
      </c>
      <c r="P241" s="177">
        <v>1259.3</v>
      </c>
      <c r="Q241" s="177">
        <v>800.9</v>
      </c>
      <c r="R241" s="177">
        <v>1278.8</v>
      </c>
      <c r="S241" s="178">
        <f t="shared" ref="S241:S243" si="212">P241/(P241-Q241)</f>
        <v>2.7471640488656202</v>
      </c>
      <c r="T241" s="178">
        <f t="shared" ref="T241:T243" si="213">R241/(R241-Q241)</f>
        <v>2.6758736137267198</v>
      </c>
      <c r="U241" s="179">
        <f t="shared" ref="U241:U243" si="214">P241/(R241-Q241)</f>
        <v>2.63507009834693</v>
      </c>
      <c r="V241" s="198"/>
      <c r="W241" s="198"/>
      <c r="X241" s="198"/>
      <c r="Y241" s="198"/>
      <c r="Z241" s="199"/>
      <c r="AA241" s="199"/>
      <c r="AB241" s="199"/>
      <c r="AG241" s="183">
        <v>1112.5999999999999</v>
      </c>
      <c r="AH241" s="183">
        <f>1112.6-41.8</f>
        <v>1070.8</v>
      </c>
      <c r="AI241" s="190">
        <f t="shared" ref="AI241" si="215">100*AJ241/(100+AJ241)</f>
        <v>3.29159012541025</v>
      </c>
      <c r="AJ241" s="191">
        <f>100*(AG241-AH241)/AH241-0.5</f>
        <v>3.4036234590959999</v>
      </c>
    </row>
    <row r="242" spans="1:36">
      <c r="A242" s="159" t="s">
        <v>149</v>
      </c>
      <c r="B242" s="159" t="s">
        <v>81</v>
      </c>
      <c r="C242" s="168" t="s">
        <v>79</v>
      </c>
      <c r="D242" s="176">
        <v>100</v>
      </c>
      <c r="E242" s="176">
        <v>100</v>
      </c>
      <c r="F242" s="176">
        <v>100</v>
      </c>
      <c r="G242" s="176">
        <v>93.4</v>
      </c>
      <c r="H242" s="176">
        <v>21.7</v>
      </c>
      <c r="I242" s="176">
        <v>0.5</v>
      </c>
      <c r="J242" s="176">
        <v>0.4</v>
      </c>
      <c r="K242" s="176">
        <v>0.4</v>
      </c>
      <c r="L242" s="176">
        <v>0.4</v>
      </c>
      <c r="M242" s="176">
        <v>0.4</v>
      </c>
      <c r="N242" s="176">
        <v>0.4</v>
      </c>
      <c r="O242" s="176">
        <v>0.4</v>
      </c>
      <c r="P242" s="177">
        <v>1123.0999999999999</v>
      </c>
      <c r="Q242" s="177">
        <v>743.6</v>
      </c>
      <c r="R242" s="177">
        <v>1129.3</v>
      </c>
      <c r="S242" s="178">
        <f t="shared" si="212"/>
        <v>2.9594202898550699</v>
      </c>
      <c r="T242" s="178">
        <f t="shared" si="213"/>
        <v>2.9279232564169</v>
      </c>
      <c r="U242" s="179">
        <f t="shared" si="214"/>
        <v>2.9118485869846999</v>
      </c>
      <c r="V242" s="198"/>
      <c r="W242" s="198"/>
      <c r="X242" s="198"/>
      <c r="Y242" s="198"/>
      <c r="Z242" s="199"/>
      <c r="AA242" s="199"/>
      <c r="AB242" s="199"/>
      <c r="AI242" s="190"/>
      <c r="AJ242" s="191"/>
    </row>
    <row r="243" spans="1:36">
      <c r="A243" s="159" t="s">
        <v>149</v>
      </c>
      <c r="B243" s="159" t="s">
        <v>81</v>
      </c>
      <c r="C243" s="168" t="s">
        <v>63</v>
      </c>
      <c r="D243" s="176">
        <v>100</v>
      </c>
      <c r="E243" s="176">
        <v>100</v>
      </c>
      <c r="F243" s="176">
        <v>100</v>
      </c>
      <c r="G243" s="176">
        <v>100</v>
      </c>
      <c r="H243" s="176">
        <v>92.5</v>
      </c>
      <c r="I243" s="176">
        <v>7.4</v>
      </c>
      <c r="J243" s="176">
        <v>0.35999999999999899</v>
      </c>
      <c r="K243" s="176">
        <v>0.35999999999999899</v>
      </c>
      <c r="L243" s="176">
        <v>0.35999999999999899</v>
      </c>
      <c r="M243" s="176">
        <v>0.35999999999999899</v>
      </c>
      <c r="N243" s="176">
        <v>0.35999999999999899</v>
      </c>
      <c r="O243" s="176">
        <v>0.35999999999999899</v>
      </c>
      <c r="P243" s="177">
        <v>1074.0999999999999</v>
      </c>
      <c r="Q243" s="177">
        <v>725.3</v>
      </c>
      <c r="R243" s="177">
        <v>1083.8</v>
      </c>
      <c r="S243" s="178">
        <f t="shared" si="212"/>
        <v>3.0794151376146801</v>
      </c>
      <c r="T243" s="178">
        <f t="shared" si="213"/>
        <v>3.0231520223152</v>
      </c>
      <c r="U243" s="179">
        <f t="shared" si="214"/>
        <v>2.99609483960948</v>
      </c>
      <c r="V243" s="198"/>
      <c r="W243" s="198"/>
      <c r="X243" s="198"/>
      <c r="Y243" s="198"/>
      <c r="Z243" s="199"/>
      <c r="AA243" s="199"/>
      <c r="AB243" s="199"/>
      <c r="AI243" s="190"/>
      <c r="AJ243" s="191"/>
    </row>
    <row r="244" spans="1:36">
      <c r="A244" s="159" t="s">
        <v>149</v>
      </c>
      <c r="B244" s="159" t="s">
        <v>82</v>
      </c>
      <c r="C244" s="168" t="s">
        <v>65</v>
      </c>
      <c r="D244" s="176">
        <v>100</v>
      </c>
      <c r="E244" s="176">
        <v>100</v>
      </c>
      <c r="F244" s="176">
        <v>100</v>
      </c>
      <c r="G244" s="176">
        <v>100</v>
      </c>
      <c r="H244" s="176">
        <v>100</v>
      </c>
      <c r="I244" s="176">
        <v>99.9</v>
      </c>
      <c r="J244" s="176">
        <v>83.5</v>
      </c>
      <c r="K244" s="176">
        <v>56.8</v>
      </c>
      <c r="L244" s="176">
        <v>39.9</v>
      </c>
      <c r="M244" s="176">
        <v>20.6</v>
      </c>
      <c r="N244" s="176">
        <v>10.9</v>
      </c>
      <c r="O244" s="176">
        <v>8.1</v>
      </c>
      <c r="V244" s="198">
        <v>298.39999999999998</v>
      </c>
      <c r="W244" s="198">
        <v>642.29999999999995</v>
      </c>
      <c r="X244" s="198">
        <v>839.1</v>
      </c>
      <c r="Y244" s="198">
        <v>300</v>
      </c>
      <c r="Z244" s="201">
        <f>V244/(V244+W244-X244)</f>
        <v>2.9370078740157499</v>
      </c>
      <c r="AA244" s="201">
        <f>Y244/(Y244+W244-X244)</f>
        <v>2.9069767441860499</v>
      </c>
      <c r="AB244" s="201">
        <f>V244/(Y244+W244-X244)</f>
        <v>2.8914728682170598</v>
      </c>
      <c r="AI244" s="190"/>
      <c r="AJ244" s="191"/>
    </row>
    <row r="245" spans="1:36">
      <c r="A245" s="159" t="s">
        <v>149</v>
      </c>
      <c r="B245" s="159" t="s">
        <v>74</v>
      </c>
      <c r="C245" s="168" t="s">
        <v>79</v>
      </c>
      <c r="D245" s="176">
        <v>100</v>
      </c>
      <c r="E245" s="176">
        <v>100</v>
      </c>
      <c r="F245" s="176">
        <v>100</v>
      </c>
      <c r="G245" s="176">
        <v>100</v>
      </c>
      <c r="H245" s="176">
        <v>90.7401923251022</v>
      </c>
      <c r="I245" s="176">
        <v>61.525657924012101</v>
      </c>
      <c r="J245" s="176">
        <v>45.323296133703799</v>
      </c>
      <c r="K245" s="176">
        <v>29.587016597898799</v>
      </c>
      <c r="L245" s="176">
        <v>22.913754451756901</v>
      </c>
      <c r="M245" s="176">
        <v>17.4996432456817</v>
      </c>
      <c r="N245" s="176">
        <v>13.9721869730202</v>
      </c>
      <c r="O245" s="176">
        <v>12.4397929137084</v>
      </c>
      <c r="P245" s="177">
        <v>721.1</v>
      </c>
      <c r="Q245" s="177">
        <v>467.8</v>
      </c>
      <c r="R245" s="177">
        <v>732.8</v>
      </c>
      <c r="S245" s="178">
        <f t="shared" ref="S245" si="216">P245/(P245-Q245)</f>
        <v>2.8468219502566101</v>
      </c>
      <c r="T245" s="178">
        <f t="shared" ref="T245" si="217">R245/(R245-Q245)</f>
        <v>2.76528301886793</v>
      </c>
      <c r="U245" s="179">
        <f t="shared" ref="U245" si="218">P245/(R245-Q245)</f>
        <v>2.7211320754716999</v>
      </c>
      <c r="V245" s="198"/>
      <c r="W245" s="198"/>
      <c r="X245" s="198"/>
      <c r="Y245" s="198"/>
      <c r="Z245" s="199"/>
      <c r="AA245" s="199"/>
      <c r="AB245" s="199"/>
      <c r="AG245" s="183">
        <v>1128.2</v>
      </c>
      <c r="AH245" s="183">
        <f>1128.2-39.1</f>
        <v>1089.0999999999999</v>
      </c>
      <c r="AI245" s="190">
        <f t="shared" ref="AI245:AI246" si="219">100*AJ245/(100+AJ245)</f>
        <v>2.99749410935337</v>
      </c>
      <c r="AJ245" s="191">
        <f t="shared" ref="AJ245:AJ246" si="220">100*(AG245-AH245)/AH245-0.5</f>
        <v>3.0901202828023</v>
      </c>
    </row>
    <row r="246" spans="1:36">
      <c r="A246" s="159" t="s">
        <v>149</v>
      </c>
      <c r="B246" s="159" t="s">
        <v>74</v>
      </c>
      <c r="C246" s="168" t="s">
        <v>68</v>
      </c>
      <c r="D246" s="176">
        <v>100</v>
      </c>
      <c r="E246" s="176">
        <v>100</v>
      </c>
      <c r="F246" s="176">
        <v>100</v>
      </c>
      <c r="G246" s="176">
        <v>100</v>
      </c>
      <c r="H246" s="176">
        <v>90.7401923251022</v>
      </c>
      <c r="I246" s="176">
        <v>61.525657924012101</v>
      </c>
      <c r="J246" s="176">
        <v>45.323296133703799</v>
      </c>
      <c r="K246" s="176">
        <v>29.587016597898799</v>
      </c>
      <c r="L246" s="176">
        <v>22.913754451756901</v>
      </c>
      <c r="M246" s="176">
        <v>17.4996432456817</v>
      </c>
      <c r="N246" s="176">
        <v>13.9721869730202</v>
      </c>
      <c r="O246" s="176">
        <v>12.4397929137084</v>
      </c>
      <c r="V246" s="198">
        <v>292</v>
      </c>
      <c r="W246" s="198">
        <v>766.7</v>
      </c>
      <c r="X246" s="198">
        <v>954.1</v>
      </c>
      <c r="Y246" s="198">
        <v>300.7</v>
      </c>
      <c r="Z246" s="201">
        <f>V246/(V246+W246-X246)</f>
        <v>2.7915869980879502</v>
      </c>
      <c r="AA246" s="201">
        <f>Y246/(Y246+W246-X246)</f>
        <v>2.6540158870255901</v>
      </c>
      <c r="AB246" s="201">
        <f>V246/(Y246+W246-X246)</f>
        <v>2.5772285966460702</v>
      </c>
      <c r="AG246" s="183">
        <v>999.9</v>
      </c>
      <c r="AH246" s="183">
        <f>999.9-55.2</f>
        <v>944.7</v>
      </c>
      <c r="AI246" s="190">
        <f t="shared" si="219"/>
        <v>5.0721153483829298</v>
      </c>
      <c r="AJ246" s="191">
        <f t="shared" si="220"/>
        <v>5.3431248015242998</v>
      </c>
    </row>
  </sheetData>
  <sheetProtection formatCells="0" insertHyperlinks="0" autoFilter="0"/>
  <autoFilter ref="A1:C246" xr:uid="{00000000-0009-0000-0000-000001000000}"/>
  <mergeCells count="17">
    <mergeCell ref="Y1:Y2"/>
    <mergeCell ref="AI1:AI2"/>
    <mergeCell ref="AJ1:AJ2"/>
    <mergeCell ref="A1:A2"/>
    <mergeCell ref="B1:B2"/>
    <mergeCell ref="C1:C2"/>
    <mergeCell ref="P1:P2"/>
    <mergeCell ref="Q1:Q2"/>
    <mergeCell ref="D1:O1"/>
    <mergeCell ref="S1:U1"/>
    <mergeCell ref="Z1:AB1"/>
    <mergeCell ref="AC1:AF1"/>
    <mergeCell ref="AG1:AH1"/>
    <mergeCell ref="R1:R2"/>
    <mergeCell ref="V1:V2"/>
    <mergeCell ref="W1:W2"/>
    <mergeCell ref="X1:X2"/>
  </mergeCells>
  <phoneticPr fontId="3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U886"/>
  <sheetViews>
    <sheetView zoomScale="102" zoomScaleNormal="102" workbookViewId="0">
      <pane xSplit="6" ySplit="2" topLeftCell="G26" activePane="bottomRight" state="frozen"/>
      <selection pane="topRight"/>
      <selection pane="bottomLeft"/>
      <selection pane="bottomRight" activeCell="B1" sqref="B1:B1048576"/>
    </sheetView>
  </sheetViews>
  <sheetFormatPr defaultColWidth="9" defaultRowHeight="13.8"/>
  <cols>
    <col min="1" max="1" width="8.88671875" style="129"/>
    <col min="2" max="2" width="17" style="129" customWidth="1"/>
    <col min="3" max="3" width="8.88671875" style="129"/>
    <col min="4" max="4" width="11.109375" style="129" customWidth="1"/>
    <col min="5" max="5" width="12.6640625" style="129" customWidth="1"/>
    <col min="6" max="6" width="8.88671875" style="129"/>
    <col min="7" max="16" width="8.88671875" style="149"/>
    <col min="17" max="18" width="8.88671875" style="150"/>
    <col min="19" max="19" width="11.77734375" style="151" customWidth="1"/>
    <col min="20" max="20" width="14.109375" style="151" customWidth="1"/>
    <col min="21" max="22" width="8.88671875" style="151"/>
    <col min="23" max="23" width="20.6640625" style="152" customWidth="1"/>
    <col min="24" max="24" width="18.77734375" style="153" customWidth="1"/>
    <col min="25" max="26" width="25.6640625" style="152" customWidth="1"/>
    <col min="27" max="27" width="29.33203125" style="174" customWidth="1"/>
    <col min="28" max="28" width="22.6640625" style="153" customWidth="1"/>
    <col min="29" max="29" width="13.77734375" style="159" customWidth="1"/>
    <col min="30" max="30" width="8.88671875" style="153"/>
    <col min="31" max="32" width="13" style="154" customWidth="1"/>
  </cols>
  <sheetData>
    <row r="1" spans="1:47" ht="16.350000000000001" customHeight="1">
      <c r="A1" s="258" t="s">
        <v>35</v>
      </c>
      <c r="B1" s="258" t="s">
        <v>150</v>
      </c>
      <c r="C1" s="258" t="s">
        <v>36</v>
      </c>
      <c r="D1" s="283" t="s">
        <v>151</v>
      </c>
      <c r="E1" s="283" t="s">
        <v>152</v>
      </c>
      <c r="F1" s="276" t="s">
        <v>153</v>
      </c>
      <c r="G1" s="258" t="s">
        <v>154</v>
      </c>
      <c r="H1" s="258"/>
      <c r="I1" s="258"/>
      <c r="J1" s="258"/>
      <c r="K1" s="258"/>
      <c r="L1" s="258"/>
      <c r="M1" s="258"/>
      <c r="N1" s="258"/>
      <c r="O1" s="258"/>
      <c r="P1" s="258"/>
      <c r="Q1" s="258"/>
      <c r="R1" s="258"/>
      <c r="S1" s="269" t="s">
        <v>51</v>
      </c>
      <c r="T1" s="269" t="s">
        <v>155</v>
      </c>
      <c r="U1" s="152"/>
      <c r="V1" s="152"/>
      <c r="W1" s="277" t="s">
        <v>156</v>
      </c>
      <c r="X1" s="269" t="s">
        <v>157</v>
      </c>
      <c r="Y1" s="269" t="s">
        <v>158</v>
      </c>
      <c r="Z1" s="269" t="s">
        <v>159</v>
      </c>
      <c r="AA1" s="271" t="s">
        <v>160</v>
      </c>
      <c r="AB1" s="269" t="s">
        <v>161</v>
      </c>
      <c r="AC1" s="273" t="s">
        <v>162</v>
      </c>
      <c r="AD1" s="269" t="s">
        <v>163</v>
      </c>
      <c r="AE1" s="274" t="s">
        <v>517</v>
      </c>
      <c r="AF1" s="274" t="s">
        <v>164</v>
      </c>
    </row>
    <row r="2" spans="1:47" ht="13.65" customHeight="1">
      <c r="A2" s="258"/>
      <c r="B2" s="258"/>
      <c r="C2" s="258"/>
      <c r="D2" s="283"/>
      <c r="E2" s="276"/>
      <c r="F2" s="276"/>
      <c r="G2" s="157">
        <v>26.5</v>
      </c>
      <c r="H2" s="157">
        <v>19</v>
      </c>
      <c r="I2" s="157">
        <v>16</v>
      </c>
      <c r="J2" s="157">
        <v>13.2</v>
      </c>
      <c r="K2" s="157">
        <v>9.5</v>
      </c>
      <c r="L2" s="157">
        <v>4.75</v>
      </c>
      <c r="M2" s="157">
        <v>2.36</v>
      </c>
      <c r="N2" s="157">
        <v>1.18</v>
      </c>
      <c r="O2" s="157">
        <v>0.6</v>
      </c>
      <c r="P2" s="157">
        <v>0.3</v>
      </c>
      <c r="Q2" s="157">
        <v>0.15</v>
      </c>
      <c r="R2" s="157">
        <v>7.4999999999999997E-2</v>
      </c>
      <c r="S2" s="270"/>
      <c r="T2" s="270"/>
      <c r="U2" s="152"/>
      <c r="V2" s="152"/>
      <c r="W2" s="270"/>
      <c r="X2" s="270"/>
      <c r="Y2" s="270"/>
      <c r="Z2" s="270"/>
      <c r="AA2" s="272"/>
      <c r="AB2" s="270"/>
      <c r="AC2" s="258"/>
      <c r="AD2" s="270"/>
      <c r="AE2" s="274"/>
      <c r="AF2" s="274"/>
      <c r="AG2" s="281" t="s">
        <v>165</v>
      </c>
      <c r="AH2" s="282"/>
      <c r="AI2" s="282"/>
      <c r="AJ2" s="282"/>
      <c r="AK2" s="282"/>
      <c r="AL2" s="282"/>
      <c r="AM2" s="282"/>
      <c r="AN2" s="282"/>
      <c r="AO2" s="282"/>
      <c r="AP2" s="282"/>
      <c r="AQ2" s="282"/>
      <c r="AR2" s="282"/>
      <c r="AS2" s="282"/>
      <c r="AT2" s="282"/>
      <c r="AU2" s="282"/>
    </row>
    <row r="3" spans="1:47" ht="13.65" customHeight="1">
      <c r="A3" s="276" t="s">
        <v>60</v>
      </c>
      <c r="B3" s="275" t="s">
        <v>518</v>
      </c>
      <c r="C3" s="159" t="s">
        <v>81</v>
      </c>
      <c r="D3" s="129" t="s">
        <v>62</v>
      </c>
      <c r="E3" s="276">
        <v>0.5</v>
      </c>
      <c r="F3" s="129">
        <v>0.6</v>
      </c>
      <c r="G3" s="149">
        <v>100</v>
      </c>
      <c r="H3" s="149">
        <v>80.597089814350198</v>
      </c>
      <c r="I3" s="149">
        <v>50.546914199698897</v>
      </c>
      <c r="J3" s="149">
        <v>28.2589061716006</v>
      </c>
      <c r="K3" s="149">
        <v>2.6894129453085802</v>
      </c>
      <c r="L3" s="149">
        <v>0.48670346211740401</v>
      </c>
      <c r="M3" s="149">
        <v>0</v>
      </c>
      <c r="N3" s="149">
        <v>0</v>
      </c>
      <c r="O3" s="149">
        <v>0</v>
      </c>
      <c r="P3" s="149">
        <v>0</v>
      </c>
      <c r="Q3" s="149">
        <v>0</v>
      </c>
      <c r="R3" s="149">
        <v>0</v>
      </c>
      <c r="S3" s="153">
        <v>2.7450000000000001</v>
      </c>
      <c r="T3" s="153">
        <v>2.6880000000000002</v>
      </c>
      <c r="U3" s="138">
        <f>级配!F3/S3*E3</f>
        <v>0.109289617486339</v>
      </c>
      <c r="V3" s="138">
        <f>级配!F3/T3*E3</f>
        <v>0.111607142857143</v>
      </c>
      <c r="W3" s="138">
        <f>1/SUM(U3:U11)</f>
        <v>2.7740065190568202</v>
      </c>
      <c r="X3" s="138">
        <v>0.42299999999999999</v>
      </c>
      <c r="Y3" s="138">
        <f>0.033*X3*X3-0.2936*X3+0.9336</f>
        <v>0.81531185699999997</v>
      </c>
      <c r="Z3" s="138">
        <f>Y3*W3+(1-Y3)*AB3</f>
        <v>2.7560115167346799</v>
      </c>
      <c r="AA3" s="158">
        <v>2.57211369094688</v>
      </c>
      <c r="AB3" s="138">
        <f>1/SUM(V3:V11)</f>
        <v>2.6765719895313498</v>
      </c>
      <c r="AC3" s="160">
        <v>4.3</v>
      </c>
      <c r="AD3" s="138">
        <f>100*AC3/(100+AC3)</f>
        <v>4.1227229146692199</v>
      </c>
      <c r="AE3" s="156"/>
      <c r="AF3" s="156">
        <f>AC3-E10*F10*AE10-E10*F11*AE11</f>
        <v>2.48</v>
      </c>
      <c r="AG3" s="268" t="s">
        <v>166</v>
      </c>
      <c r="AH3" s="268"/>
      <c r="AI3" s="268" t="s">
        <v>167</v>
      </c>
      <c r="AJ3" s="268"/>
      <c r="AK3" s="268"/>
      <c r="AL3" s="268"/>
      <c r="AM3" s="268"/>
      <c r="AN3" s="268"/>
      <c r="AO3" s="268"/>
      <c r="AP3" s="268"/>
      <c r="AQ3" s="268"/>
      <c r="AR3" s="268"/>
      <c r="AS3" s="268"/>
      <c r="AT3" s="268"/>
      <c r="AU3" s="268"/>
    </row>
    <row r="4" spans="1:47" ht="15.6">
      <c r="A4" s="276"/>
      <c r="B4" s="276"/>
      <c r="C4" s="159" t="s">
        <v>81</v>
      </c>
      <c r="D4" s="157" t="s">
        <v>63</v>
      </c>
      <c r="E4" s="276"/>
      <c r="F4" s="129">
        <v>0.1</v>
      </c>
      <c r="G4" s="149">
        <v>100</v>
      </c>
      <c r="H4" s="149">
        <v>100</v>
      </c>
      <c r="I4" s="149">
        <v>100</v>
      </c>
      <c r="J4" s="149">
        <v>100</v>
      </c>
      <c r="K4" s="149">
        <v>80.597089814350198</v>
      </c>
      <c r="L4" s="149">
        <v>50.546914199698897</v>
      </c>
      <c r="M4" s="149">
        <v>28.2589061716006</v>
      </c>
      <c r="N4" s="149">
        <v>2.6894129453085802</v>
      </c>
      <c r="O4" s="149">
        <v>0.48670346211740401</v>
      </c>
      <c r="P4" s="149">
        <v>0</v>
      </c>
      <c r="Q4" s="149">
        <v>0</v>
      </c>
      <c r="R4" s="149">
        <v>0</v>
      </c>
      <c r="S4" s="153">
        <v>2.7450000000000001</v>
      </c>
      <c r="T4" s="153">
        <v>2.6869999999999998</v>
      </c>
      <c r="U4" s="138">
        <f>级配!F4/S4*E3</f>
        <v>1.82149362477231E-2</v>
      </c>
      <c r="V4" s="138">
        <f>级配!F4/T4*E3</f>
        <v>1.8608113137327902E-2</v>
      </c>
      <c r="W4" s="138"/>
      <c r="X4" s="138"/>
      <c r="Y4" s="138"/>
      <c r="Z4" s="162"/>
      <c r="AA4" s="158"/>
      <c r="AB4" s="138"/>
      <c r="AC4" s="160"/>
      <c r="AD4" s="136"/>
      <c r="AE4" s="156"/>
      <c r="AF4" s="156"/>
      <c r="AG4" s="268"/>
      <c r="AH4" s="268"/>
      <c r="AI4" s="161" t="s">
        <v>168</v>
      </c>
      <c r="AJ4" s="161" t="s">
        <v>169</v>
      </c>
      <c r="AK4" s="161" t="s">
        <v>170</v>
      </c>
      <c r="AL4" s="161" t="s">
        <v>171</v>
      </c>
      <c r="AM4" s="161" t="s">
        <v>172</v>
      </c>
      <c r="AN4" s="161" t="s">
        <v>173</v>
      </c>
      <c r="AO4" s="161" t="s">
        <v>174</v>
      </c>
      <c r="AP4" s="161" t="s">
        <v>175</v>
      </c>
      <c r="AQ4" s="161" t="s">
        <v>176</v>
      </c>
      <c r="AR4" s="161" t="s">
        <v>177</v>
      </c>
      <c r="AS4" s="161" t="s">
        <v>178</v>
      </c>
      <c r="AT4" s="161" t="s">
        <v>179</v>
      </c>
      <c r="AU4" s="161" t="s">
        <v>180</v>
      </c>
    </row>
    <row r="5" spans="1:47" ht="13.65" customHeight="1">
      <c r="A5" s="276"/>
      <c r="B5" s="276"/>
      <c r="C5" s="159" t="s">
        <v>82</v>
      </c>
      <c r="D5" s="157" t="s">
        <v>65</v>
      </c>
      <c r="E5" s="276"/>
      <c r="F5" s="129">
        <v>0.3</v>
      </c>
      <c r="G5" s="149">
        <v>100</v>
      </c>
      <c r="H5" s="149">
        <v>100</v>
      </c>
      <c r="I5" s="149">
        <v>100</v>
      </c>
      <c r="J5" s="149">
        <v>100</v>
      </c>
      <c r="K5" s="149">
        <v>100</v>
      </c>
      <c r="L5" s="149">
        <v>99.363636363636402</v>
      </c>
      <c r="M5" s="149">
        <v>62.961820245588697</v>
      </c>
      <c r="N5" s="149">
        <v>43.563409348880398</v>
      </c>
      <c r="O5" s="149">
        <v>26.855123310287901</v>
      </c>
      <c r="P5" s="149">
        <v>14.573625012898599</v>
      </c>
      <c r="Q5" s="149">
        <v>7.8312867609121897</v>
      </c>
      <c r="R5" s="149">
        <v>1.8948508925807499</v>
      </c>
      <c r="S5" s="153">
        <v>2.8740000000000001</v>
      </c>
      <c r="T5" s="153">
        <v>2.79</v>
      </c>
      <c r="U5" s="138">
        <f>级配!F5/S5*E3</f>
        <v>5.2192066805845497E-2</v>
      </c>
      <c r="V5" s="138">
        <f>级配!F5/T5*E3</f>
        <v>5.3763440860214999E-2</v>
      </c>
      <c r="W5" s="136"/>
      <c r="X5" s="136"/>
      <c r="Y5" s="136"/>
      <c r="Z5" s="136"/>
      <c r="AA5" s="158"/>
      <c r="AB5" s="136"/>
      <c r="AC5" s="149"/>
      <c r="AD5" s="136"/>
      <c r="AE5" s="156"/>
      <c r="AF5" s="156"/>
      <c r="AG5" s="161" t="s">
        <v>181</v>
      </c>
      <c r="AH5" s="163" t="s">
        <v>182</v>
      </c>
      <c r="AI5" s="163" t="s">
        <v>183</v>
      </c>
      <c r="AJ5" s="163" t="s">
        <v>184</v>
      </c>
      <c r="AK5" s="163" t="s">
        <v>185</v>
      </c>
      <c r="AL5" s="163" t="s">
        <v>186</v>
      </c>
      <c r="AM5" s="163" t="s">
        <v>187</v>
      </c>
      <c r="AN5" s="163" t="s">
        <v>188</v>
      </c>
      <c r="AO5" s="163" t="s">
        <v>189</v>
      </c>
      <c r="AP5" s="163" t="s">
        <v>190</v>
      </c>
      <c r="AQ5" s="163" t="s">
        <v>191</v>
      </c>
      <c r="AR5" s="163" t="s">
        <v>192</v>
      </c>
      <c r="AS5" s="163" t="s">
        <v>193</v>
      </c>
      <c r="AT5" s="163" t="s">
        <v>194</v>
      </c>
      <c r="AU5" s="163" t="s">
        <v>195</v>
      </c>
    </row>
    <row r="6" spans="1:47" ht="15" customHeight="1">
      <c r="A6" s="276"/>
      <c r="B6" s="276"/>
      <c r="C6" s="164" t="s">
        <v>99</v>
      </c>
      <c r="D6" s="157" t="s">
        <v>72</v>
      </c>
      <c r="E6" s="276"/>
      <c r="F6" s="129">
        <v>0</v>
      </c>
      <c r="G6" s="149">
        <v>100</v>
      </c>
      <c r="H6" s="149">
        <v>100</v>
      </c>
      <c r="I6" s="149">
        <v>100</v>
      </c>
      <c r="J6" s="149">
        <v>100</v>
      </c>
      <c r="K6" s="149">
        <v>89.684047392891003</v>
      </c>
      <c r="L6" s="149">
        <v>3.3944908263760398</v>
      </c>
      <c r="M6" s="149">
        <v>1.12983052542118</v>
      </c>
      <c r="N6" s="149">
        <v>1.04234364845272</v>
      </c>
      <c r="O6" s="149">
        <v>0</v>
      </c>
      <c r="P6" s="149">
        <v>0</v>
      </c>
      <c r="Q6" s="149">
        <v>0</v>
      </c>
      <c r="R6" s="149">
        <v>0</v>
      </c>
      <c r="S6" s="153">
        <v>2.72228773584906</v>
      </c>
      <c r="T6" s="153">
        <v>2.68066743383199</v>
      </c>
      <c r="U6" s="138">
        <f>级配!F6/S6*E3</f>
        <v>0</v>
      </c>
      <c r="V6" s="138">
        <f>级配!F6/T6*E3</f>
        <v>0</v>
      </c>
      <c r="W6" s="136"/>
      <c r="X6" s="136"/>
      <c r="Y6" s="136"/>
      <c r="Z6" s="136"/>
      <c r="AA6" s="158"/>
      <c r="AB6" s="136"/>
      <c r="AC6" s="149"/>
      <c r="AD6" s="136"/>
      <c r="AE6" s="156"/>
      <c r="AF6" s="156"/>
      <c r="AG6" s="268" t="s">
        <v>196</v>
      </c>
      <c r="AH6" s="163" t="s">
        <v>197</v>
      </c>
      <c r="AI6" s="163"/>
      <c r="AJ6" s="163" t="s">
        <v>183</v>
      </c>
      <c r="AK6" s="163" t="s">
        <v>184</v>
      </c>
      <c r="AL6" s="163" t="s">
        <v>198</v>
      </c>
      <c r="AM6" s="163" t="s">
        <v>199</v>
      </c>
      <c r="AN6" s="163" t="s">
        <v>200</v>
      </c>
      <c r="AO6" s="163" t="s">
        <v>201</v>
      </c>
      <c r="AP6" s="163" t="s">
        <v>202</v>
      </c>
      <c r="AQ6" s="163" t="s">
        <v>203</v>
      </c>
      <c r="AR6" s="163" t="s">
        <v>204</v>
      </c>
      <c r="AS6" s="163" t="s">
        <v>205</v>
      </c>
      <c r="AT6" s="163" t="s">
        <v>194</v>
      </c>
      <c r="AU6" s="163" t="s">
        <v>206</v>
      </c>
    </row>
    <row r="7" spans="1:47" ht="13.65" customHeight="1">
      <c r="A7" s="276"/>
      <c r="B7" s="276"/>
      <c r="C7" s="164" t="s">
        <v>99</v>
      </c>
      <c r="D7" s="157" t="s">
        <v>72</v>
      </c>
      <c r="E7" s="276"/>
      <c r="F7" s="129">
        <v>0</v>
      </c>
      <c r="G7" s="149">
        <v>100</v>
      </c>
      <c r="H7" s="149">
        <v>100</v>
      </c>
      <c r="I7" s="149">
        <v>100</v>
      </c>
      <c r="J7" s="149">
        <v>100</v>
      </c>
      <c r="K7" s="149">
        <v>100</v>
      </c>
      <c r="L7" s="149">
        <v>95.985683492719403</v>
      </c>
      <c r="M7" s="149">
        <v>12.6915304652741</v>
      </c>
      <c r="N7" s="149">
        <v>5.88519354171454</v>
      </c>
      <c r="O7" s="149">
        <v>4.1839728240916401</v>
      </c>
      <c r="P7" s="149">
        <v>3.6277139461626402</v>
      </c>
      <c r="Q7" s="149">
        <v>3.3515060707669502</v>
      </c>
      <c r="R7" s="149">
        <v>3.1246478405594398</v>
      </c>
      <c r="S7" s="153">
        <v>2.7173719223647201</v>
      </c>
      <c r="T7" s="153">
        <v>2.6843344319634102</v>
      </c>
      <c r="U7" s="138">
        <f>级配!F7/S7*E3</f>
        <v>0</v>
      </c>
      <c r="V7" s="138">
        <f>级配!F7/T7*E3</f>
        <v>0</v>
      </c>
      <c r="W7" s="138"/>
      <c r="X7" s="138"/>
      <c r="Y7" s="138"/>
      <c r="Z7" s="138"/>
      <c r="AA7" s="158"/>
      <c r="AB7" s="138"/>
      <c r="AC7" s="160"/>
      <c r="AD7" s="136"/>
      <c r="AE7" s="156"/>
      <c r="AF7" s="156"/>
      <c r="AG7" s="268"/>
      <c r="AH7" s="163" t="s">
        <v>207</v>
      </c>
      <c r="AI7" s="163"/>
      <c r="AJ7" s="163"/>
      <c r="AK7" s="163" t="s">
        <v>183</v>
      </c>
      <c r="AL7" s="163" t="s">
        <v>184</v>
      </c>
      <c r="AM7" s="163" t="s">
        <v>208</v>
      </c>
      <c r="AN7" s="163" t="s">
        <v>209</v>
      </c>
      <c r="AO7" s="163" t="s">
        <v>210</v>
      </c>
      <c r="AP7" s="163" t="s">
        <v>211</v>
      </c>
      <c r="AQ7" s="163" t="s">
        <v>212</v>
      </c>
      <c r="AR7" s="163" t="s">
        <v>213</v>
      </c>
      <c r="AS7" s="163" t="s">
        <v>214</v>
      </c>
      <c r="AT7" s="163" t="s">
        <v>215</v>
      </c>
      <c r="AU7" s="163" t="s">
        <v>216</v>
      </c>
    </row>
    <row r="8" spans="1:47" ht="15" customHeight="1">
      <c r="A8" s="276"/>
      <c r="B8" s="276"/>
      <c r="C8" s="164" t="s">
        <v>99</v>
      </c>
      <c r="D8" s="157" t="s">
        <v>72</v>
      </c>
      <c r="E8" s="276"/>
      <c r="F8" s="129">
        <v>0</v>
      </c>
      <c r="G8" s="149">
        <v>100</v>
      </c>
      <c r="H8" s="149">
        <v>100</v>
      </c>
      <c r="I8" s="149">
        <v>100</v>
      </c>
      <c r="J8" s="149">
        <v>100</v>
      </c>
      <c r="K8" s="149">
        <v>100</v>
      </c>
      <c r="L8" s="149">
        <v>100</v>
      </c>
      <c r="M8" s="149">
        <v>69.772922022279303</v>
      </c>
      <c r="N8" s="149">
        <v>41.231076835190002</v>
      </c>
      <c r="O8" s="149">
        <v>19.951442445015701</v>
      </c>
      <c r="P8" s="149">
        <v>11.610968294772899</v>
      </c>
      <c r="Q8" s="149">
        <v>9.3544701513853408</v>
      </c>
      <c r="R8" s="149">
        <v>7.0408454727221104</v>
      </c>
      <c r="S8" s="153">
        <v>2.7173719223647201</v>
      </c>
      <c r="T8" s="153">
        <v>2.6843344319634102</v>
      </c>
      <c r="U8" s="138">
        <f>级配!F8/S8*E3</f>
        <v>0</v>
      </c>
      <c r="V8" s="138">
        <f>级配!F8/T8*E3</f>
        <v>0</v>
      </c>
      <c r="W8" s="138"/>
      <c r="X8" s="138"/>
      <c r="Y8" s="138"/>
      <c r="Z8" s="138"/>
      <c r="AA8" s="158"/>
      <c r="AB8" s="138"/>
      <c r="AC8" s="160"/>
      <c r="AD8" s="136"/>
      <c r="AE8" s="156"/>
      <c r="AF8" s="156"/>
      <c r="AG8" s="268" t="s">
        <v>217</v>
      </c>
      <c r="AH8" s="163" t="s">
        <v>218</v>
      </c>
      <c r="AI8" s="163"/>
      <c r="AJ8" s="163"/>
      <c r="AK8" s="163"/>
      <c r="AL8" s="163" t="s">
        <v>183</v>
      </c>
      <c r="AM8" s="163" t="s">
        <v>184</v>
      </c>
      <c r="AN8" s="163" t="s">
        <v>219</v>
      </c>
      <c r="AO8" s="163" t="s">
        <v>220</v>
      </c>
      <c r="AP8" s="163" t="s">
        <v>221</v>
      </c>
      <c r="AQ8" s="163" t="s">
        <v>222</v>
      </c>
      <c r="AR8" s="163" t="s">
        <v>223</v>
      </c>
      <c r="AS8" s="163" t="s">
        <v>224</v>
      </c>
      <c r="AT8" s="163" t="s">
        <v>225</v>
      </c>
      <c r="AU8" s="163" t="s">
        <v>216</v>
      </c>
    </row>
    <row r="9" spans="1:47" ht="15">
      <c r="A9" s="276"/>
      <c r="B9" s="276"/>
      <c r="C9" s="164" t="s">
        <v>99</v>
      </c>
      <c r="D9" s="157" t="s">
        <v>72</v>
      </c>
      <c r="E9" s="276"/>
      <c r="F9" s="129">
        <v>0</v>
      </c>
      <c r="G9" s="149">
        <v>100</v>
      </c>
      <c r="H9" s="149">
        <v>100</v>
      </c>
      <c r="I9" s="149">
        <v>100</v>
      </c>
      <c r="J9" s="149">
        <v>100</v>
      </c>
      <c r="K9" s="149">
        <v>100</v>
      </c>
      <c r="L9" s="149">
        <v>100</v>
      </c>
      <c r="M9" s="149">
        <v>100</v>
      </c>
      <c r="N9" s="149">
        <v>100</v>
      </c>
      <c r="O9" s="149">
        <v>100</v>
      </c>
      <c r="P9" s="149">
        <v>100</v>
      </c>
      <c r="Q9" s="149">
        <v>100</v>
      </c>
      <c r="R9" s="149">
        <v>100</v>
      </c>
      <c r="S9" s="153">
        <v>2.7173719223647201</v>
      </c>
      <c r="T9" s="153">
        <v>2.6843344319634102</v>
      </c>
      <c r="U9" s="138">
        <f>级配!F9/S9*E3</f>
        <v>0</v>
      </c>
      <c r="V9" s="138">
        <f>级配!F9/T9*E3</f>
        <v>0</v>
      </c>
      <c r="W9" s="138"/>
      <c r="X9" s="138"/>
      <c r="Y9" s="138"/>
      <c r="Z9" s="138"/>
      <c r="AA9" s="158"/>
      <c r="AB9" s="138"/>
      <c r="AC9" s="160"/>
      <c r="AD9" s="138"/>
      <c r="AE9" s="156"/>
      <c r="AF9" s="156"/>
      <c r="AG9" s="268"/>
      <c r="AH9" s="163" t="s">
        <v>94</v>
      </c>
      <c r="AI9" s="163"/>
      <c r="AJ9" s="163"/>
      <c r="AK9" s="163"/>
      <c r="AL9" s="163"/>
      <c r="AM9" s="163" t="s">
        <v>183</v>
      </c>
      <c r="AN9" s="163" t="s">
        <v>184</v>
      </c>
      <c r="AO9" s="163" t="s">
        <v>226</v>
      </c>
      <c r="AP9" s="163" t="s">
        <v>227</v>
      </c>
      <c r="AQ9" s="163" t="s">
        <v>228</v>
      </c>
      <c r="AR9" s="163" t="s">
        <v>229</v>
      </c>
      <c r="AS9" s="163" t="s">
        <v>230</v>
      </c>
      <c r="AT9" s="163" t="s">
        <v>231</v>
      </c>
      <c r="AU9" s="163" t="s">
        <v>216</v>
      </c>
    </row>
    <row r="10" spans="1:47" ht="15.6">
      <c r="A10" s="276"/>
      <c r="B10" s="276"/>
      <c r="C10" s="159" t="s">
        <v>66</v>
      </c>
      <c r="D10" s="157" t="s">
        <v>62</v>
      </c>
      <c r="E10" s="276">
        <v>0.5</v>
      </c>
      <c r="F10" s="129">
        <v>0.6</v>
      </c>
      <c r="G10" s="149">
        <v>100</v>
      </c>
      <c r="H10" s="149">
        <v>96.805854498493304</v>
      </c>
      <c r="I10" s="149">
        <v>92.423590185105496</v>
      </c>
      <c r="J10" s="149">
        <v>79.362892811020203</v>
      </c>
      <c r="K10" s="149">
        <v>32.303056392595799</v>
      </c>
      <c r="L10" s="149">
        <v>10.9083082221265</v>
      </c>
      <c r="M10" s="149">
        <v>8.9367197589323997</v>
      </c>
      <c r="N10" s="149">
        <v>7.4989238054239999</v>
      </c>
      <c r="O10" s="149">
        <v>5.9750322858372602</v>
      </c>
      <c r="P10" s="149">
        <v>4.2875591907016597</v>
      </c>
      <c r="Q10" s="149">
        <v>2.8755919070167701</v>
      </c>
      <c r="R10" s="149">
        <v>1.5497201894102199</v>
      </c>
      <c r="S10" s="153">
        <v>2.7679999999999998</v>
      </c>
      <c r="T10" s="153">
        <v>2.6779999999999999</v>
      </c>
      <c r="U10" s="138">
        <f>级配!F10/S10*E10</f>
        <v>0.108381502890173</v>
      </c>
      <c r="V10" s="138">
        <f>级配!F10/T10*E10</f>
        <v>0.11202389843166501</v>
      </c>
      <c r="W10" s="138"/>
      <c r="X10" s="138"/>
      <c r="Y10" s="138"/>
      <c r="Z10" s="138"/>
      <c r="AA10" s="158"/>
      <c r="AB10" s="138"/>
      <c r="AC10" s="160"/>
      <c r="AD10" s="138"/>
      <c r="AE10" s="156">
        <v>3.4</v>
      </c>
      <c r="AF10" s="156"/>
      <c r="AG10" s="161" t="s">
        <v>232</v>
      </c>
      <c r="AH10" s="163" t="s">
        <v>233</v>
      </c>
      <c r="AI10" s="163"/>
      <c r="AJ10" s="163"/>
      <c r="AK10" s="163"/>
      <c r="AL10" s="163"/>
      <c r="AM10" s="163"/>
      <c r="AN10" s="163" t="s">
        <v>183</v>
      </c>
      <c r="AO10" s="163" t="s">
        <v>184</v>
      </c>
      <c r="AP10" s="163" t="s">
        <v>234</v>
      </c>
      <c r="AQ10" s="163" t="s">
        <v>235</v>
      </c>
      <c r="AR10" s="163" t="s">
        <v>236</v>
      </c>
      <c r="AS10" s="163" t="s">
        <v>237</v>
      </c>
      <c r="AT10" s="163" t="s">
        <v>238</v>
      </c>
      <c r="AU10" s="163" t="s">
        <v>239</v>
      </c>
    </row>
    <row r="11" spans="1:47" ht="13.65" customHeight="1">
      <c r="A11" s="276"/>
      <c r="B11" s="276"/>
      <c r="C11" s="159" t="s">
        <v>67</v>
      </c>
      <c r="D11" s="157" t="s">
        <v>68</v>
      </c>
      <c r="E11" s="276"/>
      <c r="F11" s="129">
        <v>0.4</v>
      </c>
      <c r="G11" s="149">
        <v>100</v>
      </c>
      <c r="H11" s="149">
        <v>100</v>
      </c>
      <c r="I11" s="149">
        <v>100</v>
      </c>
      <c r="J11" s="149">
        <v>100</v>
      </c>
      <c r="K11" s="149">
        <v>84.391022946961399</v>
      </c>
      <c r="L11" s="149">
        <v>25.3089014037152</v>
      </c>
      <c r="M11" s="149">
        <v>9.4813818609733609</v>
      </c>
      <c r="N11" s="149">
        <v>5.7073211734050604</v>
      </c>
      <c r="O11" s="149">
        <v>4.4717155585441803</v>
      </c>
      <c r="P11" s="149">
        <v>3.5723291586114199</v>
      </c>
      <c r="Q11" s="149">
        <v>2.7990249642767302</v>
      </c>
      <c r="R11" s="149">
        <v>2.1433974951668699</v>
      </c>
      <c r="S11" s="153">
        <v>2.762</v>
      </c>
      <c r="T11" s="153">
        <v>2.577</v>
      </c>
      <c r="U11" s="138">
        <f>级配!F11/S11*E10</f>
        <v>7.2411296162201294E-2</v>
      </c>
      <c r="V11" s="138">
        <f>级配!F11/T11*E10</f>
        <v>7.76096235933256E-2</v>
      </c>
      <c r="W11" s="138"/>
      <c r="X11" s="138"/>
      <c r="Y11" s="151"/>
      <c r="Z11" s="151"/>
      <c r="AA11" s="158"/>
      <c r="AB11" s="138"/>
      <c r="AC11" s="160"/>
      <c r="AD11" s="138"/>
      <c r="AE11" s="156">
        <v>4</v>
      </c>
      <c r="AF11" s="156"/>
      <c r="AG11" s="165"/>
    </row>
    <row r="12" spans="1:47" ht="14.4">
      <c r="A12" s="276"/>
      <c r="B12" s="276"/>
      <c r="C12"/>
      <c r="F12" s="129" t="s">
        <v>240</v>
      </c>
      <c r="G12" s="149">
        <f>$E$29*($F$29*G3+$F$30*G4+$F$31*G5+$F$32*G6+$F$33*G7+$F$34*G8+$F$35*G9)+$E$36*($F$36*G10+$F$37*G11)</f>
        <v>100</v>
      </c>
      <c r="H12" s="149">
        <f>E3*(F3*H3+F4*H4+F5*H5+F6*H6+F7*H7+F8*H8+F9*H9)+E10*(F10*H10+F11*H11)</f>
        <v>93.220883293853007</v>
      </c>
      <c r="I12" s="149">
        <f>E3*(F3*I3+F4*I4+F5*I5+F6*I6+F7*I7+F8*I8+F9*I9)+E10*(F10*I10+F11*I11)</f>
        <v>82.891151315441306</v>
      </c>
      <c r="J12" s="149">
        <f>E3*(F3*J3+F4*J4+F5*J5+F6*J6+F7*J7+F8*J8+F9*J9)+E10*(F10*J10+F11*J11)</f>
        <v>72.2865396947862</v>
      </c>
      <c r="K12" s="149">
        <f>E3*(F3*K3+F4*K4+F5*K5+F6*K6+F7*K7+F8*K8+F9*K9)+E10*(F10*K10+F11*K11)</f>
        <v>46.405799881481101</v>
      </c>
      <c r="L12" s="149">
        <f>E3*(F3*L3+F4*L4+F5*L5+F6*L6+F7*L7+F8*L8+F9*L9)+E10*(F10*L10+F11*L11)</f>
        <v>25.9121749505466</v>
      </c>
      <c r="M12" s="149">
        <f>E3*(F3*M3+F4*M4+F5*M5+F6*M6+F7*M7+F8*M8+F9*M9)+E10*(F10*M10+F11*M11)</f>
        <v>15.434510645292701</v>
      </c>
      <c r="N12" s="149">
        <f>E3*(F3*N3+F4*N4+F5*N5+F6*N6+F7*N7+F8*N8+F9*N9)+E10*(F10*N10+F11*N11)</f>
        <v>10.060123425905701</v>
      </c>
      <c r="O12" s="149">
        <f>E3*(F3*O3+F4*O4+F5*O5+F6*O6+F7*O7+F8*O8+F9*O9)+E10*(F10*O10+F11*O11)</f>
        <v>6.7394564671090702</v>
      </c>
      <c r="P12" s="149">
        <f>E3*(F3*P3+F4*P4+F5*P5+F6*P6+F7*P7+F8*P8+F9*P9)+E10*(F10*P10+F11*P11)</f>
        <v>4.1867773408675699</v>
      </c>
      <c r="Q12" s="149">
        <f>E3*(F3*Q3+F4*Q4+F5*Q5+F6*Q6+F7*Q7+F8*Q8+F9*Q9)+E10*(F10*Q10+F11*Q11)</f>
        <v>2.5971755790972102</v>
      </c>
      <c r="R12" s="149">
        <f>E3*(F3*R3+F4*R4+F5*R5+F6*R6+F7*R7+F8*R8+F9*R9)+E10*(F10*R10+F11*R11)</f>
        <v>1.17782318974355</v>
      </c>
      <c r="W12" s="138"/>
      <c r="X12" s="138"/>
      <c r="Y12" s="151"/>
      <c r="Z12" s="151"/>
      <c r="AA12" s="158"/>
      <c r="AB12" s="138"/>
      <c r="AC12" s="160"/>
      <c r="AD12" s="138"/>
      <c r="AE12" s="156"/>
      <c r="AF12" s="156"/>
      <c r="AG12" s="165"/>
    </row>
    <row r="13" spans="1:47" ht="14.4">
      <c r="A13" s="276"/>
      <c r="B13" s="276"/>
      <c r="C13"/>
      <c r="F13" s="129" t="s">
        <v>241</v>
      </c>
      <c r="G13" s="149">
        <v>100</v>
      </c>
      <c r="H13" s="149">
        <v>100</v>
      </c>
      <c r="I13" s="149">
        <v>92</v>
      </c>
      <c r="J13" s="149">
        <v>80</v>
      </c>
      <c r="K13" s="149">
        <v>72</v>
      </c>
      <c r="L13" s="149">
        <v>56</v>
      </c>
      <c r="M13" s="149">
        <v>44</v>
      </c>
      <c r="N13" s="149">
        <v>33</v>
      </c>
      <c r="O13" s="149">
        <v>24</v>
      </c>
      <c r="P13" s="149">
        <v>17</v>
      </c>
      <c r="Q13" s="149">
        <v>13</v>
      </c>
      <c r="R13" s="149">
        <v>7</v>
      </c>
      <c r="W13" s="138"/>
      <c r="X13" s="138"/>
      <c r="Y13" s="151"/>
      <c r="Z13" s="151"/>
      <c r="AA13" s="158"/>
      <c r="AB13" s="138"/>
      <c r="AC13" s="160"/>
      <c r="AD13" s="138"/>
      <c r="AE13" s="156"/>
      <c r="AF13" s="156"/>
      <c r="AG13" s="166"/>
    </row>
    <row r="14" spans="1:47" ht="14.4">
      <c r="A14" s="276"/>
      <c r="B14" s="276"/>
      <c r="C14"/>
      <c r="F14" s="129" t="s">
        <v>242</v>
      </c>
      <c r="G14" s="149">
        <f t="shared" ref="G14:R14" si="0">(G13+G15)/2</f>
        <v>100</v>
      </c>
      <c r="H14" s="149">
        <f t="shared" si="0"/>
        <v>95</v>
      </c>
      <c r="I14" s="149">
        <f t="shared" si="0"/>
        <v>85</v>
      </c>
      <c r="J14" s="149">
        <f t="shared" si="0"/>
        <v>71</v>
      </c>
      <c r="K14" s="149">
        <f t="shared" si="0"/>
        <v>61</v>
      </c>
      <c r="L14" s="149">
        <f t="shared" si="0"/>
        <v>41</v>
      </c>
      <c r="M14" s="149">
        <f t="shared" si="0"/>
        <v>30</v>
      </c>
      <c r="N14" s="149">
        <f t="shared" si="0"/>
        <v>22.5</v>
      </c>
      <c r="O14" s="149">
        <f t="shared" si="0"/>
        <v>16</v>
      </c>
      <c r="P14" s="149">
        <f t="shared" si="0"/>
        <v>11</v>
      </c>
      <c r="Q14" s="149">
        <f t="shared" si="0"/>
        <v>8.5</v>
      </c>
      <c r="R14" s="149">
        <f t="shared" si="0"/>
        <v>5</v>
      </c>
      <c r="W14" s="138"/>
      <c r="X14" s="138"/>
      <c r="Y14" s="151"/>
      <c r="Z14" s="151"/>
      <c r="AA14" s="158"/>
      <c r="AB14" s="138"/>
      <c r="AC14" s="160"/>
      <c r="AD14" s="138"/>
      <c r="AE14" s="156"/>
      <c r="AF14" s="156"/>
      <c r="AG14" s="167"/>
    </row>
    <row r="15" spans="1:47" ht="14.4">
      <c r="A15" s="276"/>
      <c r="B15" s="276"/>
      <c r="C15"/>
      <c r="F15" s="129" t="s">
        <v>243</v>
      </c>
      <c r="G15" s="149">
        <v>100</v>
      </c>
      <c r="H15" s="149">
        <v>90</v>
      </c>
      <c r="I15" s="149">
        <v>78</v>
      </c>
      <c r="J15" s="149">
        <v>62</v>
      </c>
      <c r="K15" s="149">
        <v>50</v>
      </c>
      <c r="L15" s="149">
        <v>26</v>
      </c>
      <c r="M15" s="149">
        <v>16</v>
      </c>
      <c r="N15" s="149">
        <v>12</v>
      </c>
      <c r="O15" s="149">
        <v>8</v>
      </c>
      <c r="P15" s="149">
        <v>5</v>
      </c>
      <c r="Q15" s="149">
        <v>4</v>
      </c>
      <c r="R15" s="149">
        <v>3</v>
      </c>
      <c r="W15" s="138"/>
      <c r="X15" s="138"/>
      <c r="Y15" s="151"/>
      <c r="Z15" s="151"/>
      <c r="AA15" s="158"/>
      <c r="AB15" s="138"/>
      <c r="AC15" s="160"/>
      <c r="AD15" s="138"/>
      <c r="AE15" s="156"/>
      <c r="AF15" s="156"/>
      <c r="AG15" s="165"/>
    </row>
    <row r="16" spans="1:47">
      <c r="A16" s="276" t="s">
        <v>60</v>
      </c>
      <c r="B16" s="275" t="s">
        <v>521</v>
      </c>
      <c r="C16" s="159" t="s">
        <v>81</v>
      </c>
      <c r="D16" s="129" t="s">
        <v>62</v>
      </c>
      <c r="E16" s="276">
        <v>0.5</v>
      </c>
      <c r="F16" s="129">
        <v>0.4</v>
      </c>
      <c r="G16" s="149">
        <v>100</v>
      </c>
      <c r="H16" s="149">
        <v>80.597089814350198</v>
      </c>
      <c r="I16" s="149">
        <v>50.546914199698897</v>
      </c>
      <c r="J16" s="149">
        <v>28.2589061716006</v>
      </c>
      <c r="K16" s="149">
        <v>2.6894129453085802</v>
      </c>
      <c r="L16" s="149">
        <v>0.48670346211740401</v>
      </c>
      <c r="M16" s="149">
        <v>0</v>
      </c>
      <c r="N16" s="149">
        <v>0</v>
      </c>
      <c r="O16" s="149">
        <v>0</v>
      </c>
      <c r="P16" s="149">
        <v>0</v>
      </c>
      <c r="Q16" s="149">
        <v>0</v>
      </c>
      <c r="R16" s="149">
        <v>0</v>
      </c>
      <c r="S16" s="153">
        <v>2.7450000000000001</v>
      </c>
      <c r="T16" s="153">
        <v>2.6880000000000002</v>
      </c>
      <c r="U16" s="138">
        <f>级配!F16/S16*E16</f>
        <v>7.2859744990892497E-2</v>
      </c>
      <c r="V16" s="138">
        <f>级配!F16/T16*E16</f>
        <v>7.4404761904761904E-2</v>
      </c>
      <c r="W16" s="138">
        <f>1/SUM(U16:U24)</f>
        <v>2.7855136671225198</v>
      </c>
      <c r="X16" s="138">
        <v>0.42299999999999999</v>
      </c>
      <c r="Y16" s="138">
        <f>0.033*X16*X16-0.2936*X16+0.9336</f>
        <v>0.81531185699999997</v>
      </c>
      <c r="Z16" s="138">
        <f>Y16*W16+(1-Y16)*AB16</f>
        <v>2.76815203592172</v>
      </c>
      <c r="AA16" s="158">
        <v>2.57211369094688</v>
      </c>
      <c r="AB16" s="138">
        <f>1/SUM(V16:V24)</f>
        <v>2.69150854628051</v>
      </c>
      <c r="AC16" s="160">
        <v>4.3</v>
      </c>
      <c r="AD16" s="138">
        <f>100*AC16/(100+AC16)</f>
        <v>4.1227229146692199</v>
      </c>
      <c r="AE16" s="156"/>
      <c r="AF16" s="156">
        <f>AC16-E23*F23*AE23-E23*F24*AE24</f>
        <v>2.5099999999999998</v>
      </c>
      <c r="AG16" s="167"/>
    </row>
    <row r="17" spans="1:33" ht="13.65" customHeight="1">
      <c r="A17" s="276"/>
      <c r="B17" s="276"/>
      <c r="C17" s="159" t="s">
        <v>81</v>
      </c>
      <c r="D17" s="157" t="s">
        <v>63</v>
      </c>
      <c r="E17" s="276"/>
      <c r="F17" s="129">
        <v>0</v>
      </c>
      <c r="G17" s="149">
        <v>100</v>
      </c>
      <c r="H17" s="149">
        <v>100</v>
      </c>
      <c r="I17" s="149">
        <v>100</v>
      </c>
      <c r="J17" s="149">
        <v>100</v>
      </c>
      <c r="K17" s="149">
        <v>80.597089814350198</v>
      </c>
      <c r="L17" s="149">
        <v>50.546914199698897</v>
      </c>
      <c r="M17" s="149">
        <v>28.2589061716006</v>
      </c>
      <c r="N17" s="149">
        <v>2.6894129453085802</v>
      </c>
      <c r="O17" s="149">
        <v>0.48670346211740401</v>
      </c>
      <c r="P17" s="149">
        <v>0</v>
      </c>
      <c r="Q17" s="149">
        <v>0</v>
      </c>
      <c r="R17" s="149">
        <v>0</v>
      </c>
      <c r="S17" s="153">
        <v>2.7450000000000001</v>
      </c>
      <c r="T17" s="153">
        <v>2.6869999999999998</v>
      </c>
      <c r="U17" s="138">
        <f>级配!F17/S17*E16</f>
        <v>0</v>
      </c>
      <c r="V17" s="138">
        <f>级配!F17/T17*E16</f>
        <v>0</v>
      </c>
      <c r="W17" s="138"/>
      <c r="X17" s="138"/>
      <c r="Y17" s="138"/>
      <c r="Z17" s="162"/>
      <c r="AA17" s="158"/>
      <c r="AB17" s="138"/>
      <c r="AC17" s="160"/>
      <c r="AD17" s="136"/>
      <c r="AE17" s="156"/>
      <c r="AF17" s="156"/>
      <c r="AG17" s="165"/>
    </row>
    <row r="18" spans="1:33">
      <c r="A18" s="276"/>
      <c r="B18" s="276"/>
      <c r="C18" s="159" t="s">
        <v>82</v>
      </c>
      <c r="D18" s="157" t="s">
        <v>65</v>
      </c>
      <c r="E18" s="276"/>
      <c r="F18" s="129">
        <v>0.5</v>
      </c>
      <c r="G18" s="149">
        <v>100</v>
      </c>
      <c r="H18" s="149">
        <v>100</v>
      </c>
      <c r="I18" s="149">
        <v>100</v>
      </c>
      <c r="J18" s="149">
        <v>100</v>
      </c>
      <c r="K18" s="149">
        <v>100</v>
      </c>
      <c r="L18" s="149">
        <v>99.363636363636402</v>
      </c>
      <c r="M18" s="149">
        <v>62.961820245588697</v>
      </c>
      <c r="N18" s="149">
        <v>43.563409348880398</v>
      </c>
      <c r="O18" s="149">
        <v>26.855123310287901</v>
      </c>
      <c r="P18" s="149">
        <v>14.573625012898599</v>
      </c>
      <c r="Q18" s="149">
        <v>7.8312867609121897</v>
      </c>
      <c r="R18" s="149">
        <v>1.8948508925807499</v>
      </c>
      <c r="S18" s="153">
        <v>2.8740000000000001</v>
      </c>
      <c r="T18" s="153">
        <v>2.79</v>
      </c>
      <c r="U18" s="138">
        <f>级配!F18/S18*E16</f>
        <v>8.6986778009742499E-2</v>
      </c>
      <c r="V18" s="138">
        <f>级配!F18/T18*E16</f>
        <v>8.9605734767025103E-2</v>
      </c>
      <c r="W18" s="136"/>
      <c r="X18" s="136"/>
      <c r="Y18" s="136"/>
      <c r="Z18" s="136"/>
      <c r="AA18" s="158"/>
      <c r="AB18" s="136"/>
      <c r="AC18" s="149"/>
      <c r="AD18" s="136"/>
      <c r="AE18" s="156"/>
      <c r="AF18" s="156"/>
    </row>
    <row r="19" spans="1:33" ht="13.65" customHeight="1">
      <c r="A19" s="276"/>
      <c r="B19" s="276"/>
      <c r="C19" s="164" t="s">
        <v>99</v>
      </c>
      <c r="D19" s="157" t="s">
        <v>72</v>
      </c>
      <c r="E19" s="276"/>
      <c r="F19" s="129">
        <v>0</v>
      </c>
      <c r="G19" s="149">
        <v>100</v>
      </c>
      <c r="H19" s="149">
        <v>100</v>
      </c>
      <c r="I19" s="149">
        <v>100</v>
      </c>
      <c r="J19" s="149">
        <v>100</v>
      </c>
      <c r="K19" s="149">
        <v>89.684047392891003</v>
      </c>
      <c r="L19" s="149">
        <v>3.3944908263760398</v>
      </c>
      <c r="M19" s="149">
        <v>1.12983052542118</v>
      </c>
      <c r="N19" s="149">
        <v>1.04234364845272</v>
      </c>
      <c r="O19" s="149">
        <v>0</v>
      </c>
      <c r="P19" s="149">
        <v>0</v>
      </c>
      <c r="Q19" s="149">
        <v>0</v>
      </c>
      <c r="R19" s="149">
        <v>0</v>
      </c>
      <c r="S19" s="153">
        <v>2.72228773584906</v>
      </c>
      <c r="T19" s="153">
        <v>2.68066743383199</v>
      </c>
      <c r="U19" s="138">
        <f>级配!F19/S19*E16</f>
        <v>0</v>
      </c>
      <c r="V19" s="138">
        <f>级配!F19/T19*E16</f>
        <v>0</v>
      </c>
      <c r="W19" s="136"/>
      <c r="X19" s="136"/>
      <c r="Y19" s="136"/>
      <c r="Z19" s="136"/>
      <c r="AA19" s="158"/>
      <c r="AB19" s="136"/>
      <c r="AC19" s="149"/>
      <c r="AD19" s="136"/>
      <c r="AE19" s="156"/>
      <c r="AF19" s="156"/>
    </row>
    <row r="20" spans="1:33" ht="14.4">
      <c r="A20" s="276"/>
      <c r="B20" s="276"/>
      <c r="C20" s="164" t="s">
        <v>99</v>
      </c>
      <c r="D20" s="157" t="s">
        <v>72</v>
      </c>
      <c r="E20" s="276"/>
      <c r="F20" s="129">
        <v>0</v>
      </c>
      <c r="G20" s="149">
        <v>100</v>
      </c>
      <c r="H20" s="149">
        <v>100</v>
      </c>
      <c r="I20" s="149">
        <v>100</v>
      </c>
      <c r="J20" s="149">
        <v>100</v>
      </c>
      <c r="K20" s="149">
        <v>100</v>
      </c>
      <c r="L20" s="149">
        <v>95.985683492719403</v>
      </c>
      <c r="M20" s="149">
        <v>12.6915304652741</v>
      </c>
      <c r="N20" s="149">
        <v>5.88519354171454</v>
      </c>
      <c r="O20" s="149">
        <v>4.1839728240916401</v>
      </c>
      <c r="P20" s="149">
        <v>3.6277139461626402</v>
      </c>
      <c r="Q20" s="149">
        <v>3.3515060707669502</v>
      </c>
      <c r="R20" s="149">
        <v>3.1246478405594398</v>
      </c>
      <c r="S20" s="153">
        <v>2.7173719223647201</v>
      </c>
      <c r="T20" s="153">
        <v>2.6843344319634102</v>
      </c>
      <c r="U20" s="138">
        <f>级配!F20/S20*E16</f>
        <v>0</v>
      </c>
      <c r="V20" s="138">
        <f>级配!F20/T20*E16</f>
        <v>0</v>
      </c>
      <c r="W20" s="138"/>
      <c r="X20" s="138"/>
      <c r="Y20" s="138"/>
      <c r="Z20" s="138"/>
      <c r="AA20" s="158"/>
      <c r="AB20" s="138"/>
      <c r="AC20" s="160"/>
      <c r="AD20" s="136"/>
      <c r="AE20" s="156"/>
      <c r="AF20" s="156"/>
    </row>
    <row r="21" spans="1:33" ht="13.65" customHeight="1">
      <c r="A21" s="276"/>
      <c r="B21" s="276"/>
      <c r="C21" s="164" t="s">
        <v>99</v>
      </c>
      <c r="D21" s="157" t="s">
        <v>72</v>
      </c>
      <c r="E21" s="276"/>
      <c r="F21" s="129">
        <v>0</v>
      </c>
      <c r="G21" s="149">
        <v>100</v>
      </c>
      <c r="H21" s="149">
        <v>100</v>
      </c>
      <c r="I21" s="149">
        <v>100</v>
      </c>
      <c r="J21" s="149">
        <v>100</v>
      </c>
      <c r="K21" s="149">
        <v>100</v>
      </c>
      <c r="L21" s="149">
        <v>100</v>
      </c>
      <c r="M21" s="149">
        <v>69.772922022279303</v>
      </c>
      <c r="N21" s="149">
        <v>41.231076835190002</v>
      </c>
      <c r="O21" s="149">
        <v>19.951442445015701</v>
      </c>
      <c r="P21" s="149">
        <v>11.610968294772899</v>
      </c>
      <c r="Q21" s="149">
        <v>9.3544701513853408</v>
      </c>
      <c r="R21" s="149">
        <v>7.0408454727221104</v>
      </c>
      <c r="S21" s="153">
        <v>2.7173719223647201</v>
      </c>
      <c r="T21" s="153">
        <v>2.6843344319634102</v>
      </c>
      <c r="U21" s="138">
        <f>级配!F21/S21*E16</f>
        <v>0</v>
      </c>
      <c r="V21" s="138">
        <f>级配!F21/T21*E16</f>
        <v>0</v>
      </c>
      <c r="W21" s="138"/>
      <c r="X21" s="138"/>
      <c r="Y21" s="138"/>
      <c r="Z21" s="138"/>
      <c r="AA21" s="158"/>
      <c r="AB21" s="138"/>
      <c r="AC21" s="160"/>
      <c r="AD21" s="136"/>
      <c r="AE21" s="156"/>
      <c r="AF21" s="156"/>
    </row>
    <row r="22" spans="1:33" ht="14.4">
      <c r="A22" s="276"/>
      <c r="B22" s="276"/>
      <c r="C22" s="164" t="s">
        <v>99</v>
      </c>
      <c r="D22" s="157" t="s">
        <v>72</v>
      </c>
      <c r="E22" s="276"/>
      <c r="F22" s="129">
        <v>0.1</v>
      </c>
      <c r="G22" s="149">
        <v>100</v>
      </c>
      <c r="H22" s="149">
        <v>100</v>
      </c>
      <c r="I22" s="149">
        <v>100</v>
      </c>
      <c r="J22" s="149">
        <v>100</v>
      </c>
      <c r="K22" s="149">
        <v>100</v>
      </c>
      <c r="L22" s="149">
        <v>100</v>
      </c>
      <c r="M22" s="149">
        <v>100</v>
      </c>
      <c r="N22" s="149">
        <v>100</v>
      </c>
      <c r="O22" s="149">
        <v>100</v>
      </c>
      <c r="P22" s="149">
        <v>100</v>
      </c>
      <c r="Q22" s="149">
        <v>100</v>
      </c>
      <c r="R22" s="149">
        <v>100</v>
      </c>
      <c r="S22" s="153">
        <v>2.7173719223647201</v>
      </c>
      <c r="T22" s="153">
        <v>2.6843344319634102</v>
      </c>
      <c r="U22" s="138">
        <f>级配!F22/S22*E16</f>
        <v>1.8400131240220101E-2</v>
      </c>
      <c r="V22" s="138">
        <f>级配!F22/T22*E16</f>
        <v>1.8626591159667201E-2</v>
      </c>
      <c r="W22" s="138"/>
      <c r="X22" s="138"/>
      <c r="Y22" s="138"/>
      <c r="Z22" s="138"/>
      <c r="AA22" s="158"/>
      <c r="AB22" s="138"/>
      <c r="AC22" s="160"/>
      <c r="AD22" s="138"/>
      <c r="AE22" s="156"/>
      <c r="AF22" s="156"/>
    </row>
    <row r="23" spans="1:33" ht="13.65" customHeight="1">
      <c r="A23" s="276"/>
      <c r="B23" s="276"/>
      <c r="C23" s="159" t="s">
        <v>66</v>
      </c>
      <c r="D23" s="157" t="s">
        <v>62</v>
      </c>
      <c r="E23" s="276">
        <v>0.5</v>
      </c>
      <c r="F23" s="129">
        <v>0.7</v>
      </c>
      <c r="G23" s="149">
        <v>100</v>
      </c>
      <c r="H23" s="149">
        <v>96.805854498493304</v>
      </c>
      <c r="I23" s="149">
        <v>92.423590185105496</v>
      </c>
      <c r="J23" s="149">
        <v>79.362892811020203</v>
      </c>
      <c r="K23" s="149">
        <v>32.303056392595799</v>
      </c>
      <c r="L23" s="149">
        <v>10.9083082221265</v>
      </c>
      <c r="M23" s="149">
        <v>8.9367197589323997</v>
      </c>
      <c r="N23" s="149">
        <v>7.4989238054239999</v>
      </c>
      <c r="O23" s="149">
        <v>5.9750322858372602</v>
      </c>
      <c r="P23" s="149">
        <v>4.2875591907016597</v>
      </c>
      <c r="Q23" s="149">
        <v>2.8755919070167701</v>
      </c>
      <c r="R23" s="149">
        <v>1.5497201894102199</v>
      </c>
      <c r="S23" s="153">
        <v>2.7679999999999998</v>
      </c>
      <c r="T23" s="153">
        <v>2.6779999999999999</v>
      </c>
      <c r="U23" s="138">
        <f>级配!F23/S23*E23</f>
        <v>0.12644508670520199</v>
      </c>
      <c r="V23" s="138">
        <f>级配!F23/T23*E23</f>
        <v>0.13069454817027601</v>
      </c>
      <c r="W23" s="138"/>
      <c r="X23" s="138"/>
      <c r="Y23" s="138"/>
      <c r="Z23" s="138"/>
      <c r="AA23" s="158"/>
      <c r="AB23" s="138"/>
      <c r="AC23" s="160"/>
      <c r="AD23" s="138"/>
      <c r="AE23" s="156">
        <v>3.4</v>
      </c>
      <c r="AF23" s="156"/>
    </row>
    <row r="24" spans="1:33" ht="14.4">
      <c r="A24" s="276"/>
      <c r="B24" s="276"/>
      <c r="C24" s="159" t="s">
        <v>67</v>
      </c>
      <c r="D24" s="157" t="s">
        <v>68</v>
      </c>
      <c r="E24" s="276"/>
      <c r="F24" s="129">
        <v>0.3</v>
      </c>
      <c r="G24" s="149">
        <v>100</v>
      </c>
      <c r="H24" s="149">
        <v>100</v>
      </c>
      <c r="I24" s="149">
        <v>100</v>
      </c>
      <c r="J24" s="149">
        <v>100</v>
      </c>
      <c r="K24" s="149">
        <v>84.391022946961399</v>
      </c>
      <c r="L24" s="149">
        <v>25.3089014037152</v>
      </c>
      <c r="M24" s="149">
        <v>9.4813818609733609</v>
      </c>
      <c r="N24" s="149">
        <v>5.7073211734050604</v>
      </c>
      <c r="O24" s="149">
        <v>4.4717155585441803</v>
      </c>
      <c r="P24" s="149">
        <v>3.5723291586114199</v>
      </c>
      <c r="Q24" s="149">
        <v>2.7990249642767302</v>
      </c>
      <c r="R24" s="149">
        <v>2.1433974951668699</v>
      </c>
      <c r="S24" s="153">
        <v>2.762</v>
      </c>
      <c r="T24" s="153">
        <v>2.577</v>
      </c>
      <c r="U24" s="138">
        <f>级配!F24/S24*E23</f>
        <v>5.4308472121650998E-2</v>
      </c>
      <c r="V24" s="138">
        <f>级配!F24/T24*E23</f>
        <v>5.82072176949942E-2</v>
      </c>
      <c r="W24" s="138"/>
      <c r="X24" s="138"/>
      <c r="Y24" s="151"/>
      <c r="Z24" s="151"/>
      <c r="AA24" s="158"/>
      <c r="AB24" s="138"/>
      <c r="AC24" s="160"/>
      <c r="AD24" s="138"/>
      <c r="AE24" s="156">
        <v>4</v>
      </c>
      <c r="AF24" s="156"/>
    </row>
    <row r="25" spans="1:33" ht="13.65" customHeight="1">
      <c r="A25" s="276"/>
      <c r="B25" s="276"/>
      <c r="C25"/>
      <c r="F25" s="129" t="s">
        <v>240</v>
      </c>
      <c r="G25" s="149">
        <f>$E$29*($F$29*G16+$F$30*G17+$F$31*G18+$F$32*G19+$F$33*G20+$F$34*G21+$F$35*G22)+$E$36*($F$36*G23+$F$37*G24)</f>
        <v>100</v>
      </c>
      <c r="H25" s="149">
        <f>E16*(F16*H16+F17*H17+F18*H18+F19*H19+F20*H20+F21*H21+F22*H22)+E23*(F23*H23+F24*H24)</f>
        <v>95.001467037342707</v>
      </c>
      <c r="I25" s="149">
        <f>E16*(F16*I16+F17*I17+F18*I18+F19*I19+F20*I20+F21*I21+F22*I22)+E23*(F23*I23+F24*I24)</f>
        <v>87.457639404726706</v>
      </c>
      <c r="J25" s="149">
        <f>E16*(F16*J16+F17*J17+F18*J18+F19*J19+F20*J20+F21*J21+F22*J22)+E23*(F23*J23+F24*J24)</f>
        <v>78.428793718177204</v>
      </c>
      <c r="K25" s="149">
        <f>E16*(F16*K16+F17*K17+F18*K18+F19*K19+F20*K20+F21*K21+F22*K22)+E23*(F23*K23+F24*K24)</f>
        <v>54.502605768514499</v>
      </c>
      <c r="L25" s="149">
        <f>E16*(F16*L16+F17*L17+F18*L18+F19*L19+F20*L20+F21*L21+F22*L22)+E23*(F23*L23+F24*L24)</f>
        <v>37.552492871634101</v>
      </c>
      <c r="M25" s="149">
        <f>E16*(F16*M16+F17*M17+F18*M18+F19*M19+F20*M20+F21*M21+F22*M22)+E23*(F23*M23+F24*M24)</f>
        <v>25.290514256169502</v>
      </c>
      <c r="N25" s="149">
        <f>E16*(F16*N16+F17*N17+F18*N18+F19*N19+F20*N20+F21*N21+F22*N22)+E23*(F23*N23+F24*N24)</f>
        <v>19.371573845129301</v>
      </c>
      <c r="O25" s="149">
        <f>E16*(F16*O16+F17*O17+F18*O18+F19*O19+F20*O20+F21*O21+F22*O22)+E23*(F23*O23+F24*O24)</f>
        <v>14.475799461396599</v>
      </c>
      <c r="P25" s="149">
        <f>E16*(F16*P16+F17*P17+F18*P18+F19*P19+F20*P20+F21*P21+F22*P22)+E23*(F23*P23+F24*P24)</f>
        <v>10.6799013437619</v>
      </c>
      <c r="Q25" s="149">
        <f>E16*(F16*Q16+F17*Q17+F18*Q18+F19*Q19+F20*Q20+F21*Q21+F22*Q22)+E23*(F23*Q23+F24*Q24)</f>
        <v>8.3841326023254297</v>
      </c>
      <c r="R25" s="149">
        <f>E16*(F16*R16+F17*R17+F18*R18+F19*R19+F20*R20+F21*R21+F22*R22)+E23*(F23*R23+F24*R24)</f>
        <v>6.3376244137137903</v>
      </c>
      <c r="W25" s="138"/>
      <c r="X25" s="138"/>
      <c r="Y25" s="151"/>
      <c r="Z25" s="151"/>
      <c r="AA25" s="158"/>
      <c r="AB25" s="138"/>
      <c r="AC25" s="160"/>
      <c r="AD25" s="138"/>
      <c r="AE25" s="156"/>
      <c r="AF25" s="156"/>
    </row>
    <row r="26" spans="1:33" ht="14.4">
      <c r="A26" s="276"/>
      <c r="B26" s="276"/>
      <c r="C26"/>
      <c r="F26" s="129" t="s">
        <v>241</v>
      </c>
      <c r="G26" s="149">
        <v>100</v>
      </c>
      <c r="H26" s="149">
        <v>100</v>
      </c>
      <c r="I26" s="149">
        <v>92</v>
      </c>
      <c r="J26" s="149">
        <v>80</v>
      </c>
      <c r="K26" s="149">
        <v>72</v>
      </c>
      <c r="L26" s="149">
        <v>56</v>
      </c>
      <c r="M26" s="149">
        <v>44</v>
      </c>
      <c r="N26" s="149">
        <v>33</v>
      </c>
      <c r="O26" s="149">
        <v>24</v>
      </c>
      <c r="P26" s="149">
        <v>17</v>
      </c>
      <c r="Q26" s="149">
        <v>13</v>
      </c>
      <c r="R26" s="149">
        <v>7</v>
      </c>
      <c r="W26" s="138"/>
      <c r="X26" s="138"/>
      <c r="Y26" s="151"/>
      <c r="Z26" s="151"/>
      <c r="AA26" s="158"/>
      <c r="AB26" s="138"/>
      <c r="AC26" s="160"/>
      <c r="AD26" s="138"/>
      <c r="AE26" s="156"/>
      <c r="AF26" s="156"/>
    </row>
    <row r="27" spans="1:33" ht="13.65" customHeight="1">
      <c r="A27" s="276"/>
      <c r="B27" s="276"/>
      <c r="C27"/>
      <c r="F27" s="129" t="s">
        <v>242</v>
      </c>
      <c r="G27" s="149">
        <f t="shared" ref="G27:R27" si="1">(G26+G28)/2</f>
        <v>100</v>
      </c>
      <c r="H27" s="149">
        <f t="shared" si="1"/>
        <v>95</v>
      </c>
      <c r="I27" s="149">
        <f t="shared" si="1"/>
        <v>85</v>
      </c>
      <c r="J27" s="149">
        <f t="shared" si="1"/>
        <v>71</v>
      </c>
      <c r="K27" s="149">
        <f t="shared" si="1"/>
        <v>61</v>
      </c>
      <c r="L27" s="149">
        <f t="shared" si="1"/>
        <v>41</v>
      </c>
      <c r="M27" s="149">
        <f t="shared" si="1"/>
        <v>30</v>
      </c>
      <c r="N27" s="149">
        <f t="shared" si="1"/>
        <v>22.5</v>
      </c>
      <c r="O27" s="149">
        <f t="shared" si="1"/>
        <v>16</v>
      </c>
      <c r="P27" s="149">
        <f t="shared" si="1"/>
        <v>11</v>
      </c>
      <c r="Q27" s="149">
        <f t="shared" si="1"/>
        <v>8.5</v>
      </c>
      <c r="R27" s="149">
        <f t="shared" si="1"/>
        <v>5</v>
      </c>
      <c r="W27" s="138"/>
      <c r="X27" s="138"/>
      <c r="Y27" s="151"/>
      <c r="Z27" s="151"/>
      <c r="AA27" s="158"/>
      <c r="AB27" s="138"/>
      <c r="AC27" s="160"/>
      <c r="AD27" s="138"/>
      <c r="AE27" s="156"/>
      <c r="AF27" s="156"/>
    </row>
    <row r="28" spans="1:33" ht="14.4">
      <c r="A28" s="276"/>
      <c r="B28" s="276"/>
      <c r="C28"/>
      <c r="F28" s="129" t="s">
        <v>243</v>
      </c>
      <c r="G28" s="149">
        <v>100</v>
      </c>
      <c r="H28" s="149">
        <v>90</v>
      </c>
      <c r="I28" s="149">
        <v>78</v>
      </c>
      <c r="J28" s="149">
        <v>62</v>
      </c>
      <c r="K28" s="149">
        <v>50</v>
      </c>
      <c r="L28" s="149">
        <v>26</v>
      </c>
      <c r="M28" s="149">
        <v>16</v>
      </c>
      <c r="N28" s="149">
        <v>12</v>
      </c>
      <c r="O28" s="149">
        <v>8</v>
      </c>
      <c r="P28" s="149">
        <v>5</v>
      </c>
      <c r="Q28" s="149">
        <v>4</v>
      </c>
      <c r="R28" s="149">
        <v>3</v>
      </c>
      <c r="W28" s="138"/>
      <c r="X28" s="138"/>
      <c r="Y28" s="151"/>
      <c r="Z28" s="151"/>
      <c r="AA28" s="158"/>
      <c r="AB28" s="138"/>
      <c r="AC28" s="160"/>
      <c r="AD28" s="138"/>
      <c r="AE28" s="156"/>
      <c r="AF28" s="156"/>
    </row>
    <row r="29" spans="1:33" ht="13.65" customHeight="1">
      <c r="A29" s="276" t="s">
        <v>69</v>
      </c>
      <c r="B29" s="276" t="s">
        <v>197</v>
      </c>
      <c r="C29" s="159" t="s">
        <v>61</v>
      </c>
      <c r="D29" s="129" t="s">
        <v>244</v>
      </c>
      <c r="E29" s="276">
        <v>0.5</v>
      </c>
      <c r="F29" s="129">
        <v>0.18</v>
      </c>
      <c r="G29" s="149">
        <v>99.6</v>
      </c>
      <c r="H29" s="149">
        <v>14.7</v>
      </c>
      <c r="I29" s="149">
        <v>0</v>
      </c>
      <c r="J29" s="149">
        <v>0</v>
      </c>
      <c r="K29" s="149">
        <v>0</v>
      </c>
      <c r="L29" s="149">
        <v>0</v>
      </c>
      <c r="M29" s="149">
        <v>0</v>
      </c>
      <c r="N29" s="149">
        <v>0</v>
      </c>
      <c r="O29" s="149">
        <v>0</v>
      </c>
      <c r="P29" s="149">
        <v>0</v>
      </c>
      <c r="Q29" s="149">
        <v>0</v>
      </c>
      <c r="R29" s="149">
        <v>0</v>
      </c>
      <c r="S29" s="153">
        <f>[1]集料筛分及密度!S8</f>
        <v>2.7242297971172902</v>
      </c>
      <c r="T29" s="153">
        <f>[1]集料筛分及密度!T8</f>
        <v>2.70766524592382</v>
      </c>
      <c r="U29" s="138">
        <f>级配!F29/S29*E29</f>
        <v>3.3036860581745202E-2</v>
      </c>
      <c r="V29" s="138">
        <f>级配!F29/T29*E29</f>
        <v>3.3238968567288002E-2</v>
      </c>
      <c r="W29" s="138">
        <f>1/SUM(U29:U37)</f>
        <v>2.6875608052932201</v>
      </c>
      <c r="X29" s="153">
        <v>0.70799999999999996</v>
      </c>
      <c r="Y29" s="138">
        <v>0.74199999999999999</v>
      </c>
      <c r="Z29" s="138">
        <f>Y29*W29+(1-Y29)*AB29</f>
        <v>2.6789254546300301</v>
      </c>
      <c r="AA29" s="158">
        <v>2.544</v>
      </c>
      <c r="AB29" s="138">
        <f>1/SUM(V29:V37)</f>
        <v>2.6540904538855199</v>
      </c>
      <c r="AC29" s="160">
        <v>4.2</v>
      </c>
      <c r="AD29" s="138">
        <v>4.03</v>
      </c>
      <c r="AE29" s="156"/>
      <c r="AF29" s="156">
        <f>AC29-E36*F36*AE36-E36*F37*AE37</f>
        <v>2.0151621407171199</v>
      </c>
    </row>
    <row r="30" spans="1:33" ht="14.4">
      <c r="A30" s="276"/>
      <c r="B30" s="276"/>
      <c r="C30" s="159" t="s">
        <v>61</v>
      </c>
      <c r="D30" s="157" t="s">
        <v>62</v>
      </c>
      <c r="E30" s="276"/>
      <c r="F30" s="129">
        <v>0.28000000000000003</v>
      </c>
      <c r="G30" s="149">
        <v>100</v>
      </c>
      <c r="H30" s="149">
        <v>93.712215838121395</v>
      </c>
      <c r="I30" s="149">
        <v>66.512615538346196</v>
      </c>
      <c r="J30" s="149">
        <v>33.717212090931802</v>
      </c>
      <c r="K30" s="149">
        <v>5.6632525605795596</v>
      </c>
      <c r="L30" s="149">
        <v>0.44716462653010303</v>
      </c>
      <c r="M30" s="149">
        <v>0</v>
      </c>
      <c r="N30" s="149">
        <v>0</v>
      </c>
      <c r="O30" s="149">
        <v>0</v>
      </c>
      <c r="P30" s="149">
        <v>0</v>
      </c>
      <c r="Q30" s="149">
        <v>0</v>
      </c>
      <c r="R30" s="149">
        <v>0</v>
      </c>
      <c r="S30" s="153">
        <f>[1]集料筛分及密度!S9</f>
        <v>2.7173719223647201</v>
      </c>
      <c r="T30" s="153">
        <f>[1]集料筛分及密度!T9</f>
        <v>2.6843344319634102</v>
      </c>
      <c r="U30" s="138">
        <f>级配!F30/S30*E29</f>
        <v>5.1520367472616201E-2</v>
      </c>
      <c r="V30" s="138">
        <f>级配!F30/T30*E29</f>
        <v>5.2154455247068299E-2</v>
      </c>
      <c r="W30" s="138"/>
      <c r="X30" s="138"/>
      <c r="Y30" s="138"/>
      <c r="Z30" s="162"/>
      <c r="AA30" s="158"/>
      <c r="AB30" s="138"/>
      <c r="AC30" s="160"/>
      <c r="AD30" s="136"/>
      <c r="AE30" s="156"/>
    </row>
    <row r="31" spans="1:33" ht="13.65" customHeight="1">
      <c r="A31" s="276"/>
      <c r="B31" s="276"/>
      <c r="C31" s="159" t="s">
        <v>61</v>
      </c>
      <c r="D31" s="157" t="s">
        <v>79</v>
      </c>
      <c r="E31" s="276"/>
      <c r="F31" s="129">
        <v>0.13</v>
      </c>
      <c r="G31" s="149">
        <v>100</v>
      </c>
      <c r="H31" s="149">
        <v>100</v>
      </c>
      <c r="I31" s="149">
        <v>99.586446104589101</v>
      </c>
      <c r="J31" s="149">
        <v>78.9106731027085</v>
      </c>
      <c r="K31" s="149">
        <v>26.3831910352188</v>
      </c>
      <c r="L31" s="149">
        <v>0.77822472512737995</v>
      </c>
      <c r="M31" s="149">
        <v>0.43380262805041397</v>
      </c>
      <c r="N31" s="149">
        <v>0.30670421024403099</v>
      </c>
      <c r="O31" s="149">
        <v>0</v>
      </c>
      <c r="P31" s="149">
        <v>0</v>
      </c>
      <c r="Q31" s="149">
        <v>0</v>
      </c>
      <c r="R31" s="149">
        <v>0</v>
      </c>
      <c r="S31" s="153">
        <f>[1]集料筛分及密度!S10</f>
        <v>2.72228773584906</v>
      </c>
      <c r="T31" s="153">
        <f>[1]集料筛分及密度!T10</f>
        <v>2.68066743383199</v>
      </c>
      <c r="U31" s="138">
        <f>级配!F31/S31*E29</f>
        <v>2.3876976391596302E-2</v>
      </c>
      <c r="V31" s="138">
        <f>级配!F31/T31*E29</f>
        <v>2.4247692637905102E-2</v>
      </c>
      <c r="W31" s="136"/>
      <c r="X31" s="136"/>
      <c r="Y31" s="136"/>
      <c r="Z31" s="136"/>
      <c r="AA31" s="158"/>
      <c r="AB31" s="136"/>
      <c r="AC31" s="149"/>
      <c r="AD31" s="136"/>
      <c r="AE31" s="156"/>
      <c r="AF31" s="156"/>
    </row>
    <row r="32" spans="1:33" ht="14.4">
      <c r="A32" s="276"/>
      <c r="B32" s="276"/>
      <c r="C32" s="159" t="s">
        <v>61</v>
      </c>
      <c r="D32" s="157" t="s">
        <v>63</v>
      </c>
      <c r="E32" s="276"/>
      <c r="F32" s="129">
        <v>0.13</v>
      </c>
      <c r="G32" s="149">
        <v>100</v>
      </c>
      <c r="H32" s="149">
        <v>100</v>
      </c>
      <c r="I32" s="149">
        <v>100</v>
      </c>
      <c r="J32" s="149">
        <v>100</v>
      </c>
      <c r="K32" s="149">
        <v>89.684047392891003</v>
      </c>
      <c r="L32" s="149">
        <v>3.3944908263760398</v>
      </c>
      <c r="M32" s="149">
        <v>1.12983052542118</v>
      </c>
      <c r="N32" s="149">
        <v>1.04234364845272</v>
      </c>
      <c r="O32" s="149">
        <v>0</v>
      </c>
      <c r="P32" s="149">
        <v>0</v>
      </c>
      <c r="Q32" s="149">
        <v>0</v>
      </c>
      <c r="R32" s="149">
        <v>0</v>
      </c>
      <c r="S32" s="153">
        <v>2.72228773584906</v>
      </c>
      <c r="T32" s="153">
        <v>2.68066743383199</v>
      </c>
      <c r="U32" s="138">
        <f>级配!F32/S32*E29</f>
        <v>2.3876976391596201E-2</v>
      </c>
      <c r="V32" s="138">
        <f>级配!F32/T32*E29</f>
        <v>2.4247692637905102E-2</v>
      </c>
      <c r="W32" s="136"/>
      <c r="X32" s="136"/>
      <c r="Y32" s="136"/>
      <c r="Z32" s="136"/>
      <c r="AA32" s="158"/>
      <c r="AB32" s="136"/>
      <c r="AC32" s="149"/>
      <c r="AD32" s="136"/>
      <c r="AE32" s="156"/>
      <c r="AF32" s="156"/>
    </row>
    <row r="33" spans="1:32" ht="14.4">
      <c r="A33" s="276"/>
      <c r="B33" s="276"/>
      <c r="C33" s="164" t="s">
        <v>81</v>
      </c>
      <c r="D33" s="157" t="s">
        <v>70</v>
      </c>
      <c r="E33" s="276"/>
      <c r="F33" s="129">
        <v>0.13</v>
      </c>
      <c r="G33" s="149">
        <v>100</v>
      </c>
      <c r="H33" s="149">
        <v>100</v>
      </c>
      <c r="I33" s="149">
        <v>100</v>
      </c>
      <c r="J33" s="149">
        <v>100</v>
      </c>
      <c r="K33" s="149">
        <v>100</v>
      </c>
      <c r="L33" s="149">
        <v>95.985683492719403</v>
      </c>
      <c r="M33" s="149">
        <v>12.6915304652741</v>
      </c>
      <c r="N33" s="149">
        <v>5.88519354171454</v>
      </c>
      <c r="O33" s="149">
        <v>4.1839728240916401</v>
      </c>
      <c r="P33" s="149">
        <v>3.6277139461626402</v>
      </c>
      <c r="Q33" s="149">
        <v>3.3515060707669502</v>
      </c>
      <c r="R33" s="149">
        <v>3.1246478405594398</v>
      </c>
      <c r="S33" s="153">
        <v>2.7173719223647201</v>
      </c>
      <c r="T33" s="138">
        <v>2.6843344319634102</v>
      </c>
      <c r="U33" s="138">
        <f>级配!F33/S33*E29</f>
        <v>2.3920170612286101E-2</v>
      </c>
      <c r="V33" s="138">
        <f>级配!F33/T33*E29</f>
        <v>2.42145685075674E-2</v>
      </c>
      <c r="W33" s="138"/>
      <c r="X33" s="138"/>
      <c r="Y33" s="138"/>
      <c r="Z33" s="138"/>
      <c r="AA33" s="158"/>
      <c r="AB33" s="138"/>
      <c r="AC33" s="160"/>
      <c r="AD33" s="136"/>
      <c r="AE33" s="156"/>
      <c r="AF33" s="156"/>
    </row>
    <row r="34" spans="1:32" ht="14.4">
      <c r="A34" s="276"/>
      <c r="B34" s="276"/>
      <c r="C34" s="159" t="s">
        <v>64</v>
      </c>
      <c r="D34" s="157" t="s">
        <v>71</v>
      </c>
      <c r="E34" s="276"/>
      <c r="F34" s="129">
        <v>0.13</v>
      </c>
      <c r="G34" s="149">
        <v>100</v>
      </c>
      <c r="H34" s="149">
        <v>100</v>
      </c>
      <c r="I34" s="149">
        <v>100</v>
      </c>
      <c r="J34" s="149">
        <v>100</v>
      </c>
      <c r="K34" s="149">
        <v>100</v>
      </c>
      <c r="L34" s="149">
        <v>100</v>
      </c>
      <c r="M34" s="149">
        <v>69.772922022279303</v>
      </c>
      <c r="N34" s="149">
        <v>41.231076835190002</v>
      </c>
      <c r="O34" s="149">
        <v>19.951442445015701</v>
      </c>
      <c r="P34" s="149">
        <v>11.610968294772899</v>
      </c>
      <c r="Q34" s="149">
        <v>9.3544701513853408</v>
      </c>
      <c r="R34" s="149">
        <v>7.0408454727221104</v>
      </c>
      <c r="S34" s="153">
        <f>[1]集料筛分及密度!Z11</f>
        <v>2.7402234636871499</v>
      </c>
      <c r="T34" s="153">
        <f>[1]集料筛分及密度!AA11</f>
        <v>2.6452464788732399</v>
      </c>
      <c r="U34" s="138">
        <f>级配!F34/S34*E29</f>
        <v>2.3720693170234501E-2</v>
      </c>
      <c r="V34" s="138">
        <f>级配!F34/T34*E29</f>
        <v>2.4572379367720502E-2</v>
      </c>
      <c r="W34" s="138"/>
      <c r="X34" s="138"/>
      <c r="Y34" s="138"/>
      <c r="Z34" s="138"/>
      <c r="AA34" s="158"/>
      <c r="AB34" s="138"/>
      <c r="AC34" s="160"/>
      <c r="AD34" s="136"/>
      <c r="AE34" s="156"/>
      <c r="AF34" s="156"/>
    </row>
    <row r="35" spans="1:32" ht="14.4">
      <c r="A35" s="276"/>
      <c r="B35" s="276"/>
      <c r="C35" s="164" t="s">
        <v>99</v>
      </c>
      <c r="D35" s="157" t="s">
        <v>72</v>
      </c>
      <c r="E35" s="276"/>
      <c r="F35" s="129">
        <v>0.02</v>
      </c>
      <c r="G35" s="149">
        <v>100</v>
      </c>
      <c r="H35" s="149">
        <v>100</v>
      </c>
      <c r="I35" s="149">
        <v>100</v>
      </c>
      <c r="J35" s="149">
        <v>100</v>
      </c>
      <c r="K35" s="149">
        <v>100</v>
      </c>
      <c r="L35" s="149">
        <v>100</v>
      </c>
      <c r="M35" s="149">
        <v>100</v>
      </c>
      <c r="N35" s="149">
        <v>100</v>
      </c>
      <c r="O35" s="149">
        <v>100</v>
      </c>
      <c r="P35" s="149">
        <v>99.7</v>
      </c>
      <c r="Q35" s="149">
        <v>97.1</v>
      </c>
      <c r="R35" s="149">
        <v>76.599999999999994</v>
      </c>
      <c r="S35" s="153">
        <f>[1]集料筛分及密度!Z39</f>
        <v>2.7292051756007401</v>
      </c>
      <c r="T35" s="153">
        <f>[1]集料筛分及密度!AA39</f>
        <v>2.6426690079016701</v>
      </c>
      <c r="U35" s="138">
        <f>级配!F35/S35*E29</f>
        <v>3.6640704368438898E-3</v>
      </c>
      <c r="V35" s="138">
        <f>级配!F35/T35*E29</f>
        <v>3.7840531561461801E-3</v>
      </c>
      <c r="W35" s="138"/>
      <c r="X35" s="138"/>
      <c r="Y35" s="138"/>
      <c r="Z35" s="138"/>
      <c r="AA35" s="158"/>
      <c r="AB35" s="138"/>
      <c r="AC35" s="160"/>
      <c r="AD35" s="138"/>
      <c r="AE35" s="156"/>
      <c r="AF35" s="156"/>
    </row>
    <row r="36" spans="1:32" ht="14.4">
      <c r="A36" s="276"/>
      <c r="B36" s="276"/>
      <c r="C36" s="159" t="s">
        <v>66</v>
      </c>
      <c r="D36" s="157" t="s">
        <v>62</v>
      </c>
      <c r="E36" s="276">
        <v>0.5</v>
      </c>
      <c r="F36" s="129">
        <v>0.6</v>
      </c>
      <c r="G36" s="149">
        <v>100</v>
      </c>
      <c r="H36" s="149">
        <v>100</v>
      </c>
      <c r="I36" s="149">
        <v>100</v>
      </c>
      <c r="J36" s="149">
        <v>92.75</v>
      </c>
      <c r="K36" s="149">
        <v>55.5</v>
      </c>
      <c r="L36" s="149">
        <v>23.1</v>
      </c>
      <c r="M36" s="149">
        <v>18.350000000000001</v>
      </c>
      <c r="N36" s="149">
        <v>13.95</v>
      </c>
      <c r="O36" s="149">
        <v>10.7</v>
      </c>
      <c r="P36" s="149">
        <v>8.6</v>
      </c>
      <c r="Q36" s="149">
        <v>7.55</v>
      </c>
      <c r="R36" s="149">
        <v>6.25</v>
      </c>
      <c r="S36" s="153">
        <f>[1]集料筛分及密度!S13</f>
        <v>2.71666446412052</v>
      </c>
      <c r="T36" s="153">
        <f>[1]集料筛分及密度!T13</f>
        <v>2.6933906922174402</v>
      </c>
      <c r="U36" s="138">
        <f>级配!F36/S36*E36</f>
        <v>0.11042953738385899</v>
      </c>
      <c r="V36" s="138">
        <f>级配!F36/T36*E36</f>
        <v>0.111383766516626</v>
      </c>
      <c r="W36" s="138"/>
      <c r="X36" s="138"/>
      <c r="Y36" s="138"/>
      <c r="Z36" s="138"/>
      <c r="AA36" s="158"/>
      <c r="AB36" s="138"/>
      <c r="AC36" s="160"/>
      <c r="AD36" s="138"/>
      <c r="AE36" s="156">
        <v>3.28279286427628</v>
      </c>
      <c r="AF36" s="156"/>
    </row>
    <row r="37" spans="1:32" ht="14.4">
      <c r="A37" s="276"/>
      <c r="B37" s="276"/>
      <c r="C37" s="159" t="s">
        <v>67</v>
      </c>
      <c r="D37" s="157" t="s">
        <v>68</v>
      </c>
      <c r="E37" s="276"/>
      <c r="F37" s="129">
        <v>0.4</v>
      </c>
      <c r="G37" s="149">
        <v>100</v>
      </c>
      <c r="H37" s="149">
        <v>100</v>
      </c>
      <c r="I37" s="149">
        <v>100</v>
      </c>
      <c r="J37" s="149">
        <v>100</v>
      </c>
      <c r="K37" s="149">
        <v>98.793897786597498</v>
      </c>
      <c r="L37" s="149">
        <v>81.170722175214706</v>
      </c>
      <c r="M37" s="149">
        <v>61.440213202111302</v>
      </c>
      <c r="N37" s="149">
        <v>46.229199858288702</v>
      </c>
      <c r="O37" s="149">
        <v>32.838359207164501</v>
      </c>
      <c r="P37" s="149">
        <v>23.4634747059287</v>
      </c>
      <c r="Q37" s="149">
        <v>19.381251249845899</v>
      </c>
      <c r="R37" s="149">
        <v>15.1710288134548</v>
      </c>
      <c r="S37" s="153">
        <f>[1]集料筛分及密度!Z14</f>
        <v>2.5628227194492301</v>
      </c>
      <c r="T37" s="153">
        <f>[1]集料筛分及密度!AA14</f>
        <v>2.5337837837837802</v>
      </c>
      <c r="U37" s="138">
        <f>级配!F37/S37*E36</f>
        <v>7.8038952316991206E-2</v>
      </c>
      <c r="V37" s="138">
        <f>级配!F37/T37*E36</f>
        <v>7.89333333333333E-2</v>
      </c>
      <c r="W37" s="138"/>
      <c r="X37" s="138"/>
      <c r="Y37" s="151"/>
      <c r="Z37" s="151"/>
      <c r="AA37" s="158"/>
      <c r="AB37" s="138"/>
      <c r="AC37" s="160"/>
      <c r="AD37" s="138"/>
      <c r="AE37" s="156">
        <v>6</v>
      </c>
      <c r="AF37" s="156"/>
    </row>
    <row r="38" spans="1:32" ht="14.4">
      <c r="A38" s="276"/>
      <c r="B38" s="276"/>
      <c r="C38"/>
      <c r="F38" s="129" t="s">
        <v>240</v>
      </c>
      <c r="G38" s="149">
        <f t="shared" ref="G38" si="2">$E$29*($F$29*G29+$F$30*G30+$F$31*G31+$F$32*G32+$F$33*G33+$F$34*G34+$F$35*G35)+$E$36*($F$36*G36+$F$37*G37)</f>
        <v>99.963999999999999</v>
      </c>
      <c r="H38" s="149">
        <f>E29*(F29*H29+F30*H30+F31*H31+F32*H32+F33*H33+F34*H34+F35*H35)+E36*(F36*H36+F37*H37)</f>
        <v>91.442710217336995</v>
      </c>
      <c r="I38" s="149">
        <f>E29*(F29*I29+F30*I30+F31*I31+F32*I32+F33*I33+F34*I34+F35*I35)+E36*(F36*I36+F37*I37)</f>
        <v>86.284885172166796</v>
      </c>
      <c r="J38" s="149">
        <f>E29*(F29*J29+F30*J30+F31*J31+F32*J32+F33*J33+F34*J34+F35*J35)+E36*(F36*J36+F37*J37)</f>
        <v>78.1746034444065</v>
      </c>
      <c r="K38" s="149">
        <f>E29*(F29*K29+F30*K30+F31*K31+F32*K32+F33*K33+F34*K34+F35*K35)+E36*(F36*K36+F37*K37)</f>
        <v>58.746005413627799</v>
      </c>
      <c r="L38" s="149">
        <f>E29*(F29*L29+F30*L30+F31*L31+F32*L32+F33*L33+F34*L34+F35*L35)+E36*(F36*L36+F37*L37)</f>
        <v>37.237043420631601</v>
      </c>
      <c r="M38" s="149">
        <f>E29*(F29*M29+F30*M30+F31*M31+F32*M32+F33*M33+F34*M34+F35*M35)+E36*(F36*M36+F37*M37)</f>
        <v>24.254868207088901</v>
      </c>
      <c r="N38" s="149">
        <f>E29*(F29*N29+F30*N30+F31*N31+F32*N32+F33*N33+F34*N34+F35*N35)+E36*(F36*N36+F37*N37)</f>
        <v>17.581085656971801</v>
      </c>
      <c r="O38" s="149">
        <f>E29*(F29*O29+F30*O30+F31*O31+F32*O32+F33*O33+F34*O34+F35*O35)+E36*(F36*O36+F37*O37)</f>
        <v>12.3464738339249</v>
      </c>
      <c r="P38" s="149">
        <f>E29*(F29*P29+F30*P30+F31*P31+F32*P32+F33*P33+F34*P34+F35*P35)+E36*(F36*P36+F37*P37)</f>
        <v>9.2602092868465498</v>
      </c>
      <c r="Q38" s="149">
        <f>E29*(F29*Q29+F30*Q30+F31*Q31+F32*Q32+F33*Q33+F34*Q34+F35*Q35)+E36*(F36*Q36+F37*Q37)</f>
        <v>7.9381387044090799</v>
      </c>
      <c r="R38" s="149">
        <f>E29*(F29*R29+F30*R30+F31*R31+F32*R32+F33*R33+F34*R34+F35*R35)+E36*(F36*R36+F37*R37)</f>
        <v>6.3359628280542601</v>
      </c>
      <c r="W38" s="138"/>
      <c r="X38" s="138"/>
      <c r="Y38" s="151"/>
      <c r="Z38" s="151"/>
      <c r="AA38" s="158"/>
      <c r="AB38" s="138"/>
      <c r="AC38" s="160"/>
      <c r="AD38" s="138"/>
      <c r="AE38" s="156"/>
      <c r="AF38" s="156"/>
    </row>
    <row r="39" spans="1:32" ht="14.4">
      <c r="A39" s="276"/>
      <c r="B39" s="276"/>
      <c r="C39"/>
      <c r="F39" s="129" t="s">
        <v>241</v>
      </c>
      <c r="G39" s="149">
        <v>100</v>
      </c>
      <c r="H39" s="149">
        <v>100</v>
      </c>
      <c r="I39" s="149">
        <v>92</v>
      </c>
      <c r="J39" s="149">
        <v>80</v>
      </c>
      <c r="K39" s="149">
        <v>72</v>
      </c>
      <c r="L39" s="149">
        <v>56</v>
      </c>
      <c r="M39" s="149">
        <v>44</v>
      </c>
      <c r="N39" s="149">
        <v>33</v>
      </c>
      <c r="O39" s="149">
        <v>24</v>
      </c>
      <c r="P39" s="149">
        <v>17</v>
      </c>
      <c r="Q39" s="149">
        <v>13</v>
      </c>
      <c r="R39" s="149">
        <v>7</v>
      </c>
      <c r="W39" s="138"/>
      <c r="X39" s="138"/>
      <c r="Y39" s="151"/>
      <c r="Z39" s="151"/>
      <c r="AA39" s="158"/>
      <c r="AB39" s="138"/>
      <c r="AC39" s="160"/>
      <c r="AD39" s="138"/>
      <c r="AE39" s="156"/>
      <c r="AF39" s="156"/>
    </row>
    <row r="40" spans="1:32" ht="14.4">
      <c r="A40" s="276"/>
      <c r="B40" s="276"/>
      <c r="C40"/>
      <c r="F40" s="129" t="s">
        <v>242</v>
      </c>
      <c r="G40" s="149">
        <f t="shared" ref="G40:R40" si="3">(G39+G41)/2</f>
        <v>100</v>
      </c>
      <c r="H40" s="149">
        <f t="shared" si="3"/>
        <v>95</v>
      </c>
      <c r="I40" s="149">
        <f t="shared" si="3"/>
        <v>85</v>
      </c>
      <c r="J40" s="149">
        <f t="shared" si="3"/>
        <v>71</v>
      </c>
      <c r="K40" s="149">
        <f t="shared" si="3"/>
        <v>61</v>
      </c>
      <c r="L40" s="149">
        <f t="shared" si="3"/>
        <v>41</v>
      </c>
      <c r="M40" s="149">
        <f t="shared" si="3"/>
        <v>30</v>
      </c>
      <c r="N40" s="149">
        <f t="shared" si="3"/>
        <v>22.5</v>
      </c>
      <c r="O40" s="149">
        <f t="shared" si="3"/>
        <v>16</v>
      </c>
      <c r="P40" s="149">
        <f t="shared" si="3"/>
        <v>11</v>
      </c>
      <c r="Q40" s="149">
        <f t="shared" si="3"/>
        <v>8.5</v>
      </c>
      <c r="R40" s="149">
        <f t="shared" si="3"/>
        <v>5</v>
      </c>
      <c r="W40" s="138"/>
      <c r="X40" s="138"/>
      <c r="Y40" s="151"/>
      <c r="Z40" s="151"/>
      <c r="AA40" s="158"/>
      <c r="AB40" s="138"/>
      <c r="AC40" s="160"/>
      <c r="AD40" s="138"/>
      <c r="AE40" s="156"/>
      <c r="AF40" s="156"/>
    </row>
    <row r="41" spans="1:32" ht="14.4">
      <c r="A41" s="276"/>
      <c r="B41" s="276"/>
      <c r="C41"/>
      <c r="F41" s="129" t="s">
        <v>243</v>
      </c>
      <c r="G41" s="149">
        <v>100</v>
      </c>
      <c r="H41" s="149">
        <v>90</v>
      </c>
      <c r="I41" s="149">
        <v>78</v>
      </c>
      <c r="J41" s="149">
        <v>62</v>
      </c>
      <c r="K41" s="149">
        <v>50</v>
      </c>
      <c r="L41" s="149">
        <v>26</v>
      </c>
      <c r="M41" s="149">
        <v>16</v>
      </c>
      <c r="N41" s="149">
        <v>12</v>
      </c>
      <c r="O41" s="149">
        <v>8</v>
      </c>
      <c r="P41" s="149">
        <v>5</v>
      </c>
      <c r="Q41" s="149">
        <v>4</v>
      </c>
      <c r="R41" s="149">
        <v>3</v>
      </c>
      <c r="W41" s="138"/>
      <c r="X41" s="138"/>
      <c r="Y41" s="151"/>
      <c r="Z41" s="151"/>
      <c r="AA41" s="158"/>
      <c r="AB41" s="138"/>
      <c r="AC41" s="160"/>
      <c r="AD41" s="138"/>
      <c r="AE41" s="156"/>
      <c r="AF41" s="156"/>
    </row>
    <row r="42" spans="1:32" ht="14.4">
      <c r="A42" s="276" t="s">
        <v>78</v>
      </c>
      <c r="B42" s="276" t="s">
        <v>197</v>
      </c>
      <c r="C42" s="159" t="s">
        <v>61</v>
      </c>
      <c r="D42" s="129" t="s">
        <v>244</v>
      </c>
      <c r="E42" s="276">
        <v>0.5</v>
      </c>
      <c r="F42" s="129">
        <v>0.22</v>
      </c>
      <c r="G42" s="149">
        <v>99.6</v>
      </c>
      <c r="H42" s="149">
        <v>14.7</v>
      </c>
      <c r="I42" s="149">
        <v>0</v>
      </c>
      <c r="J42" s="149">
        <v>0</v>
      </c>
      <c r="K42" s="149">
        <v>0</v>
      </c>
      <c r="L42" s="149">
        <v>0</v>
      </c>
      <c r="M42" s="149">
        <v>0</v>
      </c>
      <c r="N42" s="149">
        <v>0</v>
      </c>
      <c r="O42" s="149">
        <v>0</v>
      </c>
      <c r="P42" s="149">
        <v>0</v>
      </c>
      <c r="Q42" s="149">
        <v>0</v>
      </c>
      <c r="R42" s="149">
        <v>0</v>
      </c>
      <c r="S42" s="138">
        <v>2.7242297971172902</v>
      </c>
      <c r="T42" s="138">
        <v>2.70766524592382</v>
      </c>
      <c r="U42" s="138">
        <f>级配!F42/S42*E42</f>
        <v>4.0378385155466399E-2</v>
      </c>
      <c r="V42" s="138">
        <f>级配!F42/T42*E42</f>
        <v>4.0625406026685303E-2</v>
      </c>
      <c r="W42" s="138">
        <f>1/SUM(U42:U50)</f>
        <v>2.6755823222149102</v>
      </c>
      <c r="X42" s="153">
        <v>0.70799999999999996</v>
      </c>
      <c r="Y42" s="138">
        <v>0.74199999999999999</v>
      </c>
      <c r="Z42" s="138">
        <f>Y42*W42+(1-Y42)*AB42</f>
        <v>2.6665126096974601</v>
      </c>
      <c r="AA42" s="158">
        <v>2.5670000000000002</v>
      </c>
      <c r="AB42" s="138">
        <f>1/SUM(V42:V50)</f>
        <v>2.64042839772867</v>
      </c>
      <c r="AC42" s="160">
        <v>4.2</v>
      </c>
      <c r="AD42" s="138">
        <v>4.03</v>
      </c>
      <c r="AE42" s="156"/>
      <c r="AF42" s="156">
        <f>AC42-E49*F49*AE49-E49*F50*AE50</f>
        <v>1.7896086630030399</v>
      </c>
    </row>
    <row r="43" spans="1:32" ht="14.4">
      <c r="A43" s="276"/>
      <c r="B43" s="276"/>
      <c r="C43" s="159" t="s">
        <v>61</v>
      </c>
      <c r="D43" s="157" t="s">
        <v>62</v>
      </c>
      <c r="E43" s="276"/>
      <c r="F43" s="129">
        <v>0.16</v>
      </c>
      <c r="G43" s="149">
        <v>100</v>
      </c>
      <c r="H43" s="149">
        <v>93.712215838121395</v>
      </c>
      <c r="I43" s="149">
        <v>66.512615538346196</v>
      </c>
      <c r="J43" s="149">
        <v>33.717212090931802</v>
      </c>
      <c r="K43" s="149">
        <v>5.6632525605795596</v>
      </c>
      <c r="L43" s="149">
        <v>0.44716462653010303</v>
      </c>
      <c r="M43" s="149">
        <v>0</v>
      </c>
      <c r="N43" s="149">
        <v>0</v>
      </c>
      <c r="O43" s="149">
        <v>0</v>
      </c>
      <c r="P43" s="149">
        <v>0</v>
      </c>
      <c r="Q43" s="149">
        <v>0</v>
      </c>
      <c r="R43" s="149">
        <v>0</v>
      </c>
      <c r="S43" s="138">
        <v>2.7173719223647201</v>
      </c>
      <c r="T43" s="138">
        <v>2.6843344319634102</v>
      </c>
      <c r="U43" s="138">
        <f>级配!F43/S43*E42</f>
        <v>2.9440209984352098E-2</v>
      </c>
      <c r="V43" s="138">
        <f>级配!F43/T43*E42</f>
        <v>2.9802545855467599E-2</v>
      </c>
      <c r="W43" s="138"/>
      <c r="X43" s="138"/>
      <c r="Y43" s="151"/>
      <c r="Z43" s="151"/>
      <c r="AA43" s="158"/>
      <c r="AB43" s="138"/>
      <c r="AC43" s="160"/>
      <c r="AD43" s="138"/>
      <c r="AE43" s="156"/>
      <c r="AF43" s="156"/>
    </row>
    <row r="44" spans="1:32" ht="14.4">
      <c r="A44" s="276"/>
      <c r="B44" s="276"/>
      <c r="C44" s="159" t="s">
        <v>61</v>
      </c>
      <c r="D44" s="157" t="s">
        <v>79</v>
      </c>
      <c r="E44" s="276"/>
      <c r="F44" s="129">
        <v>0.14000000000000001</v>
      </c>
      <c r="G44" s="149">
        <v>100</v>
      </c>
      <c r="H44" s="149">
        <v>100</v>
      </c>
      <c r="I44" s="149">
        <v>99.586446104589101</v>
      </c>
      <c r="J44" s="149">
        <v>78.9106731027085</v>
      </c>
      <c r="K44" s="149">
        <v>26.3831910352188</v>
      </c>
      <c r="L44" s="149">
        <v>0.77822472512737995</v>
      </c>
      <c r="M44" s="149">
        <v>0.43380262805041397</v>
      </c>
      <c r="N44" s="149">
        <v>0.30670421024403099</v>
      </c>
      <c r="O44" s="149">
        <v>0</v>
      </c>
      <c r="P44" s="149">
        <v>0</v>
      </c>
      <c r="Q44" s="149">
        <v>0</v>
      </c>
      <c r="R44" s="149">
        <v>0</v>
      </c>
      <c r="S44" s="138">
        <v>2.72228773584906</v>
      </c>
      <c r="T44" s="138">
        <v>2.68066743383199</v>
      </c>
      <c r="U44" s="138">
        <f>级配!F44/S44*E42</f>
        <v>2.5713666883257501E-2</v>
      </c>
      <c r="V44" s="138">
        <f>级配!F44/T44*E42</f>
        <v>2.6112899763897801E-2</v>
      </c>
    </row>
    <row r="45" spans="1:32" ht="14.4">
      <c r="A45" s="276"/>
      <c r="B45" s="276"/>
      <c r="C45" s="159" t="s">
        <v>61</v>
      </c>
      <c r="D45" s="157" t="s">
        <v>63</v>
      </c>
      <c r="E45" s="276"/>
      <c r="F45" s="129">
        <v>0.14000000000000001</v>
      </c>
      <c r="G45" s="149">
        <v>100</v>
      </c>
      <c r="H45" s="149">
        <v>100</v>
      </c>
      <c r="I45" s="149">
        <v>100</v>
      </c>
      <c r="J45" s="149">
        <v>100</v>
      </c>
      <c r="K45" s="149">
        <v>89.684047392891003</v>
      </c>
      <c r="L45" s="149">
        <v>3.3944908263760398</v>
      </c>
      <c r="M45" s="149">
        <v>1.12983052542118</v>
      </c>
      <c r="N45" s="149">
        <v>1.04234364845272</v>
      </c>
      <c r="O45" s="149">
        <v>0</v>
      </c>
      <c r="P45" s="149">
        <v>0</v>
      </c>
      <c r="Q45" s="149">
        <v>0</v>
      </c>
      <c r="R45" s="149">
        <v>0</v>
      </c>
      <c r="S45" s="138">
        <v>2.72228773584906</v>
      </c>
      <c r="T45" s="138">
        <v>2.68066743383199</v>
      </c>
      <c r="U45" s="138">
        <f>级配!F45/S45*E42</f>
        <v>2.5713666883257501E-2</v>
      </c>
      <c r="V45" s="138">
        <f>级配!F45/T45*E42</f>
        <v>2.6112899763897801E-2</v>
      </c>
    </row>
    <row r="46" spans="1:32" ht="14.4">
      <c r="A46" s="276"/>
      <c r="B46" s="276"/>
      <c r="C46" s="164" t="s">
        <v>81</v>
      </c>
      <c r="D46" s="157" t="s">
        <v>70</v>
      </c>
      <c r="E46" s="276"/>
      <c r="F46" s="129">
        <v>0.14000000000000001</v>
      </c>
      <c r="G46" s="149">
        <v>100</v>
      </c>
      <c r="H46" s="149">
        <v>100</v>
      </c>
      <c r="I46" s="149">
        <v>100</v>
      </c>
      <c r="J46" s="149">
        <v>100</v>
      </c>
      <c r="K46" s="149">
        <v>100</v>
      </c>
      <c r="L46" s="149">
        <v>95.985683492719403</v>
      </c>
      <c r="M46" s="149">
        <v>12.6915304652741</v>
      </c>
      <c r="N46" s="149">
        <v>5.88519354171454</v>
      </c>
      <c r="O46" s="149">
        <v>4.1839728240916401</v>
      </c>
      <c r="P46" s="149">
        <v>3.6277139461626402</v>
      </c>
      <c r="Q46" s="149">
        <v>3.3515060707669502</v>
      </c>
      <c r="R46" s="149">
        <v>3.1246478405594398</v>
      </c>
      <c r="S46" s="138">
        <v>2.7173719223647201</v>
      </c>
      <c r="T46" s="138">
        <v>2.6843344319634102</v>
      </c>
      <c r="U46" s="138">
        <f>级配!F46/S46*E42</f>
        <v>2.57601837363081E-2</v>
      </c>
      <c r="V46" s="138">
        <f>级配!F46/T46*E42</f>
        <v>2.6077227623534101E-2</v>
      </c>
    </row>
    <row r="47" spans="1:32" ht="14.4">
      <c r="A47" s="276"/>
      <c r="B47" s="276"/>
      <c r="C47" s="159" t="s">
        <v>64</v>
      </c>
      <c r="D47" s="157" t="s">
        <v>71</v>
      </c>
      <c r="E47" s="276"/>
      <c r="F47" s="129">
        <v>0.18</v>
      </c>
      <c r="G47" s="149">
        <v>100</v>
      </c>
      <c r="H47" s="149">
        <v>100</v>
      </c>
      <c r="I47" s="149">
        <v>100</v>
      </c>
      <c r="J47" s="149">
        <v>100</v>
      </c>
      <c r="K47" s="149">
        <v>100</v>
      </c>
      <c r="L47" s="149">
        <v>100</v>
      </c>
      <c r="M47" s="149">
        <v>69.772922022279303</v>
      </c>
      <c r="N47" s="149">
        <v>41.231076835190002</v>
      </c>
      <c r="O47" s="149">
        <v>19.951442445015701</v>
      </c>
      <c r="P47" s="149">
        <v>11.610968294772899</v>
      </c>
      <c r="Q47" s="149">
        <v>9.3544701513853408</v>
      </c>
      <c r="R47" s="149">
        <v>7.0408454727221104</v>
      </c>
      <c r="S47" s="138">
        <v>2.7402234636871499</v>
      </c>
      <c r="T47" s="138">
        <v>2.6452464788732399</v>
      </c>
      <c r="U47" s="138">
        <f>级配!F47/S47*E42</f>
        <v>3.2844036697247697E-2</v>
      </c>
      <c r="V47" s="138">
        <f>级配!F47/T47*E42</f>
        <v>3.4023294509151397E-2</v>
      </c>
    </row>
    <row r="48" spans="1:32" ht="14.4">
      <c r="A48" s="276"/>
      <c r="B48" s="276"/>
      <c r="C48" s="164" t="s">
        <v>99</v>
      </c>
      <c r="D48" s="157" t="s">
        <v>72</v>
      </c>
      <c r="E48" s="276"/>
      <c r="F48" s="129">
        <v>0.02</v>
      </c>
      <c r="G48" s="149">
        <v>100</v>
      </c>
      <c r="H48" s="149">
        <v>100</v>
      </c>
      <c r="I48" s="149">
        <v>100</v>
      </c>
      <c r="J48" s="149">
        <v>100</v>
      </c>
      <c r="K48" s="149">
        <v>100</v>
      </c>
      <c r="L48" s="149">
        <v>100</v>
      </c>
      <c r="M48" s="149">
        <v>100</v>
      </c>
      <c r="N48" s="149">
        <v>100</v>
      </c>
      <c r="O48" s="149">
        <v>100</v>
      </c>
      <c r="P48" s="149">
        <v>99.7</v>
      </c>
      <c r="Q48" s="149">
        <v>97.1</v>
      </c>
      <c r="R48" s="149">
        <v>76.599999999999994</v>
      </c>
      <c r="S48" s="138">
        <v>2.7292051756007401</v>
      </c>
      <c r="T48" s="138">
        <v>2.6426690079016701</v>
      </c>
      <c r="U48" s="138">
        <f>级配!F48/S48*E42</f>
        <v>3.6640704368438898E-3</v>
      </c>
      <c r="V48" s="138">
        <f>级配!F48/T48*E42</f>
        <v>3.7840531561461801E-3</v>
      </c>
    </row>
    <row r="49" spans="1:32" ht="14.4">
      <c r="A49" s="276"/>
      <c r="B49" s="276"/>
      <c r="C49" s="159" t="s">
        <v>66</v>
      </c>
      <c r="D49" s="157" t="s">
        <v>62</v>
      </c>
      <c r="E49" s="276">
        <v>0.5</v>
      </c>
      <c r="F49" s="129">
        <v>0.44</v>
      </c>
      <c r="G49" s="149">
        <v>100</v>
      </c>
      <c r="H49" s="149">
        <v>100</v>
      </c>
      <c r="I49" s="149">
        <v>100</v>
      </c>
      <c r="J49" s="149">
        <v>92.75</v>
      </c>
      <c r="K49" s="149">
        <v>55.5</v>
      </c>
      <c r="L49" s="149">
        <v>23.1</v>
      </c>
      <c r="M49" s="149">
        <v>18.350000000000001</v>
      </c>
      <c r="N49" s="149">
        <v>13.95</v>
      </c>
      <c r="O49" s="149">
        <v>10.7</v>
      </c>
      <c r="P49" s="149">
        <v>8.6</v>
      </c>
      <c r="Q49" s="149">
        <v>7.55</v>
      </c>
      <c r="R49" s="149">
        <v>6.25</v>
      </c>
      <c r="S49" s="138">
        <v>2.71666446412052</v>
      </c>
      <c r="T49" s="138">
        <v>2.6933906922174402</v>
      </c>
      <c r="U49" s="138">
        <f>级配!F49/S49*E49</f>
        <v>8.0981660748163695E-2</v>
      </c>
      <c r="V49" s="138">
        <f>级配!F49/T49*E49</f>
        <v>8.1681428778858797E-2</v>
      </c>
      <c r="AE49" s="154">
        <v>3.2811631047906702</v>
      </c>
    </row>
    <row r="50" spans="1:32" ht="14.4">
      <c r="A50" s="276"/>
      <c r="B50" s="276"/>
      <c r="C50" s="159" t="s">
        <v>67</v>
      </c>
      <c r="D50" s="157" t="s">
        <v>68</v>
      </c>
      <c r="E50" s="276"/>
      <c r="F50" s="129">
        <v>0.56000000000000005</v>
      </c>
      <c r="G50" s="149">
        <v>100</v>
      </c>
      <c r="H50" s="149">
        <v>100</v>
      </c>
      <c r="I50" s="149">
        <v>100</v>
      </c>
      <c r="J50" s="149">
        <v>100</v>
      </c>
      <c r="K50" s="149">
        <v>98.793897786597498</v>
      </c>
      <c r="L50" s="149">
        <v>81.170722175214706</v>
      </c>
      <c r="M50" s="149">
        <v>61.440213202111302</v>
      </c>
      <c r="N50" s="149">
        <v>46.229199858288702</v>
      </c>
      <c r="O50" s="149">
        <v>32.838359207164501</v>
      </c>
      <c r="P50" s="149">
        <v>23.4634747059287</v>
      </c>
      <c r="Q50" s="149">
        <v>19.381251249845899</v>
      </c>
      <c r="R50" s="149">
        <v>15.1710288134548</v>
      </c>
      <c r="S50" s="138">
        <v>2.5628227194492301</v>
      </c>
      <c r="T50" s="138">
        <v>2.5337837837837802</v>
      </c>
      <c r="U50" s="138">
        <f>级配!F50/S50*E49</f>
        <v>0.109254533243788</v>
      </c>
      <c r="V50" s="138">
        <f>级配!F50/T50*E49</f>
        <v>0.110506666666667</v>
      </c>
      <c r="AE50" s="154">
        <v>6.0304837640821702</v>
      </c>
    </row>
    <row r="51" spans="1:32" ht="14.4">
      <c r="A51" s="276"/>
      <c r="B51" s="276"/>
      <c r="C51"/>
      <c r="F51" s="129" t="s">
        <v>240</v>
      </c>
      <c r="G51" s="149">
        <f t="shared" ref="G51" si="4">$E$29*($F$29*G42+$F$30*G43+$F$31*G44+$F$32*G45+$F$33*G46+$F$34*G47+$F$35*G48)+$E$36*($F$36*G49+$F$37*G50)</f>
        <v>99.963999999999999</v>
      </c>
      <c r="H51" s="149">
        <f>E42*(F42*H42+F43*H43+F44*H44+F45*H45+F46*H46+F47*H47+F48*H48)+E49*(F49*H49+F50*H50)</f>
        <v>90.113977267049705</v>
      </c>
      <c r="I51" s="149">
        <f>E42*(F42*I42+F43*I43+F44*I44+F45*I45+F46*I46+F47*I47+F48*I48)+E49*(F49*I49+F50*I50)</f>
        <v>86.292060470388904</v>
      </c>
      <c r="J51" s="149">
        <f>E42*(F42*J42+F43*J43+F44*J44+F45*J45+F46*J46+F47*J47+F48*J48)+E49*(F49*J49+F50*J50)</f>
        <v>80.626124084464095</v>
      </c>
      <c r="K51" s="149">
        <f>E42*(F42*K42+F43*K43+F44*K44+F45*K45+F46*K46+F47*K47+F48*K48)+E49*(F49*K49+F50*K50)</f>
        <v>65.450058275061394</v>
      </c>
      <c r="L51" s="149">
        <f>E42*(F42*L42+F43*L43+F44*L44+F45*L45+F46*L46+F47*L47+F48*L48)+E49*(F49*L49+F50*L50)</f>
        <v>44.856663312278101</v>
      </c>
      <c r="M51" s="149">
        <f>E42*(F42*M42+F43*M43+F44*M44+F45*M45+F46*M46+F47*M47+F48*M48)+E49*(F49*M49+F50*M50)</f>
        <v>29.517684131908499</v>
      </c>
      <c r="N51" s="149">
        <f>E42*(F42*N42+F43*N43+F44*N44+F45*N45+F46*N46+F47*N47+F48*N48)+E49*(F49*N49+F50*N50)</f>
        <v>21.230369773516699</v>
      </c>
      <c r="O51" s="149">
        <f>E42*(F42*O42+F43*O43+F44*O44+F45*O45+F46*O46+F47*O47+F48*O48)+E49*(F49*O49+F50*O50)</f>
        <v>14.637248495743901</v>
      </c>
      <c r="P51" s="149">
        <f>E42*(F42*P42+F43*P43+F44*P44+F45*P45+F46*P46+F47*P47+F48*P48)+E49*(F49*P49+F50*P50)</f>
        <v>10.757700040421</v>
      </c>
      <c r="Q51" s="149">
        <f>E42*(F42*Q42+F43*Q43+F44*Q44+F45*Q45+F46*Q46+F47*Q47+F48*Q48)+E49*(F49*Q49+F50*Q50)</f>
        <v>9.1352580885352204</v>
      </c>
      <c r="R51" s="149">
        <f>E42*(F42*R42+F43*R43+F44*R44+F45*R45+F46*R46+F47*R47+F48*R48)+E49*(F49*R49+F50*R50)</f>
        <v>7.2412895091514997</v>
      </c>
    </row>
    <row r="52" spans="1:32" ht="14.4">
      <c r="A52" s="276"/>
      <c r="B52" s="276"/>
      <c r="C52"/>
      <c r="F52" s="129" t="s">
        <v>241</v>
      </c>
      <c r="G52" s="149">
        <v>100</v>
      </c>
      <c r="H52" s="149">
        <v>100</v>
      </c>
      <c r="I52" s="149">
        <v>92</v>
      </c>
      <c r="J52" s="149">
        <v>80</v>
      </c>
      <c r="K52" s="149">
        <v>72</v>
      </c>
      <c r="L52" s="149">
        <v>56</v>
      </c>
      <c r="M52" s="149">
        <v>44</v>
      </c>
      <c r="N52" s="149">
        <v>33</v>
      </c>
      <c r="O52" s="149">
        <v>24</v>
      </c>
      <c r="P52" s="149">
        <v>17</v>
      </c>
      <c r="Q52" s="149">
        <v>13</v>
      </c>
      <c r="R52" s="149">
        <v>7</v>
      </c>
    </row>
    <row r="53" spans="1:32" ht="14.4">
      <c r="A53" s="276"/>
      <c r="B53" s="276"/>
      <c r="C53"/>
      <c r="F53" s="129" t="s">
        <v>242</v>
      </c>
      <c r="G53" s="149">
        <f t="shared" ref="G53:R53" si="5">(G52+G54)/2</f>
        <v>100</v>
      </c>
      <c r="H53" s="149">
        <f t="shared" si="5"/>
        <v>95</v>
      </c>
      <c r="I53" s="149">
        <f t="shared" si="5"/>
        <v>85</v>
      </c>
      <c r="J53" s="149">
        <f t="shared" si="5"/>
        <v>71</v>
      </c>
      <c r="K53" s="149">
        <f t="shared" si="5"/>
        <v>61</v>
      </c>
      <c r="L53" s="149">
        <f t="shared" si="5"/>
        <v>41</v>
      </c>
      <c r="M53" s="149">
        <f t="shared" si="5"/>
        <v>30</v>
      </c>
      <c r="N53" s="149">
        <f t="shared" si="5"/>
        <v>22.5</v>
      </c>
      <c r="O53" s="149">
        <f t="shared" si="5"/>
        <v>16</v>
      </c>
      <c r="P53" s="149">
        <f t="shared" si="5"/>
        <v>11</v>
      </c>
      <c r="Q53" s="149">
        <f t="shared" si="5"/>
        <v>8.5</v>
      </c>
      <c r="R53" s="149">
        <f t="shared" si="5"/>
        <v>5</v>
      </c>
    </row>
    <row r="54" spans="1:32" ht="14.4">
      <c r="A54" s="276"/>
      <c r="B54" s="276"/>
      <c r="C54"/>
      <c r="F54" s="129" t="s">
        <v>243</v>
      </c>
      <c r="G54" s="149">
        <v>100</v>
      </c>
      <c r="H54" s="149">
        <v>90</v>
      </c>
      <c r="I54" s="149">
        <v>78</v>
      </c>
      <c r="J54" s="149">
        <v>62</v>
      </c>
      <c r="K54" s="149">
        <v>50</v>
      </c>
      <c r="L54" s="149">
        <v>26</v>
      </c>
      <c r="M54" s="149">
        <v>16</v>
      </c>
      <c r="N54" s="149">
        <v>12</v>
      </c>
      <c r="O54" s="149">
        <v>8</v>
      </c>
      <c r="P54" s="149">
        <v>5</v>
      </c>
      <c r="Q54" s="149">
        <v>4</v>
      </c>
      <c r="R54" s="149">
        <v>3</v>
      </c>
    </row>
    <row r="55" spans="1:32">
      <c r="A55" s="276" t="s">
        <v>80</v>
      </c>
      <c r="B55" s="276" t="s">
        <v>197</v>
      </c>
      <c r="C55" s="159" t="s">
        <v>81</v>
      </c>
      <c r="D55" s="168" t="s">
        <v>62</v>
      </c>
      <c r="E55" s="276">
        <v>0.5</v>
      </c>
      <c r="F55" s="129">
        <v>0.65</v>
      </c>
      <c r="G55" s="149">
        <v>100</v>
      </c>
      <c r="H55" s="149">
        <v>82.345575284429003</v>
      </c>
      <c r="I55" s="149">
        <v>59.458728043033297</v>
      </c>
      <c r="J55" s="149">
        <v>33.822963773980099</v>
      </c>
      <c r="K55" s="149">
        <v>4.98267244251916</v>
      </c>
      <c r="L55" s="149">
        <v>0.71659446851049302</v>
      </c>
      <c r="M55" s="149">
        <v>0</v>
      </c>
      <c r="N55" s="149">
        <v>0</v>
      </c>
      <c r="O55" s="149">
        <v>0</v>
      </c>
      <c r="P55" s="149">
        <v>0</v>
      </c>
      <c r="Q55" s="149">
        <v>0</v>
      </c>
      <c r="R55" s="149">
        <v>0</v>
      </c>
      <c r="S55" s="138">
        <v>2.7370000000000001</v>
      </c>
      <c r="T55" s="138">
        <v>2.69</v>
      </c>
      <c r="U55" s="138">
        <f>级配!F55/S55*E55</f>
        <v>0.118743149433687</v>
      </c>
      <c r="V55" s="138">
        <f>级配!F55/T55*E55</f>
        <v>0.120817843866171</v>
      </c>
      <c r="W55" s="138">
        <f>1/SUM(U55:U63)</f>
        <v>2.7600559753295402</v>
      </c>
      <c r="X55" s="153">
        <v>0.70799999999999996</v>
      </c>
      <c r="Y55" s="138">
        <v>0.4</v>
      </c>
      <c r="Z55" s="138">
        <f>0.033*Y55*Y55-0.2936*Y55+0.9336</f>
        <v>0.82143999999999995</v>
      </c>
      <c r="AA55" s="158">
        <v>2.5670000000000002</v>
      </c>
      <c r="AB55" s="138">
        <f>1/SUM(V55:V63)</f>
        <v>2.6999314840984998</v>
      </c>
      <c r="AC55" s="160">
        <v>4.4000000000000004</v>
      </c>
      <c r="AD55" s="138">
        <f>100*AC55/(100+AC55)</f>
        <v>4.2145593869731801</v>
      </c>
      <c r="AE55" s="156"/>
      <c r="AF55" s="156">
        <f>AC55-E62*F62*AE62-E62*F63*AE63</f>
        <v>2.5427718564806798</v>
      </c>
    </row>
    <row r="56" spans="1:32">
      <c r="A56" s="276"/>
      <c r="B56" s="276"/>
      <c r="C56" s="159" t="s">
        <v>81</v>
      </c>
      <c r="D56" s="168" t="s">
        <v>63</v>
      </c>
      <c r="E56" s="276"/>
      <c r="F56" s="129">
        <v>0.05</v>
      </c>
      <c r="G56" s="149">
        <v>100</v>
      </c>
      <c r="H56" s="149">
        <v>100</v>
      </c>
      <c r="I56" s="149">
        <v>99.5</v>
      </c>
      <c r="J56" s="149">
        <v>66.5</v>
      </c>
      <c r="K56" s="149">
        <v>6.5</v>
      </c>
      <c r="L56" s="149">
        <v>0</v>
      </c>
      <c r="M56" s="149">
        <v>0</v>
      </c>
      <c r="N56" s="149">
        <v>0</v>
      </c>
      <c r="O56" s="149">
        <v>0</v>
      </c>
      <c r="P56" s="149">
        <v>0</v>
      </c>
      <c r="Q56" s="149">
        <v>0</v>
      </c>
      <c r="R56" s="149">
        <v>0</v>
      </c>
      <c r="S56" s="138">
        <v>2.87</v>
      </c>
      <c r="T56" s="138">
        <v>2.8330000000000002</v>
      </c>
      <c r="U56" s="138">
        <f>级配!F56/S56*E55</f>
        <v>8.7108013937282208E-3</v>
      </c>
      <c r="V56" s="138">
        <f>级配!F56/T56*E55</f>
        <v>8.8245675961877903E-3</v>
      </c>
      <c r="W56" s="138"/>
      <c r="X56" s="138"/>
      <c r="Y56" s="151"/>
      <c r="Z56" s="151"/>
      <c r="AA56" s="158"/>
      <c r="AB56" s="138"/>
      <c r="AC56" s="160"/>
      <c r="AD56" s="138"/>
      <c r="AE56" s="156"/>
      <c r="AF56" s="156"/>
    </row>
    <row r="57" spans="1:32">
      <c r="A57" s="276"/>
      <c r="B57" s="276"/>
      <c r="C57" s="159" t="s">
        <v>81</v>
      </c>
      <c r="D57" s="168" t="s">
        <v>70</v>
      </c>
      <c r="E57" s="276"/>
      <c r="F57" s="129">
        <v>0</v>
      </c>
      <c r="G57" s="149">
        <v>100</v>
      </c>
      <c r="H57" s="149">
        <v>100</v>
      </c>
      <c r="I57" s="149">
        <v>100</v>
      </c>
      <c r="J57" s="149">
        <v>100</v>
      </c>
      <c r="K57" s="149">
        <v>98.5</v>
      </c>
      <c r="L57" s="149">
        <v>25</v>
      </c>
      <c r="M57" s="149">
        <v>3</v>
      </c>
      <c r="N57" s="149">
        <v>2.5</v>
      </c>
      <c r="O57" s="149">
        <v>2</v>
      </c>
      <c r="P57" s="149">
        <v>2</v>
      </c>
      <c r="Q57" s="149">
        <v>2</v>
      </c>
      <c r="R57" s="149">
        <v>2</v>
      </c>
      <c r="S57" s="138">
        <v>2.7440000000000002</v>
      </c>
      <c r="T57" s="138">
        <v>2.669</v>
      </c>
      <c r="U57" s="138">
        <f>级配!F57/S57*E55</f>
        <v>0</v>
      </c>
      <c r="V57" s="138">
        <f>级配!F57/T57*E55</f>
        <v>0</v>
      </c>
    </row>
    <row r="58" spans="1:32">
      <c r="A58" s="276"/>
      <c r="B58" s="276"/>
      <c r="C58" s="159" t="s">
        <v>82</v>
      </c>
      <c r="D58" s="168" t="s">
        <v>71</v>
      </c>
      <c r="E58" s="276"/>
      <c r="F58" s="129">
        <v>0.3</v>
      </c>
      <c r="G58" s="149">
        <v>100</v>
      </c>
      <c r="H58" s="149">
        <v>100</v>
      </c>
      <c r="I58" s="149">
        <v>100</v>
      </c>
      <c r="J58" s="149">
        <v>100</v>
      </c>
      <c r="K58" s="149">
        <v>100</v>
      </c>
      <c r="L58" s="149">
        <v>99</v>
      </c>
      <c r="M58" s="149">
        <v>63.5</v>
      </c>
      <c r="N58" s="149">
        <v>45.5</v>
      </c>
      <c r="O58" s="149">
        <v>32</v>
      </c>
      <c r="P58" s="149">
        <v>22</v>
      </c>
      <c r="Q58" s="149">
        <v>17</v>
      </c>
      <c r="R58" s="149">
        <v>12</v>
      </c>
      <c r="S58" s="138">
        <v>2.8809999999999998</v>
      </c>
      <c r="T58" s="138">
        <v>2.7869999999999999</v>
      </c>
      <c r="U58" s="138">
        <f>级配!F58/S58*E55</f>
        <v>5.2065255119750103E-2</v>
      </c>
      <c r="V58" s="138">
        <f>级配!F58/T58*E55</f>
        <v>5.3821313240043099E-2</v>
      </c>
    </row>
    <row r="59" spans="1:32" ht="14.4">
      <c r="A59" s="276"/>
      <c r="B59" s="276"/>
      <c r="C59" s="164" t="s">
        <v>99</v>
      </c>
      <c r="D59" s="157" t="s">
        <v>72</v>
      </c>
      <c r="E59" s="276"/>
      <c r="F59" s="129">
        <v>0</v>
      </c>
      <c r="G59" s="149">
        <v>100</v>
      </c>
      <c r="H59" s="149">
        <v>100</v>
      </c>
      <c r="I59" s="149">
        <v>100</v>
      </c>
      <c r="J59" s="149">
        <v>100</v>
      </c>
      <c r="K59" s="149">
        <v>100</v>
      </c>
      <c r="L59" s="149">
        <v>100</v>
      </c>
      <c r="M59" s="149">
        <v>100</v>
      </c>
      <c r="N59" s="149">
        <v>100</v>
      </c>
      <c r="O59" s="149">
        <v>100</v>
      </c>
      <c r="P59" s="149">
        <v>99.7</v>
      </c>
      <c r="Q59" s="149">
        <v>97.1</v>
      </c>
      <c r="R59" s="149">
        <v>76.599999999999994</v>
      </c>
      <c r="S59" s="138">
        <v>2.7173719223647201</v>
      </c>
      <c r="T59" s="138">
        <v>2.6843344319634102</v>
      </c>
      <c r="U59" s="138">
        <f>级配!F59/S59*E55</f>
        <v>0</v>
      </c>
      <c r="V59" s="138">
        <f>级配!F59/T59*E55</f>
        <v>0</v>
      </c>
    </row>
    <row r="60" spans="1:32" ht="14.4">
      <c r="A60" s="276"/>
      <c r="B60" s="276"/>
      <c r="C60" s="164" t="s">
        <v>99</v>
      </c>
      <c r="D60" s="157" t="s">
        <v>72</v>
      </c>
      <c r="E60" s="276"/>
      <c r="F60" s="129">
        <v>0</v>
      </c>
      <c r="G60" s="149">
        <v>100</v>
      </c>
      <c r="H60" s="149">
        <v>100</v>
      </c>
      <c r="I60" s="149">
        <v>100</v>
      </c>
      <c r="J60" s="149">
        <v>100</v>
      </c>
      <c r="K60" s="149">
        <v>100</v>
      </c>
      <c r="L60" s="149">
        <v>100</v>
      </c>
      <c r="M60" s="149">
        <v>100</v>
      </c>
      <c r="N60" s="149">
        <v>100</v>
      </c>
      <c r="O60" s="149">
        <v>100</v>
      </c>
      <c r="P60" s="149">
        <v>99.7</v>
      </c>
      <c r="Q60" s="149">
        <v>97.1</v>
      </c>
      <c r="R60" s="149">
        <v>76.599999999999994</v>
      </c>
      <c r="S60" s="138">
        <v>2.7402234636871499</v>
      </c>
      <c r="T60" s="138">
        <v>2.6452464788732399</v>
      </c>
      <c r="U60" s="138">
        <f>级配!F60/S60*E55</f>
        <v>0</v>
      </c>
      <c r="V60" s="138">
        <f>级配!F60/T60*E55</f>
        <v>0</v>
      </c>
    </row>
    <row r="61" spans="1:32" ht="14.4">
      <c r="A61" s="276"/>
      <c r="B61" s="276"/>
      <c r="C61" s="164" t="s">
        <v>99</v>
      </c>
      <c r="D61" s="157" t="s">
        <v>72</v>
      </c>
      <c r="E61" s="276"/>
      <c r="F61" s="129">
        <v>0</v>
      </c>
      <c r="G61" s="149">
        <v>100</v>
      </c>
      <c r="H61" s="149">
        <v>100</v>
      </c>
      <c r="I61" s="149">
        <v>100</v>
      </c>
      <c r="J61" s="149">
        <v>100</v>
      </c>
      <c r="K61" s="149">
        <v>100</v>
      </c>
      <c r="L61" s="149">
        <v>100</v>
      </c>
      <c r="M61" s="149">
        <v>100</v>
      </c>
      <c r="N61" s="149">
        <v>100</v>
      </c>
      <c r="O61" s="149">
        <v>100</v>
      </c>
      <c r="P61" s="149">
        <v>99.7</v>
      </c>
      <c r="Q61" s="149">
        <v>97.1</v>
      </c>
      <c r="R61" s="149">
        <v>76.599999999999994</v>
      </c>
      <c r="S61" s="138">
        <v>2.7292051756007401</v>
      </c>
      <c r="T61" s="138">
        <v>2.6426690079016701</v>
      </c>
      <c r="U61" s="138">
        <f>级配!F61/S61*E55</f>
        <v>0</v>
      </c>
      <c r="V61" s="138">
        <f>级配!F61/T61*E55</f>
        <v>0</v>
      </c>
    </row>
    <row r="62" spans="1:32" ht="14.4">
      <c r="A62" s="276"/>
      <c r="B62" s="276"/>
      <c r="C62" s="159" t="s">
        <v>66</v>
      </c>
      <c r="D62" s="157" t="s">
        <v>62</v>
      </c>
      <c r="E62" s="276">
        <v>0.5</v>
      </c>
      <c r="F62" s="129">
        <v>0.6</v>
      </c>
      <c r="G62" s="149">
        <v>100</v>
      </c>
      <c r="H62" s="149">
        <v>100</v>
      </c>
      <c r="I62" s="149">
        <v>100</v>
      </c>
      <c r="J62" s="149">
        <v>100</v>
      </c>
      <c r="K62" s="149">
        <v>99.25</v>
      </c>
      <c r="L62" s="149">
        <v>62</v>
      </c>
      <c r="M62" s="149">
        <v>33.25</v>
      </c>
      <c r="N62" s="149">
        <v>24</v>
      </c>
      <c r="O62" s="149">
        <v>17</v>
      </c>
      <c r="P62" s="149">
        <v>12</v>
      </c>
      <c r="Q62" s="149">
        <v>9.5</v>
      </c>
      <c r="R62" s="149">
        <v>7</v>
      </c>
      <c r="S62" s="138">
        <v>2.714</v>
      </c>
      <c r="T62" s="138">
        <v>2.673</v>
      </c>
      <c r="U62" s="138">
        <f>级配!F62/S62*E62</f>
        <v>0.110537951363301</v>
      </c>
      <c r="V62" s="138">
        <f>级配!F62/T62*E62</f>
        <v>0.112233445566779</v>
      </c>
      <c r="AE62" s="154">
        <v>2.9291932924475601</v>
      </c>
    </row>
    <row r="63" spans="1:32" ht="14.4">
      <c r="A63" s="276"/>
      <c r="B63" s="276"/>
      <c r="C63" s="159" t="s">
        <v>67</v>
      </c>
      <c r="D63" s="157" t="s">
        <v>68</v>
      </c>
      <c r="E63" s="276"/>
      <c r="F63" s="129">
        <v>0.4</v>
      </c>
      <c r="G63" s="149">
        <v>100</v>
      </c>
      <c r="H63" s="149">
        <v>100</v>
      </c>
      <c r="I63" s="149">
        <v>100</v>
      </c>
      <c r="J63" s="149">
        <v>100</v>
      </c>
      <c r="K63" s="149">
        <v>99.625</v>
      </c>
      <c r="L63" s="149">
        <v>80.5</v>
      </c>
      <c r="M63" s="149">
        <v>48.375</v>
      </c>
      <c r="N63" s="149">
        <v>34.75</v>
      </c>
      <c r="O63" s="149">
        <v>24.5</v>
      </c>
      <c r="P63" s="149">
        <v>17</v>
      </c>
      <c r="Q63" s="149">
        <v>13.25</v>
      </c>
      <c r="R63" s="149">
        <v>9.5</v>
      </c>
      <c r="S63" s="138">
        <v>2.7679999999999998</v>
      </c>
      <c r="T63" s="138">
        <v>2.6779999999999999</v>
      </c>
      <c r="U63" s="138">
        <f>级配!F63/S63*E62</f>
        <v>7.2254335260115599E-2</v>
      </c>
      <c r="V63" s="138">
        <f>级配!F63/T63*E62</f>
        <v>7.4682598954443596E-2</v>
      </c>
      <c r="AE63" s="154">
        <v>4.8923507789252696</v>
      </c>
    </row>
    <row r="64" spans="1:32" ht="14.4">
      <c r="A64" s="276"/>
      <c r="B64" s="276"/>
      <c r="C64"/>
      <c r="F64" s="129" t="s">
        <v>240</v>
      </c>
      <c r="G64" s="149">
        <f>$E$29*($F$29*G55+$F$30*G56+$F$31*G57+$F$32*G58+$F$33*G59+$F$34*G60+$F$35*G61)+$E$36*($F$36*G62+$F$37*G63)</f>
        <v>100</v>
      </c>
      <c r="H64" s="149">
        <f>E55*(F55*H55+F56*H56+F57*H57+F58*H58+F59*H59+F60*H60+F61*H61)+E62*(F62*H62+F63*H63)</f>
        <v>94.262311967439402</v>
      </c>
      <c r="I64" s="149">
        <f>E55*(F55*I55+F56*I56+F57*I57+F58*I58+F59*I59+F60*I60+F61*I61)+E62*(F62*I62+F63*I63)</f>
        <v>86.811586613985796</v>
      </c>
      <c r="J64" s="149">
        <f>E55*(F55*J55+F56*J56+F57*J57+F58*J58+F59*J59+F60*J60+F61*J61)+E62*(F62*J62+F63*J63)</f>
        <v>77.654963226543501</v>
      </c>
      <c r="K64" s="149">
        <f>E55*(F55*K55+F56*K56+F57*K57+F58*K58+F59*K59+F60*K60+F61*K61)+E62*(F62*K62+F63*K63)</f>
        <v>66.481868543818706</v>
      </c>
      <c r="L64" s="149">
        <f>E55*(F55*L55+F56*L56+F57*L57+F58*L58+F59*L59+F60*L60+F61*L61)+E62*(F62*L62+F63*L63)</f>
        <v>49.782893202265903</v>
      </c>
      <c r="M64" s="149">
        <f>E55*(F55*M55+F56*M56+F57*M57+F58*M58+F59*M59+F60*M60+F61*M61)+E62*(F62*M62+F63*M63)</f>
        <v>29.175000000000001</v>
      </c>
      <c r="N64" s="149">
        <f>E55*(F55*N55+F56*N56+F57*N57+F58*N58+F59*N59+F60*N60+F61*N61)+E62*(F62*N62+F63*N63)</f>
        <v>20.975000000000001</v>
      </c>
      <c r="O64" s="149">
        <f>E55*(F55*O55+F56*O56+F57*O57+F58*O58+F59*O59+F60*O60+F61*O61)+E62*(F62*O62+F63*O63)</f>
        <v>14.8</v>
      </c>
      <c r="P64" s="149">
        <f>E55*(F55*P55+F56*P56+F57*P57+F58*P58+F59*P59+F60*P60+F61*P61)+E62*(F62*P62+F63*P63)</f>
        <v>10.3</v>
      </c>
      <c r="Q64" s="149">
        <f>E55*(F55*Q55+F56*Q56+F57*Q57+F58*Q58+F59*Q59+F60*Q60+F61*Q61)+E62*(F62*Q62+F63*Q63)</f>
        <v>8.0500000000000007</v>
      </c>
      <c r="R64" s="149">
        <f>E55*(F55*R55+F56*R56+F57*R57+F58*R58+F59*R59+F60*R60+F61*R61)+E62*(F62*R62+F63*R63)</f>
        <v>5.8</v>
      </c>
    </row>
    <row r="65" spans="1:32" ht="14.4">
      <c r="A65" s="276"/>
      <c r="B65" s="276"/>
      <c r="C65"/>
      <c r="F65" s="129" t="s">
        <v>241</v>
      </c>
      <c r="G65" s="149">
        <v>100</v>
      </c>
      <c r="H65" s="149">
        <v>100</v>
      </c>
      <c r="I65" s="149">
        <v>92</v>
      </c>
      <c r="J65" s="149">
        <v>80</v>
      </c>
      <c r="K65" s="149">
        <v>72</v>
      </c>
      <c r="L65" s="149">
        <v>56</v>
      </c>
      <c r="M65" s="149">
        <v>44</v>
      </c>
      <c r="N65" s="149">
        <v>33</v>
      </c>
      <c r="O65" s="149">
        <v>24</v>
      </c>
      <c r="P65" s="149">
        <v>17</v>
      </c>
      <c r="Q65" s="149">
        <v>13</v>
      </c>
      <c r="R65" s="149">
        <v>7</v>
      </c>
    </row>
    <row r="66" spans="1:32" ht="14.4">
      <c r="A66" s="276"/>
      <c r="B66" s="276"/>
      <c r="C66"/>
      <c r="F66" s="129" t="s">
        <v>242</v>
      </c>
      <c r="G66" s="149">
        <f t="shared" ref="G66:R66" si="6">(G65+G67)/2</f>
        <v>100</v>
      </c>
      <c r="H66" s="149">
        <f t="shared" si="6"/>
        <v>95</v>
      </c>
      <c r="I66" s="149">
        <f t="shared" si="6"/>
        <v>85</v>
      </c>
      <c r="J66" s="149">
        <f t="shared" si="6"/>
        <v>71</v>
      </c>
      <c r="K66" s="149">
        <f t="shared" si="6"/>
        <v>61</v>
      </c>
      <c r="L66" s="149">
        <f t="shared" si="6"/>
        <v>41</v>
      </c>
      <c r="M66" s="149">
        <f t="shared" si="6"/>
        <v>30</v>
      </c>
      <c r="N66" s="149">
        <f t="shared" si="6"/>
        <v>22.5</v>
      </c>
      <c r="O66" s="149">
        <f t="shared" si="6"/>
        <v>16</v>
      </c>
      <c r="P66" s="149">
        <f t="shared" si="6"/>
        <v>11</v>
      </c>
      <c r="Q66" s="149">
        <f t="shared" si="6"/>
        <v>8.5</v>
      </c>
      <c r="R66" s="149">
        <f t="shared" si="6"/>
        <v>5</v>
      </c>
    </row>
    <row r="67" spans="1:32" ht="14.4">
      <c r="A67" s="276"/>
      <c r="B67" s="276"/>
      <c r="C67"/>
      <c r="F67" s="129" t="s">
        <v>243</v>
      </c>
      <c r="G67" s="149">
        <v>100</v>
      </c>
      <c r="H67" s="149">
        <v>90</v>
      </c>
      <c r="I67" s="149">
        <v>78</v>
      </c>
      <c r="J67" s="149">
        <v>62</v>
      </c>
      <c r="K67" s="149">
        <v>50</v>
      </c>
      <c r="L67" s="149">
        <v>26</v>
      </c>
      <c r="M67" s="149">
        <v>16</v>
      </c>
      <c r="N67" s="149">
        <v>12</v>
      </c>
      <c r="O67" s="149">
        <v>8</v>
      </c>
      <c r="P67" s="149">
        <v>5</v>
      </c>
      <c r="Q67" s="149">
        <v>4</v>
      </c>
      <c r="R67" s="149">
        <v>3</v>
      </c>
    </row>
    <row r="68" spans="1:32" ht="14.4">
      <c r="A68" s="276" t="s">
        <v>83</v>
      </c>
      <c r="B68" s="276" t="s">
        <v>197</v>
      </c>
      <c r="C68" s="159" t="s">
        <v>61</v>
      </c>
      <c r="D68" s="129" t="s">
        <v>244</v>
      </c>
      <c r="E68" s="276">
        <v>1</v>
      </c>
      <c r="F68" s="129">
        <v>0.06</v>
      </c>
      <c r="G68" s="149">
        <v>99.6</v>
      </c>
      <c r="H68" s="149">
        <v>14.7</v>
      </c>
      <c r="I68" s="149">
        <v>0</v>
      </c>
      <c r="J68" s="149">
        <v>0</v>
      </c>
      <c r="K68" s="149">
        <v>0</v>
      </c>
      <c r="L68" s="149">
        <v>0</v>
      </c>
      <c r="M68" s="149">
        <v>0</v>
      </c>
      <c r="N68" s="149">
        <v>0</v>
      </c>
      <c r="O68" s="149">
        <v>0</v>
      </c>
      <c r="P68" s="149">
        <v>0</v>
      </c>
      <c r="Q68" s="149">
        <v>0</v>
      </c>
      <c r="R68" s="149">
        <v>0</v>
      </c>
      <c r="S68" s="138">
        <v>2.7240000000000002</v>
      </c>
      <c r="T68" s="138">
        <v>2.698</v>
      </c>
      <c r="U68" s="138">
        <f>级配!F68/S68*E68</f>
        <v>2.2026431718061699E-2</v>
      </c>
      <c r="V68" s="138">
        <f>级配!F68/T68*E68</f>
        <v>2.2238695329873999E-2</v>
      </c>
      <c r="W68" s="138">
        <f>1/SUM(U68:U76)</f>
        <v>2.7140637744031202</v>
      </c>
      <c r="X68" s="153">
        <v>1.016</v>
      </c>
      <c r="Y68" s="138">
        <f>0.033*X68*X68-0.2936*X68+0.9336</f>
        <v>0.66936684800000001</v>
      </c>
      <c r="Z68" s="138">
        <f>0.033*Y68*Y68-0.2936*Y68+0.9336</f>
        <v>0.75185960867484802</v>
      </c>
      <c r="AA68" s="158">
        <v>2.5670000000000002</v>
      </c>
      <c r="AB68" s="138">
        <f>1/SUM(V68:V76)</f>
        <v>2.6500567442748202</v>
      </c>
      <c r="AC68" s="160">
        <v>4.5</v>
      </c>
      <c r="AD68" s="138">
        <f>100*AC68/(100+AC68)</f>
        <v>4.3062200956937797</v>
      </c>
      <c r="AE68" s="156"/>
      <c r="AF68" s="136">
        <v>4.5</v>
      </c>
    </row>
    <row r="69" spans="1:32" ht="14.4">
      <c r="A69" s="276"/>
      <c r="B69" s="276"/>
      <c r="C69" s="159" t="s">
        <v>61</v>
      </c>
      <c r="D69" s="157" t="s">
        <v>62</v>
      </c>
      <c r="E69" s="276"/>
      <c r="F69" s="129">
        <v>0.18</v>
      </c>
      <c r="G69" s="149">
        <v>100</v>
      </c>
      <c r="H69" s="149">
        <v>93.712215838121395</v>
      </c>
      <c r="I69" s="149">
        <v>66.512615538346196</v>
      </c>
      <c r="J69" s="149">
        <v>33.717212090931802</v>
      </c>
      <c r="K69" s="149">
        <v>5.6632525605795596</v>
      </c>
      <c r="L69" s="149">
        <v>0.44716462653010303</v>
      </c>
      <c r="M69" s="149">
        <v>0</v>
      </c>
      <c r="N69" s="149">
        <v>0</v>
      </c>
      <c r="O69" s="149">
        <v>0</v>
      </c>
      <c r="P69" s="149">
        <v>0</v>
      </c>
      <c r="Q69" s="149">
        <v>0</v>
      </c>
      <c r="R69" s="149">
        <v>0</v>
      </c>
      <c r="S69" s="138">
        <v>2.7240000000000002</v>
      </c>
      <c r="T69" s="138">
        <v>2.698</v>
      </c>
      <c r="U69" s="138">
        <f>级配!F69/S69*E68</f>
        <v>6.6079295154184994E-2</v>
      </c>
      <c r="V69" s="138">
        <f>级配!F69/T69*E68</f>
        <v>6.6716085989621907E-2</v>
      </c>
      <c r="W69" s="138"/>
      <c r="X69" s="138"/>
      <c r="Y69" s="151"/>
      <c r="Z69" s="151"/>
      <c r="AA69" s="158"/>
      <c r="AB69" s="138"/>
      <c r="AC69" s="160"/>
      <c r="AD69" s="138"/>
      <c r="AE69" s="156"/>
      <c r="AF69" s="156"/>
    </row>
    <row r="70" spans="1:32" ht="14.4">
      <c r="A70" s="276"/>
      <c r="B70" s="276"/>
      <c r="C70" s="159" t="s">
        <v>61</v>
      </c>
      <c r="D70" s="157" t="s">
        <v>79</v>
      </c>
      <c r="E70" s="276"/>
      <c r="F70" s="129">
        <v>0.2</v>
      </c>
      <c r="G70" s="149">
        <v>100</v>
      </c>
      <c r="H70" s="149">
        <v>100</v>
      </c>
      <c r="I70" s="149">
        <v>99.586446104589101</v>
      </c>
      <c r="J70" s="149">
        <v>78.9106731027085</v>
      </c>
      <c r="K70" s="149">
        <v>26.3831910352188</v>
      </c>
      <c r="L70" s="149">
        <v>0.77822472512737995</v>
      </c>
      <c r="M70" s="149">
        <v>0.43380262805041397</v>
      </c>
      <c r="N70" s="149">
        <v>0.30670421024403099</v>
      </c>
      <c r="O70" s="149">
        <v>0</v>
      </c>
      <c r="P70" s="149">
        <v>0</v>
      </c>
      <c r="Q70" s="149">
        <v>0</v>
      </c>
      <c r="R70" s="149">
        <v>0</v>
      </c>
      <c r="S70" s="138">
        <v>2.6779999999999999</v>
      </c>
      <c r="T70" s="138">
        <v>2.625</v>
      </c>
      <c r="U70" s="138">
        <f>级配!F70/S70*E68</f>
        <v>7.4682598954443596E-2</v>
      </c>
      <c r="V70" s="138">
        <f>级配!F70/T70*E68</f>
        <v>7.6190476190476197E-2</v>
      </c>
    </row>
    <row r="71" spans="1:32" ht="14.4">
      <c r="A71" s="276"/>
      <c r="B71" s="276"/>
      <c r="C71" s="159" t="s">
        <v>61</v>
      </c>
      <c r="D71" s="157" t="s">
        <v>63</v>
      </c>
      <c r="E71" s="276"/>
      <c r="F71" s="129">
        <v>0.15</v>
      </c>
      <c r="G71" s="149">
        <v>100</v>
      </c>
      <c r="H71" s="149">
        <v>100</v>
      </c>
      <c r="I71" s="149">
        <v>100</v>
      </c>
      <c r="J71" s="149">
        <v>100</v>
      </c>
      <c r="K71" s="149">
        <v>89.684047392891003</v>
      </c>
      <c r="L71" s="149">
        <v>3.3944908263760398</v>
      </c>
      <c r="M71" s="149">
        <v>1.12983052542118</v>
      </c>
      <c r="N71" s="149">
        <v>1.04234364845272</v>
      </c>
      <c r="O71" s="149">
        <v>0</v>
      </c>
      <c r="P71" s="149">
        <v>0</v>
      </c>
      <c r="Q71" s="149">
        <v>0</v>
      </c>
      <c r="R71" s="149">
        <v>0</v>
      </c>
      <c r="S71" s="138">
        <v>2.7170000000000001</v>
      </c>
      <c r="T71" s="138">
        <v>2.665</v>
      </c>
      <c r="U71" s="138">
        <f>级配!F71/S71*E68</f>
        <v>5.5207949944792001E-2</v>
      </c>
      <c r="V71" s="138">
        <f>级配!F71/T71*E68</f>
        <v>5.6285178236397698E-2</v>
      </c>
    </row>
    <row r="72" spans="1:32" ht="14.4">
      <c r="A72" s="276"/>
      <c r="B72" s="276"/>
      <c r="C72" s="164" t="s">
        <v>81</v>
      </c>
      <c r="D72" s="157" t="s">
        <v>70</v>
      </c>
      <c r="E72" s="276"/>
      <c r="F72" s="129">
        <v>0.15</v>
      </c>
      <c r="G72" s="149">
        <v>100</v>
      </c>
      <c r="H72" s="149">
        <v>100</v>
      </c>
      <c r="I72" s="149">
        <v>100</v>
      </c>
      <c r="J72" s="149">
        <v>100</v>
      </c>
      <c r="K72" s="149">
        <v>100</v>
      </c>
      <c r="L72" s="149">
        <v>95.985683492719403</v>
      </c>
      <c r="M72" s="149">
        <v>12.6915304652741</v>
      </c>
      <c r="N72" s="149">
        <v>5.88519354171454</v>
      </c>
      <c r="O72" s="149">
        <v>4.1839728240916401</v>
      </c>
      <c r="P72" s="149">
        <v>3.6277139461626402</v>
      </c>
      <c r="Q72" s="149">
        <v>3.3515060707669502</v>
      </c>
      <c r="R72" s="149">
        <v>3.1246478405594398</v>
      </c>
      <c r="S72" s="138">
        <v>2.722</v>
      </c>
      <c r="T72" s="138">
        <v>2.657</v>
      </c>
      <c r="U72" s="138">
        <f>级配!F72/S72*E68</f>
        <v>5.5106539309331397E-2</v>
      </c>
      <c r="V72" s="138">
        <f>级配!F72/T72*E68</f>
        <v>5.6454648099360197E-2</v>
      </c>
    </row>
    <row r="73" spans="1:32" ht="14.4">
      <c r="A73" s="276"/>
      <c r="B73" s="276"/>
      <c r="C73" s="159" t="s">
        <v>64</v>
      </c>
      <c r="D73" s="157" t="s">
        <v>71</v>
      </c>
      <c r="E73" s="276"/>
      <c r="F73" s="129">
        <v>0.2</v>
      </c>
      <c r="G73" s="149">
        <v>100</v>
      </c>
      <c r="H73" s="149">
        <v>100</v>
      </c>
      <c r="I73" s="149">
        <v>100</v>
      </c>
      <c r="J73" s="149">
        <v>100</v>
      </c>
      <c r="K73" s="149">
        <v>100</v>
      </c>
      <c r="L73" s="149">
        <v>100</v>
      </c>
      <c r="M73" s="149">
        <v>69.772922022279303</v>
      </c>
      <c r="N73" s="149">
        <v>41.231076835190002</v>
      </c>
      <c r="O73" s="149">
        <v>19.951442445015701</v>
      </c>
      <c r="P73" s="149">
        <v>11.610968294772899</v>
      </c>
      <c r="Q73" s="149">
        <v>9.3544701513853408</v>
      </c>
      <c r="R73" s="149">
        <v>7.0408454727221104</v>
      </c>
      <c r="S73" s="138">
        <v>2.7349999999999999</v>
      </c>
      <c r="T73" s="138">
        <v>2.5920000000000001</v>
      </c>
      <c r="U73" s="138">
        <f>级配!F73/S73*E68</f>
        <v>7.3126142595978105E-2</v>
      </c>
      <c r="V73" s="138">
        <f>级配!F73/T73*E68</f>
        <v>7.7160493827160503E-2</v>
      </c>
    </row>
    <row r="74" spans="1:32" ht="14.4">
      <c r="A74" s="276"/>
      <c r="B74" s="276"/>
      <c r="C74" s="164" t="s">
        <v>99</v>
      </c>
      <c r="D74" s="157" t="s">
        <v>72</v>
      </c>
      <c r="E74" s="276"/>
      <c r="F74" s="129">
        <v>0.06</v>
      </c>
      <c r="G74" s="149">
        <v>100</v>
      </c>
      <c r="H74" s="149">
        <v>100</v>
      </c>
      <c r="I74" s="149">
        <v>100</v>
      </c>
      <c r="J74" s="149">
        <v>100</v>
      </c>
      <c r="K74" s="149">
        <v>100</v>
      </c>
      <c r="L74" s="149">
        <v>100</v>
      </c>
      <c r="M74" s="149">
        <v>100</v>
      </c>
      <c r="N74" s="149">
        <v>100</v>
      </c>
      <c r="O74" s="149">
        <v>100</v>
      </c>
      <c r="P74" s="149">
        <v>99.7</v>
      </c>
      <c r="Q74" s="149">
        <v>97.1</v>
      </c>
      <c r="R74" s="149">
        <v>76.599999999999994</v>
      </c>
      <c r="S74" s="138">
        <v>2.7</v>
      </c>
      <c r="T74" s="138">
        <v>2.69</v>
      </c>
      <c r="U74" s="138">
        <f>级配!F74/S74*E68</f>
        <v>2.2222222222222199E-2</v>
      </c>
      <c r="V74" s="138">
        <f>级配!F74/T74*E68</f>
        <v>2.2304832713754601E-2</v>
      </c>
    </row>
    <row r="75" spans="1:32" ht="14.4">
      <c r="A75" s="276"/>
      <c r="B75" s="276"/>
      <c r="C75" s="159" t="s">
        <v>66</v>
      </c>
      <c r="D75" s="157" t="s">
        <v>62</v>
      </c>
      <c r="E75" s="276">
        <v>0</v>
      </c>
      <c r="F75" s="129">
        <v>0.6</v>
      </c>
      <c r="G75" s="149">
        <v>100</v>
      </c>
      <c r="H75" s="149">
        <v>100</v>
      </c>
      <c r="I75" s="149">
        <v>100</v>
      </c>
      <c r="J75" s="149">
        <v>100</v>
      </c>
      <c r="K75" s="149">
        <v>99.25</v>
      </c>
      <c r="L75" s="149">
        <v>62</v>
      </c>
      <c r="M75" s="149">
        <v>33.25</v>
      </c>
      <c r="N75" s="149">
        <v>24</v>
      </c>
      <c r="O75" s="149">
        <v>17</v>
      </c>
      <c r="P75" s="149">
        <v>12</v>
      </c>
      <c r="Q75" s="149">
        <v>9.5</v>
      </c>
      <c r="R75" s="149">
        <v>7</v>
      </c>
      <c r="S75" s="138">
        <v>2.714</v>
      </c>
      <c r="T75" s="138">
        <v>2.673</v>
      </c>
      <c r="U75" s="138">
        <f>级配!F75/S75*E75</f>
        <v>0</v>
      </c>
      <c r="V75" s="138">
        <f>级配!F75/T75*E75</f>
        <v>0</v>
      </c>
    </row>
    <row r="76" spans="1:32" ht="14.4">
      <c r="A76" s="276"/>
      <c r="B76" s="276"/>
      <c r="C76" s="159" t="s">
        <v>67</v>
      </c>
      <c r="D76" s="157" t="s">
        <v>68</v>
      </c>
      <c r="E76" s="276"/>
      <c r="F76" s="129">
        <v>0.4</v>
      </c>
      <c r="G76" s="149">
        <v>100</v>
      </c>
      <c r="H76" s="149">
        <v>100</v>
      </c>
      <c r="I76" s="149">
        <v>100</v>
      </c>
      <c r="J76" s="149">
        <v>100</v>
      </c>
      <c r="K76" s="149">
        <v>99.625</v>
      </c>
      <c r="L76" s="149">
        <v>80.5</v>
      </c>
      <c r="M76" s="149">
        <v>48.375</v>
      </c>
      <c r="N76" s="149">
        <v>34.75</v>
      </c>
      <c r="O76" s="149">
        <v>24.5</v>
      </c>
      <c r="P76" s="149">
        <v>17</v>
      </c>
      <c r="Q76" s="149">
        <v>13.25</v>
      </c>
      <c r="R76" s="149">
        <v>9.5</v>
      </c>
      <c r="S76" s="138">
        <v>2.7679999999999998</v>
      </c>
      <c r="T76" s="138">
        <v>2.6779999999999999</v>
      </c>
      <c r="U76" s="138">
        <f>级配!F76/S76*E75</f>
        <v>0</v>
      </c>
      <c r="V76" s="138">
        <f>级配!F76/T76*E75</f>
        <v>0</v>
      </c>
    </row>
    <row r="77" spans="1:32" ht="14.4">
      <c r="A77" s="276"/>
      <c r="B77" s="276"/>
      <c r="C77"/>
      <c r="F77" s="129" t="s">
        <v>240</v>
      </c>
      <c r="G77" s="149">
        <f>$E$29*($F$29*G68+$F$30*G69+$F$31*G70+$F$32*G71+$F$33*G72+$F$34*G73+$F$35*G74)+$E$36*($F$36*G75+$F$37*G76)</f>
        <v>99.963999999999999</v>
      </c>
      <c r="H77" s="149">
        <f>E68*(F68*H68+F69*H69+F70*H70+F71*H71+F72*H72+F73*H73+F74*H74)+E75*(F75*H75+F76*H76)</f>
        <v>93.750198850861807</v>
      </c>
      <c r="I77" s="149">
        <f>E68*(F68*I68+F69*I69+F70*I70+F71*I71+F72*I72+F73*I73+F74*I74)+E75*(F75*I75+F76*I76)</f>
        <v>87.889560017820102</v>
      </c>
      <c r="J77" s="149">
        <f>E68*(F68*J68+F69*J69+F70*J70+F71*J71+F72*J72+F73*J73+F74*J74)+E75*(F75*J75+F76*J76)</f>
        <v>77.8512327969094</v>
      </c>
      <c r="K77" s="149">
        <f>E68*(F68*K68+F69*K69+F70*K70+F71*K71+F72*K72+F73*K73+F74*K74)+E75*(F75*K75+F76*K76)</f>
        <v>60.748630776881697</v>
      </c>
      <c r="L77" s="149">
        <f>E68*(F68*L68+F69*L69+F70*L70+F71*L71+F72*L72+F73*L73+F74*L74)+E75*(F75*L75+F76*L76)</f>
        <v>41.143160725665197</v>
      </c>
      <c r="M77" s="149">
        <f>E68*(F68*M68+F69*M69+F70*M70+F71*M71+F72*M72+F73*M73+F74*M74)+E75*(F75*M75+F76*M76)</f>
        <v>22.114549078670201</v>
      </c>
      <c r="N77" s="149">
        <f>E68*(F68*N68+F69*N69+F70*N70+F71*N71+F72*N72+F73*N73+F74*N74)+E75*(F75*N75+F76*N76)</f>
        <v>15.346686787611899</v>
      </c>
      <c r="O77" s="149">
        <f>E68*(F68*O68+F69*O69+F70*O70+F71*O71+F72*O72+F73*O73+F74*O74)+E75*(F75*O75+F76*O76)</f>
        <v>10.617884412616901</v>
      </c>
      <c r="P77" s="149">
        <f>E68*(F68*P68+F69*P69+F70*P70+F71*P71+F72*P72+F73*P73+F74*P74)+E75*(F75*P75+F76*P76)</f>
        <v>8.8483507508789696</v>
      </c>
      <c r="Q77" s="149">
        <f>E68*(F68*Q68+F69*Q69+F70*Q70+F71*Q71+F72*Q72+F73*Q73+F74*Q74)+E75*(F75*Q75+F76*Q76)</f>
        <v>8.1996199408921093</v>
      </c>
      <c r="R77" s="149">
        <f>E68*(F68*R68+F69*R69+F70*R70+F71*R71+F72*R72+F73*R73+F74*R74)+E75*(F75*R75+F76*R76)</f>
        <v>6.47286627062834</v>
      </c>
    </row>
    <row r="78" spans="1:32" ht="14.4">
      <c r="A78" s="276"/>
      <c r="B78" s="276"/>
      <c r="C78"/>
      <c r="F78" s="129" t="s">
        <v>241</v>
      </c>
      <c r="G78" s="149">
        <v>100</v>
      </c>
      <c r="H78" s="149">
        <v>100</v>
      </c>
      <c r="I78" s="149">
        <v>92</v>
      </c>
      <c r="J78" s="149">
        <v>80</v>
      </c>
      <c r="K78" s="149">
        <v>72</v>
      </c>
      <c r="L78" s="149">
        <v>56</v>
      </c>
      <c r="M78" s="149">
        <v>44</v>
      </c>
      <c r="N78" s="149">
        <v>33</v>
      </c>
      <c r="O78" s="149">
        <v>24</v>
      </c>
      <c r="P78" s="149">
        <v>17</v>
      </c>
      <c r="Q78" s="149">
        <v>13</v>
      </c>
      <c r="R78" s="149">
        <v>7</v>
      </c>
    </row>
    <row r="79" spans="1:32" ht="14.4">
      <c r="A79" s="276"/>
      <c r="B79" s="276"/>
      <c r="C79"/>
      <c r="F79" s="129" t="s">
        <v>242</v>
      </c>
      <c r="G79" s="149">
        <f t="shared" ref="G79:R79" si="7">(G78+G80)/2</f>
        <v>100</v>
      </c>
      <c r="H79" s="149">
        <f t="shared" si="7"/>
        <v>95</v>
      </c>
      <c r="I79" s="149">
        <f t="shared" si="7"/>
        <v>85</v>
      </c>
      <c r="J79" s="149">
        <f t="shared" si="7"/>
        <v>71</v>
      </c>
      <c r="K79" s="149">
        <f t="shared" si="7"/>
        <v>61</v>
      </c>
      <c r="L79" s="149">
        <f t="shared" si="7"/>
        <v>41</v>
      </c>
      <c r="M79" s="149">
        <f t="shared" si="7"/>
        <v>30</v>
      </c>
      <c r="N79" s="149">
        <f t="shared" si="7"/>
        <v>22.5</v>
      </c>
      <c r="O79" s="149">
        <f t="shared" si="7"/>
        <v>16</v>
      </c>
      <c r="P79" s="149">
        <f t="shared" si="7"/>
        <v>11</v>
      </c>
      <c r="Q79" s="149">
        <f t="shared" si="7"/>
        <v>8.5</v>
      </c>
      <c r="R79" s="149">
        <f t="shared" si="7"/>
        <v>5</v>
      </c>
    </row>
    <row r="80" spans="1:32" ht="14.4">
      <c r="A80" s="276"/>
      <c r="B80" s="276"/>
      <c r="C80"/>
      <c r="F80" s="129" t="s">
        <v>243</v>
      </c>
      <c r="G80" s="149">
        <v>100</v>
      </c>
      <c r="H80" s="149">
        <v>90</v>
      </c>
      <c r="I80" s="149">
        <v>78</v>
      </c>
      <c r="J80" s="149">
        <v>62</v>
      </c>
      <c r="K80" s="149">
        <v>50</v>
      </c>
      <c r="L80" s="149">
        <v>26</v>
      </c>
      <c r="M80" s="149">
        <v>16</v>
      </c>
      <c r="N80" s="149">
        <v>12</v>
      </c>
      <c r="O80" s="149">
        <v>8</v>
      </c>
      <c r="P80" s="149">
        <v>5</v>
      </c>
      <c r="Q80" s="149">
        <v>4</v>
      </c>
      <c r="R80" s="149">
        <v>3</v>
      </c>
    </row>
    <row r="81" spans="1:32">
      <c r="A81" s="276" t="s">
        <v>84</v>
      </c>
      <c r="B81" s="276" t="s">
        <v>245</v>
      </c>
      <c r="C81" s="159" t="s">
        <v>81</v>
      </c>
      <c r="D81" s="129" t="s">
        <v>85</v>
      </c>
      <c r="E81" s="276">
        <v>0.5</v>
      </c>
      <c r="F81" s="129">
        <v>0.18</v>
      </c>
      <c r="G81" s="149">
        <v>100</v>
      </c>
      <c r="H81" s="149">
        <v>14.7525</v>
      </c>
      <c r="I81" s="149">
        <v>3.64</v>
      </c>
      <c r="J81" s="149">
        <v>0.127500000000005</v>
      </c>
      <c r="K81" s="149">
        <v>0</v>
      </c>
      <c r="L81" s="149">
        <v>0</v>
      </c>
      <c r="M81" s="149">
        <v>0</v>
      </c>
      <c r="N81" s="149">
        <v>0</v>
      </c>
      <c r="O81" s="149">
        <v>0</v>
      </c>
      <c r="P81" s="149">
        <v>0</v>
      </c>
      <c r="Q81" s="149">
        <v>0</v>
      </c>
      <c r="R81" s="149">
        <v>0</v>
      </c>
      <c r="S81" s="138">
        <v>2.7290000000000001</v>
      </c>
      <c r="T81" s="138">
        <v>2.7040000000000002</v>
      </c>
      <c r="U81" s="138">
        <f>级配!F81/S81*E81</f>
        <v>3.2979113228288698E-2</v>
      </c>
      <c r="V81" s="138">
        <f>级配!F81/T81*E81</f>
        <v>3.3284023668639001E-2</v>
      </c>
      <c r="W81" s="138">
        <f>1/SUM(U81:U89)</f>
        <v>2.7774306848611401</v>
      </c>
      <c r="X81" s="153">
        <v>0.4</v>
      </c>
      <c r="Y81" s="138">
        <f>0.033*X81*X81-0.2936*X81+0.9336</f>
        <v>0.82143999999999995</v>
      </c>
      <c r="Z81" s="138">
        <f>0.033*Y81*Y81-0.2936*Y81+0.9336</f>
        <v>0.71469241722879995</v>
      </c>
      <c r="AA81" s="158">
        <v>2.5670000000000002</v>
      </c>
      <c r="AB81" s="138">
        <f>1/SUM(V81:V89)</f>
        <v>2.74107870509848</v>
      </c>
      <c r="AC81" s="160">
        <v>4.2</v>
      </c>
      <c r="AD81" s="138">
        <f>100*AC81/(100+AC81)</f>
        <v>4.0307101727447199</v>
      </c>
      <c r="AE81" s="156"/>
      <c r="AF81" s="156">
        <f>AC81-E88*F88*AE88-E88*F89*AE89</f>
        <v>2.0073834902485399</v>
      </c>
    </row>
    <row r="82" spans="1:32">
      <c r="A82" s="276"/>
      <c r="B82" s="276"/>
      <c r="C82" s="159" t="s">
        <v>81</v>
      </c>
      <c r="D82" s="157" t="s">
        <v>86</v>
      </c>
      <c r="E82" s="276"/>
      <c r="F82" s="129">
        <v>0.28000000000000003</v>
      </c>
      <c r="G82" s="149">
        <v>100</v>
      </c>
      <c r="H82" s="149">
        <v>99.47</v>
      </c>
      <c r="I82" s="149">
        <v>94.023333333333298</v>
      </c>
      <c r="J82" s="149">
        <v>16.586666666666702</v>
      </c>
      <c r="K82" s="149">
        <v>0.45000000000000301</v>
      </c>
      <c r="L82" s="149">
        <v>0.27333333333333298</v>
      </c>
      <c r="M82" s="149">
        <v>0</v>
      </c>
      <c r="N82" s="149">
        <v>0</v>
      </c>
      <c r="O82" s="149">
        <v>0</v>
      </c>
      <c r="P82" s="149">
        <v>0</v>
      </c>
      <c r="Q82" s="149">
        <v>0</v>
      </c>
      <c r="R82" s="149">
        <v>0</v>
      </c>
      <c r="S82" s="138">
        <v>2.7240000000000002</v>
      </c>
      <c r="T82" s="138">
        <v>2.6880000000000002</v>
      </c>
      <c r="U82" s="138">
        <f>级配!F82/S82*E81</f>
        <v>5.1395007342143903E-2</v>
      </c>
      <c r="V82" s="138">
        <f>级配!F82/T82*E81</f>
        <v>5.2083333333333301E-2</v>
      </c>
      <c r="W82" s="138"/>
      <c r="X82" s="138"/>
      <c r="Y82" s="151"/>
      <c r="Z82" s="151"/>
      <c r="AA82" s="158"/>
      <c r="AB82" s="138"/>
      <c r="AC82" s="160">
        <v>4</v>
      </c>
      <c r="AD82" s="138">
        <f>100*AC82/(100+AC82)</f>
        <v>3.8461538461538498</v>
      </c>
      <c r="AE82" s="156"/>
      <c r="AF82" s="156"/>
    </row>
    <row r="83" spans="1:32">
      <c r="A83" s="276"/>
      <c r="B83" s="276"/>
      <c r="C83" s="159" t="s">
        <v>81</v>
      </c>
      <c r="D83" s="157" t="s">
        <v>87</v>
      </c>
      <c r="E83" s="276"/>
      <c r="F83" s="129">
        <v>0.14000000000000001</v>
      </c>
      <c r="G83" s="149">
        <v>100</v>
      </c>
      <c r="H83" s="149">
        <v>100</v>
      </c>
      <c r="I83" s="149">
        <v>100</v>
      </c>
      <c r="J83" s="149">
        <v>97.423333333333304</v>
      </c>
      <c r="K83" s="149">
        <v>44.356666666666698</v>
      </c>
      <c r="L83" s="149">
        <v>0.283333333333324</v>
      </c>
      <c r="M83" s="149">
        <v>0.19333333333333499</v>
      </c>
      <c r="N83" s="149">
        <v>0.103333333333332</v>
      </c>
      <c r="O83" s="149">
        <v>0</v>
      </c>
      <c r="P83" s="149">
        <v>0</v>
      </c>
      <c r="Q83" s="149">
        <v>0</v>
      </c>
      <c r="R83" s="149">
        <v>0</v>
      </c>
      <c r="S83" s="138">
        <v>2.7240000000000002</v>
      </c>
      <c r="T83" s="138">
        <v>2.6890000000000001</v>
      </c>
      <c r="U83" s="138">
        <f>级配!F83/S83*E81</f>
        <v>2.5697503671072E-2</v>
      </c>
      <c r="V83" s="138">
        <f>级配!F83/T83*E81</f>
        <v>2.6031982149497999E-2</v>
      </c>
    </row>
    <row r="84" spans="1:32">
      <c r="A84" s="276"/>
      <c r="B84" s="276"/>
      <c r="C84" s="159" t="s">
        <v>81</v>
      </c>
      <c r="D84" s="157" t="s">
        <v>88</v>
      </c>
      <c r="E84" s="276"/>
      <c r="F84" s="129">
        <v>0.14000000000000001</v>
      </c>
      <c r="G84" s="149">
        <v>100</v>
      </c>
      <c r="H84" s="149">
        <v>100</v>
      </c>
      <c r="I84" s="149">
        <v>100</v>
      </c>
      <c r="J84" s="149">
        <v>100</v>
      </c>
      <c r="K84" s="149">
        <v>96.67</v>
      </c>
      <c r="L84" s="149">
        <v>3.0533333333333301</v>
      </c>
      <c r="M84" s="149">
        <v>0.62999999999999501</v>
      </c>
      <c r="N84" s="149">
        <v>0</v>
      </c>
      <c r="O84" s="149">
        <v>0</v>
      </c>
      <c r="P84" s="149">
        <v>0</v>
      </c>
      <c r="Q84" s="149">
        <v>0</v>
      </c>
      <c r="R84" s="149">
        <v>0</v>
      </c>
      <c r="S84" s="138">
        <v>2.7210000000000001</v>
      </c>
      <c r="T84" s="138">
        <v>2.681</v>
      </c>
      <c r="U84" s="138">
        <f>级配!F84/S84*E81</f>
        <v>2.57258360896729E-2</v>
      </c>
      <c r="V84" s="138">
        <f>级配!F84/T84*E81</f>
        <v>2.61096605744125E-2</v>
      </c>
    </row>
    <row r="85" spans="1:32" ht="14.4">
      <c r="A85" s="276"/>
      <c r="B85" s="276"/>
      <c r="C85" s="164" t="s">
        <v>81</v>
      </c>
      <c r="D85" s="157" t="s">
        <v>89</v>
      </c>
      <c r="E85" s="276"/>
      <c r="F85" s="129">
        <v>0.12</v>
      </c>
      <c r="G85" s="149">
        <v>100</v>
      </c>
      <c r="H85" s="149">
        <v>100</v>
      </c>
      <c r="I85" s="149">
        <v>100</v>
      </c>
      <c r="J85" s="149">
        <v>100</v>
      </c>
      <c r="K85" s="149">
        <v>100</v>
      </c>
      <c r="L85" s="149">
        <v>70.359936297776699</v>
      </c>
      <c r="M85" s="149">
        <v>8.4791666666666696</v>
      </c>
      <c r="N85" s="149">
        <v>4.50416666666667</v>
      </c>
      <c r="O85" s="149">
        <v>2.56666666666667</v>
      </c>
      <c r="P85" s="149">
        <v>1.8375000000000099</v>
      </c>
      <c r="Q85" s="149">
        <v>1.5875000000000099</v>
      </c>
      <c r="R85" s="149">
        <v>1.4208333333333401</v>
      </c>
      <c r="S85" s="138">
        <v>2.722</v>
      </c>
      <c r="T85" s="138">
        <v>2.6509999999999998</v>
      </c>
      <c r="U85" s="138">
        <f>级配!F85/S85*E81</f>
        <v>2.2042615723732499E-2</v>
      </c>
      <c r="V85" s="138">
        <f>级配!F85/T85*E81</f>
        <v>2.2632968691060001E-2</v>
      </c>
    </row>
    <row r="86" spans="1:32">
      <c r="A86" s="276"/>
      <c r="B86" s="276"/>
      <c r="C86" s="159" t="s">
        <v>82</v>
      </c>
      <c r="D86" s="157" t="s">
        <v>90</v>
      </c>
      <c r="E86" s="276"/>
      <c r="F86" s="129">
        <v>0.12</v>
      </c>
      <c r="G86" s="149">
        <v>100</v>
      </c>
      <c r="H86" s="149">
        <v>100</v>
      </c>
      <c r="I86" s="149">
        <v>100</v>
      </c>
      <c r="J86" s="149">
        <v>100</v>
      </c>
      <c r="K86" s="149">
        <v>100</v>
      </c>
      <c r="L86" s="149">
        <v>100</v>
      </c>
      <c r="M86" s="149">
        <v>81.364999999999995</v>
      </c>
      <c r="N86" s="149">
        <v>59.195</v>
      </c>
      <c r="O86" s="149">
        <v>34.704999999999998</v>
      </c>
      <c r="P86" s="149">
        <v>19.21</v>
      </c>
      <c r="Q86" s="149">
        <v>13.9</v>
      </c>
      <c r="R86" s="149">
        <v>11.54</v>
      </c>
      <c r="S86" s="138">
        <v>2.72</v>
      </c>
      <c r="T86" s="138">
        <v>2.65</v>
      </c>
      <c r="U86" s="138">
        <f>级配!F86/S86*E81</f>
        <v>2.2058823529411801E-2</v>
      </c>
      <c r="V86" s="138">
        <f>级配!F86/T86*E81</f>
        <v>2.2641509433962301E-2</v>
      </c>
    </row>
    <row r="87" spans="1:32" ht="14.4">
      <c r="A87" s="276"/>
      <c r="B87" s="276"/>
      <c r="C87" s="164" t="s">
        <v>99</v>
      </c>
      <c r="D87" s="157" t="s">
        <v>91</v>
      </c>
      <c r="E87" s="276"/>
      <c r="F87" s="129">
        <v>0.02</v>
      </c>
      <c r="G87" s="149">
        <v>100</v>
      </c>
      <c r="H87" s="149">
        <v>100</v>
      </c>
      <c r="I87" s="149">
        <v>100</v>
      </c>
      <c r="J87" s="149">
        <v>100</v>
      </c>
      <c r="K87" s="149">
        <v>100</v>
      </c>
      <c r="L87" s="149">
        <v>100</v>
      </c>
      <c r="M87" s="149">
        <v>100</v>
      </c>
      <c r="N87" s="149">
        <v>100</v>
      </c>
      <c r="O87" s="149">
        <v>100</v>
      </c>
      <c r="P87" s="149">
        <v>99.6875</v>
      </c>
      <c r="Q87" s="149">
        <v>97.112499999999997</v>
      </c>
      <c r="R87" s="149">
        <v>76.612499999999997</v>
      </c>
      <c r="S87" s="138">
        <v>2.7839999999999998</v>
      </c>
      <c r="T87" s="138">
        <v>2.7839999999999998</v>
      </c>
      <c r="U87" s="138">
        <f>级配!F87/S87*E81</f>
        <v>3.59195402298851E-3</v>
      </c>
      <c r="V87" s="138">
        <f>级配!F87/T87*E81</f>
        <v>3.59195402298851E-3</v>
      </c>
    </row>
    <row r="88" spans="1:32" ht="14.4">
      <c r="A88" s="276"/>
      <c r="B88" s="276"/>
      <c r="C88" s="159" t="s">
        <v>66</v>
      </c>
      <c r="D88" s="168" t="s">
        <v>75</v>
      </c>
      <c r="E88" s="276">
        <v>0.5</v>
      </c>
      <c r="F88" s="129">
        <v>0.7</v>
      </c>
      <c r="G88" s="149">
        <v>100</v>
      </c>
      <c r="H88" s="149">
        <v>100</v>
      </c>
      <c r="I88" s="149">
        <v>100</v>
      </c>
      <c r="J88" s="149">
        <v>93.432996697340897</v>
      </c>
      <c r="K88" s="149">
        <v>58.675273069939301</v>
      </c>
      <c r="L88" s="149">
        <v>63.708953924631899</v>
      </c>
      <c r="M88" s="149">
        <v>26.868671226368999</v>
      </c>
      <c r="N88" s="149">
        <v>21.3218663827885</v>
      </c>
      <c r="O88" s="149">
        <v>16.778918934786098</v>
      </c>
      <c r="P88" s="149">
        <v>13.464796697460701</v>
      </c>
      <c r="Q88" s="149">
        <v>11.690906934266099</v>
      </c>
      <c r="R88" s="149">
        <v>9.6660408408271596</v>
      </c>
      <c r="S88" s="138">
        <v>2.835</v>
      </c>
      <c r="T88" s="138">
        <v>2.8050000000000002</v>
      </c>
      <c r="U88" s="138">
        <f>级配!F88/S88*E88</f>
        <v>0.12345679012345701</v>
      </c>
      <c r="V88" s="138">
        <f>级配!F88/T88*E88</f>
        <v>0.12477718360071299</v>
      </c>
      <c r="AE88" s="154">
        <v>3.8421599169262999</v>
      </c>
    </row>
    <row r="89" spans="1:32" ht="14.4">
      <c r="A89" s="276"/>
      <c r="B89" s="276"/>
      <c r="C89" s="159" t="s">
        <v>67</v>
      </c>
      <c r="D89" s="168" t="s">
        <v>77</v>
      </c>
      <c r="E89" s="276"/>
      <c r="F89" s="129">
        <v>0.3</v>
      </c>
      <c r="G89" s="149">
        <v>100</v>
      </c>
      <c r="H89" s="149">
        <v>100</v>
      </c>
      <c r="I89" s="149">
        <v>100</v>
      </c>
      <c r="J89" s="149">
        <v>100</v>
      </c>
      <c r="K89" s="149">
        <v>100</v>
      </c>
      <c r="L89" s="149">
        <v>77.241522094924903</v>
      </c>
      <c r="M89" s="149">
        <v>51.494987695398102</v>
      </c>
      <c r="N89" s="149">
        <v>39.093199690333201</v>
      </c>
      <c r="O89" s="149">
        <v>29.767484014555301</v>
      </c>
      <c r="P89" s="149">
        <v>22.9094735030666</v>
      </c>
      <c r="Q89" s="149">
        <v>18.817885283799701</v>
      </c>
      <c r="R89" s="149">
        <v>13.6321265175802</v>
      </c>
      <c r="S89" s="138">
        <v>2.8250000000000002</v>
      </c>
      <c r="T89" s="138">
        <v>2.7949999999999999</v>
      </c>
      <c r="U89" s="138">
        <f>级配!F89/S89*E88</f>
        <v>5.3097345132743397E-2</v>
      </c>
      <c r="V89" s="138">
        <f>级配!F89/T89*E88</f>
        <v>5.36672629695885E-2</v>
      </c>
      <c r="AE89" s="154">
        <v>5.6524035921817202</v>
      </c>
    </row>
    <row r="90" spans="1:32" ht="14.4">
      <c r="A90" s="276"/>
      <c r="B90" s="276"/>
      <c r="C90"/>
      <c r="F90" s="129" t="s">
        <v>240</v>
      </c>
      <c r="G90" s="149">
        <f>$E$29*($F$29*G81+$F$30*G82+$F$31*G83+$F$32*G84+$F$33*G85+$F$34*G86+$F$35*G87)+$E$36*($F$36*G88+$F$37*G89)</f>
        <v>100</v>
      </c>
      <c r="H90" s="149">
        <f>E81*(F81*H81+F82*H82+F83*H83+F84*H84+F85*H85+F86*H86+F87*H87)+E88*(F88*H88+F89*H89)</f>
        <v>92.253524999999996</v>
      </c>
      <c r="I90" s="149">
        <f>E81*(F81*I81+F82*I82+F83*I83+F84*I84+F85*I85+F86*I86+F87*I87)+E88*(F88*I88+F89*I89)</f>
        <v>90.490866666666705</v>
      </c>
      <c r="J90" s="149">
        <f>E81*(F81*J81+F82*J82+F83*J83+F84*J84+F85*J85+F86*J86+F87*J87)+E88*(F88*J88+F89*J89)</f>
        <v>76.854790510735995</v>
      </c>
      <c r="K90" s="149">
        <f>E81*(F81*K81+F82*K82+F83*K83+F84*K84+F85*K85+F86*K86+F87*K87)+E88*(F88*K88+F89*K89)</f>
        <v>58.471212241145402</v>
      </c>
      <c r="L90" s="149">
        <f>E81*(F81*L81+F82*L82+F83*L83+F84*L84+F85*L85+F86*L86+F87*L87)+E88*(F88*L88+F89*L89)</f>
        <v>45.377791699059799</v>
      </c>
      <c r="M90" s="149">
        <f>E81*(F81*M81+F82*M82+F83*M83+F84*M84+F85*M85+F86*M86+F87*M87)+E88*(F88*M88+F89*M89)</f>
        <v>23.5765664168722</v>
      </c>
      <c r="N90" s="149">
        <f>E81*(F81*N81+F82*N82+F83*N83+F84*N84+F85*N85+F86*N86+F87*N87)+E88*(F88*N88+F89*N89)</f>
        <v>18.1558165208593</v>
      </c>
      <c r="O90" s="149">
        <f>E81*(F81*O81+F82*O82+F83*O83+F84*O84+F85*O85+F86*O86+F87*O87)+E88*(F88*O88+F89*O89)</f>
        <v>13.5740442293584</v>
      </c>
      <c r="P90" s="149">
        <f>E81*(F81*P81+F82*P82+F83*P83+F84*P84+F85*P85+F86*P86+F87*P87)+E88*(F88*P88+F89*P89)</f>
        <v>10.4088248695712</v>
      </c>
      <c r="Q90" s="149">
        <f>E81*(F81*Q81+F82*Q82+F83*Q83+F84*Q84+F85*Q85+F86*Q86+F87*Q87)+E88*(F88*Q88+F89*Q89)</f>
        <v>8.8148752195630902</v>
      </c>
      <c r="R90" s="149">
        <f>E81*(F81*R81+F82*R82+F83*R83+F84*R84+F85*R85+F86*R86+F87*R87)+E88*(F88*R88+F89*R89)</f>
        <v>6.9717082719265404</v>
      </c>
      <c r="S90" s="138"/>
      <c r="T90" s="138"/>
    </row>
    <row r="91" spans="1:32" ht="14.4">
      <c r="A91" s="276"/>
      <c r="B91" s="276"/>
      <c r="C91"/>
      <c r="F91" s="129" t="s">
        <v>241</v>
      </c>
      <c r="G91" s="149">
        <v>100</v>
      </c>
      <c r="H91" s="149">
        <v>100</v>
      </c>
      <c r="I91" s="149">
        <v>92</v>
      </c>
      <c r="J91" s="149">
        <v>80</v>
      </c>
      <c r="K91" s="149">
        <v>72</v>
      </c>
      <c r="L91" s="149">
        <v>56</v>
      </c>
      <c r="M91" s="149">
        <v>44</v>
      </c>
      <c r="N91" s="149">
        <v>33</v>
      </c>
      <c r="O91" s="149">
        <v>24</v>
      </c>
      <c r="P91" s="149">
        <v>17</v>
      </c>
      <c r="Q91" s="149">
        <v>13</v>
      </c>
      <c r="R91" s="149">
        <v>7</v>
      </c>
      <c r="S91" s="138"/>
      <c r="T91" s="138"/>
    </row>
    <row r="92" spans="1:32" ht="14.4">
      <c r="A92" s="276"/>
      <c r="B92" s="276"/>
      <c r="C92"/>
      <c r="F92" s="129" t="s">
        <v>242</v>
      </c>
      <c r="G92" s="149">
        <f t="shared" ref="G92:R92" si="8">(G91+G93)/2</f>
        <v>100</v>
      </c>
      <c r="H92" s="149">
        <f t="shared" si="8"/>
        <v>95</v>
      </c>
      <c r="I92" s="149">
        <f t="shared" si="8"/>
        <v>85</v>
      </c>
      <c r="J92" s="149">
        <f t="shared" si="8"/>
        <v>71</v>
      </c>
      <c r="K92" s="149">
        <f t="shared" si="8"/>
        <v>61</v>
      </c>
      <c r="L92" s="149">
        <f t="shared" si="8"/>
        <v>41</v>
      </c>
      <c r="M92" s="149">
        <f t="shared" si="8"/>
        <v>30</v>
      </c>
      <c r="N92" s="149">
        <f t="shared" si="8"/>
        <v>22.5</v>
      </c>
      <c r="O92" s="149">
        <f t="shared" si="8"/>
        <v>16</v>
      </c>
      <c r="P92" s="149">
        <f t="shared" si="8"/>
        <v>11</v>
      </c>
      <c r="Q92" s="149">
        <f t="shared" si="8"/>
        <v>8.5</v>
      </c>
      <c r="R92" s="149">
        <f t="shared" si="8"/>
        <v>5</v>
      </c>
      <c r="S92" s="138"/>
      <c r="T92" s="138"/>
    </row>
    <row r="93" spans="1:32" ht="14.4">
      <c r="A93" s="276"/>
      <c r="B93" s="276"/>
      <c r="C93"/>
      <c r="F93" s="129" t="s">
        <v>243</v>
      </c>
      <c r="G93" s="149">
        <v>100</v>
      </c>
      <c r="H93" s="149">
        <v>90</v>
      </c>
      <c r="I93" s="149">
        <v>78</v>
      </c>
      <c r="J93" s="149">
        <v>62</v>
      </c>
      <c r="K93" s="149">
        <v>50</v>
      </c>
      <c r="L93" s="149">
        <v>26</v>
      </c>
      <c r="M93" s="149">
        <v>16</v>
      </c>
      <c r="N93" s="149">
        <v>12</v>
      </c>
      <c r="O93" s="149">
        <v>8</v>
      </c>
      <c r="P93" s="149">
        <v>5</v>
      </c>
      <c r="Q93" s="149">
        <v>4</v>
      </c>
      <c r="R93" s="149">
        <v>3</v>
      </c>
      <c r="S93" s="138"/>
      <c r="T93" s="138"/>
    </row>
    <row r="94" spans="1:32">
      <c r="A94" s="276" t="s">
        <v>84</v>
      </c>
      <c r="B94" s="276" t="s">
        <v>246</v>
      </c>
      <c r="C94" s="159" t="s">
        <v>81</v>
      </c>
      <c r="D94" s="129" t="s">
        <v>85</v>
      </c>
      <c r="E94" s="276">
        <v>0.5</v>
      </c>
      <c r="F94" s="129">
        <v>0.2</v>
      </c>
      <c r="G94" s="149">
        <v>100</v>
      </c>
      <c r="H94" s="149">
        <v>14.7525</v>
      </c>
      <c r="I94" s="149">
        <v>3.64</v>
      </c>
      <c r="J94" s="149">
        <v>0.127500000000005</v>
      </c>
      <c r="K94" s="149">
        <v>0</v>
      </c>
      <c r="L94" s="149">
        <v>0</v>
      </c>
      <c r="M94" s="149">
        <v>0</v>
      </c>
      <c r="N94" s="149">
        <v>0</v>
      </c>
      <c r="O94" s="149">
        <v>0</v>
      </c>
      <c r="P94" s="149">
        <v>0</v>
      </c>
      <c r="Q94" s="149">
        <v>0</v>
      </c>
      <c r="R94" s="149">
        <v>0</v>
      </c>
      <c r="S94" s="138">
        <v>2.7290000000000001</v>
      </c>
      <c r="T94" s="138">
        <v>2.7040000000000002</v>
      </c>
      <c r="U94" s="138">
        <f>级配!F94/S94*E94</f>
        <v>3.6643459142543099E-2</v>
      </c>
      <c r="V94" s="138">
        <f>级配!F94/T94*E94</f>
        <v>3.6982248520710102E-2</v>
      </c>
      <c r="W94" s="138">
        <f>1/SUM(U94:U102)</f>
        <v>2.7769835224233499</v>
      </c>
      <c r="X94" s="153">
        <v>0.4</v>
      </c>
      <c r="Y94" s="138">
        <f>0.033*X94*X94-0.2936*X94+0.9336</f>
        <v>0.82143999999999995</v>
      </c>
      <c r="Z94" s="138">
        <f>0.033*Y94*Y94-0.2936*Y94+0.9336</f>
        <v>0.71469241722879995</v>
      </c>
      <c r="AA94" s="158">
        <v>2.5670000000000002</v>
      </c>
      <c r="AB94" s="138">
        <f>1/SUM(V94:V102)</f>
        <v>2.7412822504264698</v>
      </c>
      <c r="AC94" s="160">
        <v>4.2</v>
      </c>
      <c r="AD94" s="138">
        <f>100*AC94/(100+AC94)</f>
        <v>4.0307101727447199</v>
      </c>
      <c r="AE94" s="156"/>
      <c r="AF94" s="156">
        <f>AC94-E101*F101*AE101-E101*F102*AE102</f>
        <v>1.9621273983671501</v>
      </c>
    </row>
    <row r="95" spans="1:32">
      <c r="A95" s="276"/>
      <c r="B95" s="276"/>
      <c r="C95" s="159" t="s">
        <v>81</v>
      </c>
      <c r="D95" s="157" t="s">
        <v>86</v>
      </c>
      <c r="E95" s="276"/>
      <c r="F95" s="129">
        <v>0.28999999999999998</v>
      </c>
      <c r="G95" s="149">
        <v>100</v>
      </c>
      <c r="H95" s="149">
        <v>99.47</v>
      </c>
      <c r="I95" s="149">
        <v>94.023333333333298</v>
      </c>
      <c r="J95" s="149">
        <v>16.586666666666702</v>
      </c>
      <c r="K95" s="149">
        <v>0.45000000000000301</v>
      </c>
      <c r="L95" s="149">
        <v>0.27333333333333298</v>
      </c>
      <c r="M95" s="149">
        <v>0</v>
      </c>
      <c r="N95" s="149">
        <v>0</v>
      </c>
      <c r="O95" s="149">
        <v>0</v>
      </c>
      <c r="P95" s="149">
        <v>0</v>
      </c>
      <c r="Q95" s="149">
        <v>0</v>
      </c>
      <c r="R95" s="149">
        <v>0</v>
      </c>
      <c r="S95" s="138">
        <v>2.7240000000000002</v>
      </c>
      <c r="T95" s="138">
        <v>2.6880000000000002</v>
      </c>
      <c r="U95" s="138">
        <f>级配!F95/S95*E94</f>
        <v>5.3230543318649001E-2</v>
      </c>
      <c r="V95" s="138">
        <f>级配!F95/T95*E94</f>
        <v>5.3943452380952397E-2</v>
      </c>
      <c r="W95" s="138"/>
      <c r="X95" s="138"/>
      <c r="Y95" s="151"/>
      <c r="Z95" s="151"/>
      <c r="AA95" s="158"/>
      <c r="AB95" s="138"/>
      <c r="AC95" s="160"/>
      <c r="AD95" s="138"/>
      <c r="AE95" s="156"/>
      <c r="AF95" s="156"/>
    </row>
    <row r="96" spans="1:32">
      <c r="A96" s="276"/>
      <c r="B96" s="276"/>
      <c r="C96" s="159" t="s">
        <v>81</v>
      </c>
      <c r="D96" s="157" t="s">
        <v>87</v>
      </c>
      <c r="E96" s="276"/>
      <c r="F96" s="129">
        <v>0.15</v>
      </c>
      <c r="G96" s="149">
        <v>100</v>
      </c>
      <c r="H96" s="149">
        <v>100</v>
      </c>
      <c r="I96" s="149">
        <v>100</v>
      </c>
      <c r="J96" s="149">
        <v>97.423333333333304</v>
      </c>
      <c r="K96" s="149">
        <v>44.356666666666698</v>
      </c>
      <c r="L96" s="149">
        <v>0.283333333333324</v>
      </c>
      <c r="M96" s="149">
        <v>0.19333333333333499</v>
      </c>
      <c r="N96" s="149">
        <v>0.103333333333332</v>
      </c>
      <c r="O96" s="149">
        <v>0</v>
      </c>
      <c r="P96" s="149">
        <v>0</v>
      </c>
      <c r="Q96" s="149">
        <v>0</v>
      </c>
      <c r="R96" s="149">
        <v>0</v>
      </c>
      <c r="S96" s="138">
        <v>2.7240000000000002</v>
      </c>
      <c r="T96" s="138">
        <v>2.6890000000000001</v>
      </c>
      <c r="U96" s="138">
        <f>级配!F96/S96*E94</f>
        <v>2.7533039647577098E-2</v>
      </c>
      <c r="V96" s="138">
        <f>级配!F96/T96*E94</f>
        <v>2.7891409445890698E-2</v>
      </c>
    </row>
    <row r="97" spans="1:32">
      <c r="A97" s="276"/>
      <c r="B97" s="276"/>
      <c r="C97" s="159" t="s">
        <v>81</v>
      </c>
      <c r="D97" s="157" t="s">
        <v>88</v>
      </c>
      <c r="E97" s="276"/>
      <c r="F97" s="129">
        <v>0.15</v>
      </c>
      <c r="G97" s="149">
        <v>100</v>
      </c>
      <c r="H97" s="149">
        <v>100</v>
      </c>
      <c r="I97" s="149">
        <v>100</v>
      </c>
      <c r="J97" s="149">
        <v>100</v>
      </c>
      <c r="K97" s="149">
        <v>96.67</v>
      </c>
      <c r="L97" s="149">
        <v>3.0533333333333301</v>
      </c>
      <c r="M97" s="149">
        <v>0.62999999999999501</v>
      </c>
      <c r="N97" s="149">
        <v>0</v>
      </c>
      <c r="O97" s="149">
        <v>0</v>
      </c>
      <c r="P97" s="149">
        <v>0</v>
      </c>
      <c r="Q97" s="149">
        <v>0</v>
      </c>
      <c r="R97" s="149">
        <v>0</v>
      </c>
      <c r="S97" s="138">
        <v>2.7210000000000001</v>
      </c>
      <c r="T97" s="138">
        <v>2.681</v>
      </c>
      <c r="U97" s="138">
        <f>级配!F97/S97*E94</f>
        <v>2.7563395810363801E-2</v>
      </c>
      <c r="V97" s="138">
        <f>级配!F97/T97*E94</f>
        <v>2.7974636329727701E-2</v>
      </c>
    </row>
    <row r="98" spans="1:32" ht="14.4">
      <c r="A98" s="276"/>
      <c r="B98" s="276"/>
      <c r="C98" s="164" t="s">
        <v>81</v>
      </c>
      <c r="D98" s="157" t="s">
        <v>89</v>
      </c>
      <c r="E98" s="276"/>
      <c r="F98" s="129">
        <v>0.1</v>
      </c>
      <c r="G98" s="149">
        <v>100</v>
      </c>
      <c r="H98" s="149">
        <v>100</v>
      </c>
      <c r="I98" s="149">
        <v>100</v>
      </c>
      <c r="J98" s="149">
        <v>100</v>
      </c>
      <c r="K98" s="149">
        <v>100</v>
      </c>
      <c r="L98" s="149">
        <v>70.359936297776699</v>
      </c>
      <c r="M98" s="149">
        <v>8.4791666666666696</v>
      </c>
      <c r="N98" s="149">
        <v>4.50416666666667</v>
      </c>
      <c r="O98" s="149">
        <v>2.56666666666667</v>
      </c>
      <c r="P98" s="149">
        <v>1.8375000000000099</v>
      </c>
      <c r="Q98" s="149">
        <v>1.5875000000000099</v>
      </c>
      <c r="R98" s="149">
        <v>1.4208333333333401</v>
      </c>
      <c r="S98" s="138">
        <v>2.722</v>
      </c>
      <c r="T98" s="138">
        <v>2.6509999999999998</v>
      </c>
      <c r="U98" s="138">
        <f>级配!F98/S98*E94</f>
        <v>1.8368846436443799E-2</v>
      </c>
      <c r="V98" s="138">
        <f>级配!F98/T98*E94</f>
        <v>1.8860807242550001E-2</v>
      </c>
    </row>
    <row r="99" spans="1:32">
      <c r="A99" s="276"/>
      <c r="B99" s="276"/>
      <c r="C99" s="159" t="s">
        <v>82</v>
      </c>
      <c r="D99" s="157" t="s">
        <v>90</v>
      </c>
      <c r="E99" s="276"/>
      <c r="F99" s="129">
        <v>0.1</v>
      </c>
      <c r="G99" s="149">
        <v>100</v>
      </c>
      <c r="H99" s="149">
        <v>100</v>
      </c>
      <c r="I99" s="149">
        <v>100</v>
      </c>
      <c r="J99" s="149">
        <v>100</v>
      </c>
      <c r="K99" s="149">
        <v>100</v>
      </c>
      <c r="L99" s="149">
        <v>100</v>
      </c>
      <c r="M99" s="149">
        <v>81.364999999999995</v>
      </c>
      <c r="N99" s="149">
        <v>59.195</v>
      </c>
      <c r="O99" s="149">
        <v>34.704999999999998</v>
      </c>
      <c r="P99" s="149">
        <v>19.21</v>
      </c>
      <c r="Q99" s="149">
        <v>13.9</v>
      </c>
      <c r="R99" s="149">
        <v>11.54</v>
      </c>
      <c r="S99" s="138">
        <v>2.72</v>
      </c>
      <c r="T99" s="138">
        <v>2.65</v>
      </c>
      <c r="U99" s="138">
        <f>级配!F99/S99*E94</f>
        <v>1.8382352941176499E-2</v>
      </c>
      <c r="V99" s="138">
        <f>级配!F99/T99*E94</f>
        <v>1.88679245283019E-2</v>
      </c>
    </row>
    <row r="100" spans="1:32" ht="14.4">
      <c r="A100" s="276"/>
      <c r="B100" s="276"/>
      <c r="C100" s="164" t="s">
        <v>99</v>
      </c>
      <c r="D100" s="157" t="s">
        <v>91</v>
      </c>
      <c r="E100" s="276"/>
      <c r="F100" s="129">
        <v>0.01</v>
      </c>
      <c r="G100" s="149">
        <v>100</v>
      </c>
      <c r="H100" s="149">
        <v>100</v>
      </c>
      <c r="I100" s="149">
        <v>100</v>
      </c>
      <c r="J100" s="149">
        <v>100</v>
      </c>
      <c r="K100" s="149">
        <v>100</v>
      </c>
      <c r="L100" s="149">
        <v>100</v>
      </c>
      <c r="M100" s="149">
        <v>100</v>
      </c>
      <c r="N100" s="149">
        <v>100</v>
      </c>
      <c r="O100" s="149">
        <v>100</v>
      </c>
      <c r="P100" s="149">
        <v>99.6875</v>
      </c>
      <c r="Q100" s="149">
        <v>97.112499999999997</v>
      </c>
      <c r="R100" s="149">
        <v>76.612499999999997</v>
      </c>
      <c r="S100" s="138">
        <v>2.7839999999999998</v>
      </c>
      <c r="T100" s="138">
        <v>2.7839999999999998</v>
      </c>
      <c r="U100" s="138">
        <f>级配!F100/S100*E94</f>
        <v>1.79597701149425E-3</v>
      </c>
      <c r="V100" s="138">
        <f>级配!F100/T100*E94</f>
        <v>1.79597701149425E-3</v>
      </c>
    </row>
    <row r="101" spans="1:32" ht="14.4">
      <c r="A101" s="276"/>
      <c r="B101" s="276"/>
      <c r="C101" s="159" t="s">
        <v>66</v>
      </c>
      <c r="D101" s="168" t="s">
        <v>75</v>
      </c>
      <c r="E101" s="276">
        <v>0.5</v>
      </c>
      <c r="F101" s="129">
        <v>0.65</v>
      </c>
      <c r="G101" s="149">
        <v>100</v>
      </c>
      <c r="H101" s="149">
        <v>100</v>
      </c>
      <c r="I101" s="149">
        <v>100</v>
      </c>
      <c r="J101" s="149">
        <v>93.432996697340897</v>
      </c>
      <c r="K101" s="149">
        <v>58.675273069939301</v>
      </c>
      <c r="L101" s="149">
        <v>63.708953924631899</v>
      </c>
      <c r="M101" s="149">
        <v>26.868671226368999</v>
      </c>
      <c r="N101" s="149">
        <v>21.3218663827885</v>
      </c>
      <c r="O101" s="149">
        <v>16.778918934786098</v>
      </c>
      <c r="P101" s="149">
        <v>13.464796697460701</v>
      </c>
      <c r="Q101" s="149">
        <v>11.690906934266099</v>
      </c>
      <c r="R101" s="149">
        <v>9.6660408408271596</v>
      </c>
      <c r="S101" s="138">
        <v>2.835</v>
      </c>
      <c r="T101" s="138">
        <v>2.8050000000000002</v>
      </c>
      <c r="U101" s="138">
        <f>级配!F101/S101*E101</f>
        <v>0.11463844797178099</v>
      </c>
      <c r="V101" s="138">
        <f>级配!F101/T101*E101</f>
        <v>0.11586452762923399</v>
      </c>
      <c r="AE101" s="154">
        <v>3.8421599169262999</v>
      </c>
    </row>
    <row r="102" spans="1:32" ht="14.4">
      <c r="A102" s="276"/>
      <c r="B102" s="276"/>
      <c r="C102" s="159" t="s">
        <v>67</v>
      </c>
      <c r="D102" s="168" t="s">
        <v>77</v>
      </c>
      <c r="E102" s="276"/>
      <c r="F102" s="129">
        <v>0.35</v>
      </c>
      <c r="G102" s="149">
        <v>100</v>
      </c>
      <c r="H102" s="149">
        <v>100</v>
      </c>
      <c r="I102" s="149">
        <v>100</v>
      </c>
      <c r="J102" s="149">
        <v>100</v>
      </c>
      <c r="K102" s="149">
        <v>100</v>
      </c>
      <c r="L102" s="149">
        <v>77.241522094924903</v>
      </c>
      <c r="M102" s="149">
        <v>51.494987695398102</v>
      </c>
      <c r="N102" s="149">
        <v>39.093199690333201</v>
      </c>
      <c r="O102" s="149">
        <v>29.767484014555301</v>
      </c>
      <c r="P102" s="149">
        <v>22.9094735030666</v>
      </c>
      <c r="Q102" s="149">
        <v>18.817885283799701</v>
      </c>
      <c r="R102" s="149">
        <v>13.6321265175802</v>
      </c>
      <c r="S102" s="138">
        <v>2.8250000000000002</v>
      </c>
      <c r="T102" s="138">
        <v>2.7949999999999999</v>
      </c>
      <c r="U102" s="138">
        <f>级配!F102/S102*E101</f>
        <v>6.19469026548672E-2</v>
      </c>
      <c r="V102" s="138">
        <f>级配!F102/T102*E101</f>
        <v>6.2611806797853303E-2</v>
      </c>
      <c r="AE102" s="154">
        <v>5.6524035921817202</v>
      </c>
    </row>
    <row r="103" spans="1:32" ht="14.4">
      <c r="A103" s="276"/>
      <c r="B103" s="276"/>
      <c r="C103"/>
      <c r="F103" s="129" t="s">
        <v>240</v>
      </c>
      <c r="G103" s="149">
        <f>$E$29*($F$29*G94+$F$30*G95+$F$31*G96+$F$32*G97+$F$33*G98+$F$34*G99+$F$35*G100)+$E$36*($F$36*G101+$F$37*G102)</f>
        <v>100</v>
      </c>
      <c r="H103" s="149">
        <f>E94*(F94*H94+F95*H95+F96*H96+F97*H97+F98*H98+F99*H99+F100*H100)+E101*(F101*H101+F102*H102)</f>
        <v>91.398399999999995</v>
      </c>
      <c r="I103" s="149">
        <f>E94*(F94*I94+F95*I95+F96*I96+F97*I97+F98*I98+F99*I99+F100*I100)+E101*(F101*I101+F102*I102)</f>
        <v>89.497383333333303</v>
      </c>
      <c r="J103" s="149">
        <f>E94*(F94*J94+F95*J95+F96*J96+F97*J97+F98*J98+F99*J99+F100*J100)+E101*(F101*J101+F102*J102)</f>
        <v>75.590290593302498</v>
      </c>
      <c r="K103" s="149">
        <f>E94*(F94*K94+F95*K95+F96*K96+F97*K97+F98*K98+F99*K99+F100*K100)+E101*(F101*K101+F102*K102)</f>
        <v>57.7117137477303</v>
      </c>
      <c r="L103" s="149">
        <f>E94*(F94*L94+F95*L95+F96*L96+F97*L97+F98*L98+F99*L99+F100*L100)+E101*(F101*L101+F102*L102)</f>
        <v>43.530556540339397</v>
      </c>
      <c r="M103" s="149">
        <f>E94*(F94*M94+F95*M95+F96*M96+F97*M97+F98*M98+F99*M99+F100*M100)+E101*(F101*M101+F102*M102)</f>
        <v>22.7978993285979</v>
      </c>
      <c r="N103" s="149">
        <f>E94*(F94*N94+F95*N95+F96*N96+F97*N97+F98*N98+F99*N99+F100*N100)+E101*(F101*N101+F102*N102)</f>
        <v>17.463624853547898</v>
      </c>
      <c r="O103" s="149">
        <f>E94*(F94*O94+F95*O95+F96*O96+F97*O97+F98*O98+F99*O99+F100*O100)+E101*(F101*O101+F102*O102)</f>
        <v>13.026041689686</v>
      </c>
      <c r="P103" s="149">
        <f>E94*(F94*P94+F95*P95+F96*P96+F97*P97+F98*P98+F99*P99+F100*P100)+E101*(F101*P101+F102*P102)</f>
        <v>9.9360292897113798</v>
      </c>
      <c r="Q103" s="149">
        <f>E94*(F94*Q94+F95*Q95+F96*Q96+F97*Q97+F98*Q98+F99*Q99+F100*Q100)+E101*(F101*Q101+F102*Q102)</f>
        <v>8.3526121783014293</v>
      </c>
      <c r="R103" s="149">
        <f>E94*(F94*R94+F95*R95+F96*R96+F97*R97+F98*R98+F99*R99+F100*R100)+E101*(F101*R101+F102*R102)</f>
        <v>6.55818958051203</v>
      </c>
      <c r="S103" s="138"/>
      <c r="T103" s="138"/>
    </row>
    <row r="104" spans="1:32" ht="14.4">
      <c r="A104" s="276"/>
      <c r="B104" s="276"/>
      <c r="C104"/>
      <c r="F104" s="129" t="s">
        <v>241</v>
      </c>
      <c r="G104" s="149">
        <v>100</v>
      </c>
      <c r="H104" s="149">
        <v>100</v>
      </c>
      <c r="I104" s="149">
        <v>92</v>
      </c>
      <c r="J104" s="149">
        <v>80</v>
      </c>
      <c r="K104" s="149">
        <v>72</v>
      </c>
      <c r="L104" s="149">
        <v>56</v>
      </c>
      <c r="M104" s="149">
        <v>44</v>
      </c>
      <c r="N104" s="149">
        <v>33</v>
      </c>
      <c r="O104" s="149">
        <v>24</v>
      </c>
      <c r="P104" s="149">
        <v>17</v>
      </c>
      <c r="Q104" s="149">
        <v>13</v>
      </c>
      <c r="R104" s="149">
        <v>7</v>
      </c>
      <c r="S104" s="138"/>
      <c r="T104" s="138"/>
    </row>
    <row r="105" spans="1:32" ht="14.4">
      <c r="A105" s="276"/>
      <c r="B105" s="276"/>
      <c r="C105"/>
      <c r="F105" s="129" t="s">
        <v>242</v>
      </c>
      <c r="G105" s="149">
        <f t="shared" ref="G105:R105" si="9">(G104+G106)/2</f>
        <v>100</v>
      </c>
      <c r="H105" s="149">
        <f t="shared" si="9"/>
        <v>95</v>
      </c>
      <c r="I105" s="149">
        <f t="shared" si="9"/>
        <v>85</v>
      </c>
      <c r="J105" s="149">
        <f t="shared" si="9"/>
        <v>71</v>
      </c>
      <c r="K105" s="149">
        <f t="shared" si="9"/>
        <v>61</v>
      </c>
      <c r="L105" s="149">
        <f t="shared" si="9"/>
        <v>41</v>
      </c>
      <c r="M105" s="149">
        <f t="shared" si="9"/>
        <v>30</v>
      </c>
      <c r="N105" s="149">
        <f t="shared" si="9"/>
        <v>22.5</v>
      </c>
      <c r="O105" s="149">
        <f t="shared" si="9"/>
        <v>16</v>
      </c>
      <c r="P105" s="149">
        <f t="shared" si="9"/>
        <v>11</v>
      </c>
      <c r="Q105" s="149">
        <f t="shared" si="9"/>
        <v>8.5</v>
      </c>
      <c r="R105" s="149">
        <f t="shared" si="9"/>
        <v>5</v>
      </c>
      <c r="S105" s="138"/>
      <c r="T105" s="138"/>
    </row>
    <row r="106" spans="1:32" ht="14.4">
      <c r="A106" s="276"/>
      <c r="B106" s="276"/>
      <c r="C106"/>
      <c r="F106" s="129" t="s">
        <v>243</v>
      </c>
      <c r="G106" s="149">
        <v>100</v>
      </c>
      <c r="H106" s="149">
        <v>90</v>
      </c>
      <c r="I106" s="149">
        <v>78</v>
      </c>
      <c r="J106" s="149">
        <v>62</v>
      </c>
      <c r="K106" s="149">
        <v>50</v>
      </c>
      <c r="L106" s="149">
        <v>26</v>
      </c>
      <c r="M106" s="149">
        <v>16</v>
      </c>
      <c r="N106" s="149">
        <v>12</v>
      </c>
      <c r="O106" s="149">
        <v>8</v>
      </c>
      <c r="P106" s="149">
        <v>5</v>
      </c>
      <c r="Q106" s="149">
        <v>4</v>
      </c>
      <c r="R106" s="149">
        <v>3</v>
      </c>
      <c r="S106" s="138"/>
      <c r="T106" s="138"/>
    </row>
    <row r="107" spans="1:32">
      <c r="A107" s="276" t="s">
        <v>84</v>
      </c>
      <c r="B107" s="276" t="s">
        <v>247</v>
      </c>
      <c r="C107" s="159" t="s">
        <v>81</v>
      </c>
      <c r="D107" s="129" t="s">
        <v>85</v>
      </c>
      <c r="E107" s="276">
        <v>0.5</v>
      </c>
      <c r="F107" s="129">
        <v>0.2</v>
      </c>
      <c r="G107" s="149">
        <v>100</v>
      </c>
      <c r="H107" s="149">
        <v>14.7525</v>
      </c>
      <c r="I107" s="149">
        <v>3.64</v>
      </c>
      <c r="J107" s="149">
        <v>0.127500000000005</v>
      </c>
      <c r="K107" s="149">
        <v>0</v>
      </c>
      <c r="L107" s="149">
        <v>0</v>
      </c>
      <c r="M107" s="149">
        <v>0</v>
      </c>
      <c r="N107" s="149">
        <v>0</v>
      </c>
      <c r="O107" s="149">
        <v>0</v>
      </c>
      <c r="P107" s="149">
        <v>0</v>
      </c>
      <c r="Q107" s="149">
        <v>0</v>
      </c>
      <c r="R107" s="149">
        <v>0</v>
      </c>
      <c r="S107" s="138">
        <v>2.7290000000000001</v>
      </c>
      <c r="T107" s="138">
        <v>2.7040000000000002</v>
      </c>
      <c r="U107" s="138">
        <f>级配!F107/S107*E107</f>
        <v>3.6643459142543099E-2</v>
      </c>
      <c r="V107" s="138">
        <f>级配!F107/T107*E107</f>
        <v>3.6982248520710102E-2</v>
      </c>
      <c r="W107" s="138">
        <f>1/SUM(U107:U115)</f>
        <v>2.7764014320757999</v>
      </c>
      <c r="X107" s="153">
        <v>0.4</v>
      </c>
      <c r="Y107" s="138">
        <f>0.033*X107*X107-0.2936*X107+0.9336</f>
        <v>0.82143999999999995</v>
      </c>
      <c r="Z107" s="138">
        <f>0.033*Y107*Y107-0.2936*Y107+0.9336</f>
        <v>0.71469241722879995</v>
      </c>
      <c r="AA107" s="158">
        <v>2.5670000000000002</v>
      </c>
      <c r="AB107" s="138">
        <f>1/SUM(V107:V115)</f>
        <v>2.7399965490565998</v>
      </c>
      <c r="AC107" s="160">
        <v>4.2</v>
      </c>
      <c r="AD107" s="138">
        <f>100*AC107/(100+AC107)</f>
        <v>4.0307101727447199</v>
      </c>
      <c r="AE107" s="156"/>
      <c r="AF107" s="156">
        <f>AC107-E114*F114*AE114-E114*F115*AE115</f>
        <v>1.9168713064857701</v>
      </c>
    </row>
    <row r="108" spans="1:32">
      <c r="A108" s="276"/>
      <c r="B108" s="276"/>
      <c r="C108" s="159" t="s">
        <v>81</v>
      </c>
      <c r="D108" s="157" t="s">
        <v>86</v>
      </c>
      <c r="E108" s="276"/>
      <c r="F108" s="129">
        <v>0.28999999999999998</v>
      </c>
      <c r="G108" s="149">
        <v>100</v>
      </c>
      <c r="H108" s="149">
        <v>99.47</v>
      </c>
      <c r="I108" s="149">
        <v>94.023333333333298</v>
      </c>
      <c r="J108" s="149">
        <v>16.586666666666702</v>
      </c>
      <c r="K108" s="149">
        <v>0.45000000000000301</v>
      </c>
      <c r="L108" s="149">
        <v>0.27333333333333298</v>
      </c>
      <c r="M108" s="149">
        <v>0</v>
      </c>
      <c r="N108" s="149">
        <v>0</v>
      </c>
      <c r="O108" s="149">
        <v>0</v>
      </c>
      <c r="P108" s="149">
        <v>0</v>
      </c>
      <c r="Q108" s="149">
        <v>0</v>
      </c>
      <c r="R108" s="149">
        <v>0</v>
      </c>
      <c r="S108" s="138">
        <v>2.7240000000000002</v>
      </c>
      <c r="T108" s="138">
        <v>2.6880000000000002</v>
      </c>
      <c r="U108" s="138">
        <f>级配!F108/S108*E107</f>
        <v>5.3230543318649001E-2</v>
      </c>
      <c r="V108" s="138">
        <f>级配!F108/T108*E107</f>
        <v>5.3943452380952397E-2</v>
      </c>
      <c r="W108" s="138"/>
      <c r="X108" s="138"/>
      <c r="Y108" s="151"/>
      <c r="Z108" s="151"/>
      <c r="AA108" s="158"/>
      <c r="AB108" s="138"/>
      <c r="AC108" s="160"/>
      <c r="AD108" s="138"/>
      <c r="AE108" s="156"/>
      <c r="AF108" s="156"/>
    </row>
    <row r="109" spans="1:32">
      <c r="A109" s="276"/>
      <c r="B109" s="276"/>
      <c r="C109" s="159" t="s">
        <v>81</v>
      </c>
      <c r="D109" s="157" t="s">
        <v>87</v>
      </c>
      <c r="E109" s="276"/>
      <c r="F109" s="129">
        <v>0.14000000000000001</v>
      </c>
      <c r="G109" s="149">
        <v>100</v>
      </c>
      <c r="H109" s="149">
        <v>100</v>
      </c>
      <c r="I109" s="149">
        <v>100</v>
      </c>
      <c r="J109" s="149">
        <v>97.423333333333304</v>
      </c>
      <c r="K109" s="149">
        <v>44.356666666666698</v>
      </c>
      <c r="L109" s="149">
        <v>0.283333333333324</v>
      </c>
      <c r="M109" s="149">
        <v>0.19333333333333499</v>
      </c>
      <c r="N109" s="149">
        <v>0.103333333333332</v>
      </c>
      <c r="O109" s="149">
        <v>0</v>
      </c>
      <c r="P109" s="149">
        <v>0</v>
      </c>
      <c r="Q109" s="149">
        <v>0</v>
      </c>
      <c r="R109" s="149">
        <v>0</v>
      </c>
      <c r="S109" s="138">
        <v>2.7240000000000002</v>
      </c>
      <c r="T109" s="138">
        <v>2.6890000000000001</v>
      </c>
      <c r="U109" s="138">
        <f>级配!F109/S109*E107</f>
        <v>2.5697503671072E-2</v>
      </c>
      <c r="V109" s="138">
        <f>级配!F109/T109*E107</f>
        <v>2.6031982149497999E-2</v>
      </c>
    </row>
    <row r="110" spans="1:32">
      <c r="A110" s="276"/>
      <c r="B110" s="276"/>
      <c r="C110" s="159" t="s">
        <v>81</v>
      </c>
      <c r="D110" s="157" t="s">
        <v>88</v>
      </c>
      <c r="E110" s="276"/>
      <c r="F110" s="129">
        <v>0.14000000000000001</v>
      </c>
      <c r="G110" s="149">
        <v>100</v>
      </c>
      <c r="H110" s="149">
        <v>100</v>
      </c>
      <c r="I110" s="149">
        <v>100</v>
      </c>
      <c r="J110" s="149">
        <v>100</v>
      </c>
      <c r="K110" s="149">
        <v>96.67</v>
      </c>
      <c r="L110" s="149">
        <v>3.0533333333333301</v>
      </c>
      <c r="M110" s="149">
        <v>0.62999999999999501</v>
      </c>
      <c r="N110" s="149">
        <v>0</v>
      </c>
      <c r="O110" s="149">
        <v>0</v>
      </c>
      <c r="P110" s="149">
        <v>0</v>
      </c>
      <c r="Q110" s="149">
        <v>0</v>
      </c>
      <c r="R110" s="149">
        <v>0</v>
      </c>
      <c r="S110" s="138">
        <v>2.7210000000000001</v>
      </c>
      <c r="T110" s="138">
        <v>2.681</v>
      </c>
      <c r="U110" s="138">
        <f>级配!F110/S110*E107</f>
        <v>2.57258360896729E-2</v>
      </c>
      <c r="V110" s="138">
        <f>级配!F110/T110*E107</f>
        <v>2.61096605744125E-2</v>
      </c>
    </row>
    <row r="111" spans="1:32" ht="14.4">
      <c r="A111" s="276"/>
      <c r="B111" s="276"/>
      <c r="C111" s="164" t="s">
        <v>81</v>
      </c>
      <c r="D111" s="157" t="s">
        <v>89</v>
      </c>
      <c r="E111" s="276"/>
      <c r="F111" s="129">
        <v>0.11</v>
      </c>
      <c r="G111" s="149">
        <v>100</v>
      </c>
      <c r="H111" s="149">
        <v>100</v>
      </c>
      <c r="I111" s="149">
        <v>100</v>
      </c>
      <c r="J111" s="149">
        <v>100</v>
      </c>
      <c r="K111" s="149">
        <v>100</v>
      </c>
      <c r="L111" s="149">
        <v>70.359936297776699</v>
      </c>
      <c r="M111" s="149">
        <v>8.4791666666666696</v>
      </c>
      <c r="N111" s="149">
        <v>4.50416666666667</v>
      </c>
      <c r="O111" s="149">
        <v>2.56666666666667</v>
      </c>
      <c r="P111" s="149">
        <v>1.8375000000000099</v>
      </c>
      <c r="Q111" s="149">
        <v>1.5875000000000099</v>
      </c>
      <c r="R111" s="149">
        <v>1.4208333333333401</v>
      </c>
      <c r="S111" s="138">
        <v>2.722</v>
      </c>
      <c r="T111" s="138">
        <v>2.6509999999999998</v>
      </c>
      <c r="U111" s="138">
        <f>级配!F111/S111*E107</f>
        <v>2.0205731080088201E-2</v>
      </c>
      <c r="V111" s="138">
        <f>级配!F111/T111*E107</f>
        <v>2.0746887966804999E-2</v>
      </c>
    </row>
    <row r="112" spans="1:32">
      <c r="A112" s="276"/>
      <c r="B112" s="276"/>
      <c r="C112" s="159" t="s">
        <v>82</v>
      </c>
      <c r="D112" s="157" t="s">
        <v>90</v>
      </c>
      <c r="E112" s="276"/>
      <c r="F112" s="129">
        <v>0.12</v>
      </c>
      <c r="G112" s="149">
        <v>100</v>
      </c>
      <c r="H112" s="149">
        <v>100</v>
      </c>
      <c r="I112" s="149">
        <v>100</v>
      </c>
      <c r="J112" s="149">
        <v>100</v>
      </c>
      <c r="K112" s="149">
        <v>100</v>
      </c>
      <c r="L112" s="149">
        <v>100</v>
      </c>
      <c r="M112" s="149">
        <v>81.364999999999995</v>
      </c>
      <c r="N112" s="149">
        <v>59.195</v>
      </c>
      <c r="O112" s="149">
        <v>34.704999999999998</v>
      </c>
      <c r="P112" s="149">
        <v>19.21</v>
      </c>
      <c r="Q112" s="149">
        <v>13.9</v>
      </c>
      <c r="R112" s="149">
        <v>11.54</v>
      </c>
      <c r="S112" s="138">
        <v>2.72</v>
      </c>
      <c r="T112" s="138">
        <v>2.65</v>
      </c>
      <c r="U112" s="138">
        <f>级配!F112/S112*E107</f>
        <v>2.2058823529411801E-2</v>
      </c>
      <c r="V112" s="138">
        <f>级配!F112/T112*E107</f>
        <v>2.2641509433962301E-2</v>
      </c>
    </row>
    <row r="113" spans="1:32" ht="14.4">
      <c r="A113" s="276"/>
      <c r="B113" s="276"/>
      <c r="C113" s="164" t="s">
        <v>99</v>
      </c>
      <c r="D113" s="157" t="s">
        <v>91</v>
      </c>
      <c r="E113" s="276"/>
      <c r="F113" s="129">
        <v>0</v>
      </c>
      <c r="G113" s="149">
        <v>100</v>
      </c>
      <c r="H113" s="149">
        <v>100</v>
      </c>
      <c r="I113" s="149">
        <v>100</v>
      </c>
      <c r="J113" s="149">
        <v>100</v>
      </c>
      <c r="K113" s="149">
        <v>100</v>
      </c>
      <c r="L113" s="149">
        <v>100</v>
      </c>
      <c r="M113" s="149">
        <v>100</v>
      </c>
      <c r="N113" s="149">
        <v>100</v>
      </c>
      <c r="O113" s="149">
        <v>100</v>
      </c>
      <c r="P113" s="149">
        <v>99.6875</v>
      </c>
      <c r="Q113" s="149">
        <v>97.112499999999997</v>
      </c>
      <c r="R113" s="149">
        <v>76.612499999999997</v>
      </c>
      <c r="S113" s="138">
        <v>2.7839999999999998</v>
      </c>
      <c r="T113" s="138">
        <v>2.7839999999999998</v>
      </c>
      <c r="U113" s="138">
        <f>级配!F113/S113*E107</f>
        <v>0</v>
      </c>
      <c r="V113" s="138">
        <f>级配!F113/T113*E107</f>
        <v>0</v>
      </c>
    </row>
    <row r="114" spans="1:32" ht="14.4">
      <c r="A114" s="276"/>
      <c r="B114" s="276"/>
      <c r="C114" s="159" t="s">
        <v>66</v>
      </c>
      <c r="D114" s="168" t="s">
        <v>75</v>
      </c>
      <c r="E114" s="276">
        <v>0.5</v>
      </c>
      <c r="F114" s="129">
        <v>0.6</v>
      </c>
      <c r="G114" s="149">
        <v>100</v>
      </c>
      <c r="H114" s="149">
        <v>100</v>
      </c>
      <c r="I114" s="149">
        <v>100</v>
      </c>
      <c r="J114" s="149">
        <v>93.432996697340897</v>
      </c>
      <c r="K114" s="149">
        <v>58.675273069939301</v>
      </c>
      <c r="L114" s="149">
        <v>63.708953924631899</v>
      </c>
      <c r="M114" s="149">
        <v>26.868671226368999</v>
      </c>
      <c r="N114" s="149">
        <v>21.3218663827885</v>
      </c>
      <c r="O114" s="149">
        <v>16.778918934786098</v>
      </c>
      <c r="P114" s="149">
        <v>13.464796697460701</v>
      </c>
      <c r="Q114" s="149">
        <v>11.690906934266099</v>
      </c>
      <c r="R114" s="149">
        <v>9.6660408408271596</v>
      </c>
      <c r="S114" s="138">
        <v>2.835</v>
      </c>
      <c r="T114" s="138">
        <v>2.8050000000000002</v>
      </c>
      <c r="U114" s="138">
        <f>级配!F114/S114*E114</f>
        <v>0.10582010582010599</v>
      </c>
      <c r="V114" s="138">
        <f>级配!F114/T114*E114</f>
        <v>0.10695187165775399</v>
      </c>
      <c r="AE114" s="154">
        <v>3.8421599169262999</v>
      </c>
    </row>
    <row r="115" spans="1:32" ht="14.4">
      <c r="A115" s="276"/>
      <c r="B115" s="276"/>
      <c r="C115" s="159" t="s">
        <v>67</v>
      </c>
      <c r="D115" s="168" t="s">
        <v>77</v>
      </c>
      <c r="E115" s="276"/>
      <c r="F115" s="129">
        <v>0.4</v>
      </c>
      <c r="G115" s="149">
        <v>100</v>
      </c>
      <c r="H115" s="149">
        <v>100</v>
      </c>
      <c r="I115" s="149">
        <v>100</v>
      </c>
      <c r="J115" s="149">
        <v>100</v>
      </c>
      <c r="K115" s="149">
        <v>100</v>
      </c>
      <c r="L115" s="149">
        <v>77.241522094924903</v>
      </c>
      <c r="M115" s="149">
        <v>51.494987695398102</v>
      </c>
      <c r="N115" s="149">
        <v>39.093199690333201</v>
      </c>
      <c r="O115" s="149">
        <v>29.767484014555301</v>
      </c>
      <c r="P115" s="149">
        <v>22.9094735030666</v>
      </c>
      <c r="Q115" s="149">
        <v>18.817885283799701</v>
      </c>
      <c r="R115" s="149">
        <v>13.6321265175802</v>
      </c>
      <c r="S115" s="138">
        <v>2.8250000000000002</v>
      </c>
      <c r="T115" s="138">
        <v>2.7949999999999999</v>
      </c>
      <c r="U115" s="138">
        <f>级配!F115/S115*E114</f>
        <v>7.0796460176991094E-2</v>
      </c>
      <c r="V115" s="138">
        <f>级配!F115/T115*E114</f>
        <v>7.1556350626118106E-2</v>
      </c>
      <c r="AE115" s="154">
        <v>5.6524035921817202</v>
      </c>
    </row>
    <row r="116" spans="1:32" ht="14.4">
      <c r="A116" s="276"/>
      <c r="B116" s="276"/>
      <c r="C116"/>
      <c r="F116" s="129" t="s">
        <v>240</v>
      </c>
      <c r="G116" s="149">
        <f>$E$29*($F$29*G107+$F$30*G108+$F$31*G109+$F$32*G110+$F$33*G111+$F$34*G112+$F$35*G113)+$E$36*($F$36*G114+$F$37*G115)</f>
        <v>100</v>
      </c>
      <c r="H116" s="149">
        <f>E107*(F107*H107+F108*H108+F109*H109+F110*H110+F111*H111+F112*H112+F113*H113)+E114*(F114*H114+F115*H115)</f>
        <v>91.398399999999995</v>
      </c>
      <c r="I116" s="149">
        <f>E107*(F107*I107+F108*I108+F109*I109+F110*I110+F111*I111+F112*I112+F113*I113)+E114*(F114*I114+F115*I115)</f>
        <v>89.497383333333303</v>
      </c>
      <c r="J116" s="149">
        <f>E107*(F107*J107+F108*J108+F109*J109+F110*J110+F111*J111+F112*J112+F113*J113)+E114*(F114*J114+F115*J115)</f>
        <v>75.767349009202306</v>
      </c>
      <c r="K116" s="149">
        <f>E107*(F107*K107+F108*K108+F109*K109+F110*K110+F111*K111+F112*K112+F113*K113)+E114*(F114*K114+F115*K115)</f>
        <v>59.039698587648502</v>
      </c>
      <c r="L116" s="149">
        <f>E107*(F107*L107+F108*L108+F109*L109+F110*L110+F111*L111+F112*L112+F113*L113)+E114*(F114*L114+F115*L115)</f>
        <v>44.7039870927523</v>
      </c>
      <c r="M116" s="149">
        <f>E107*(F107*M107+F108*M108+F109*M109+F110*M110+F111*M111+F112*M112+F113*M113)+E114*(F114*M114+F115*M115)</f>
        <v>23.765486406990298</v>
      </c>
      <c r="N116" s="149">
        <f>E107*(F107*N107+F108*N108+F109*N109+F110*N110+F111*N111+F112*N112+F113*N113)+E114*(F114*N114+F115*N115)</f>
        <v>18.021862352903199</v>
      </c>
      <c r="O116" s="149">
        <f>E107*(F107*O107+F108*O108+F109*O109+F110*O110+F111*O111+F112*O112+F113*O113)+E114*(F114*O114+F115*O115)</f>
        <v>13.2106391500136</v>
      </c>
      <c r="P116" s="149">
        <f>E107*(F107*P107+F108*P108+F109*P109+F110*P110+F111*P111+F112*P112+F113*P113)+E114*(F114*P114+F115*P115)</f>
        <v>9.8749962098515294</v>
      </c>
      <c r="Q116" s="149">
        <f>E107*(F107*Q107+F108*Q108+F109*Q109+F110*Q110+F111*Q111+F112*Q112+F113*Q113)+E114*(F114*Q114+F115*Q115)</f>
        <v>8.1921616370397707</v>
      </c>
      <c r="R116" s="149">
        <f>E107*(F107*R107+F108*R108+F109*R109+F110*R110+F111*R111+F112*R112+F113*R113)+E114*(F114*R114+F115*R115)</f>
        <v>6.3967833890975196</v>
      </c>
    </row>
    <row r="117" spans="1:32" ht="14.4">
      <c r="A117" s="276"/>
      <c r="B117" s="276"/>
      <c r="C117"/>
      <c r="F117" s="129" t="s">
        <v>241</v>
      </c>
      <c r="G117" s="149">
        <v>100</v>
      </c>
      <c r="H117" s="149">
        <v>100</v>
      </c>
      <c r="I117" s="149">
        <v>92</v>
      </c>
      <c r="J117" s="149">
        <v>80</v>
      </c>
      <c r="K117" s="149">
        <v>72</v>
      </c>
      <c r="L117" s="149">
        <v>56</v>
      </c>
      <c r="M117" s="149">
        <v>44</v>
      </c>
      <c r="N117" s="149">
        <v>33</v>
      </c>
      <c r="O117" s="149">
        <v>24</v>
      </c>
      <c r="P117" s="149">
        <v>17</v>
      </c>
      <c r="Q117" s="149">
        <v>13</v>
      </c>
      <c r="R117" s="149">
        <v>7</v>
      </c>
    </row>
    <row r="118" spans="1:32" ht="14.4">
      <c r="A118" s="276"/>
      <c r="B118" s="276"/>
      <c r="C118"/>
      <c r="F118" s="129" t="s">
        <v>242</v>
      </c>
      <c r="G118" s="149">
        <f t="shared" ref="G118:R118" si="10">(G117+G119)/2</f>
        <v>100</v>
      </c>
      <c r="H118" s="149">
        <f t="shared" si="10"/>
        <v>95</v>
      </c>
      <c r="I118" s="149">
        <f t="shared" si="10"/>
        <v>85</v>
      </c>
      <c r="J118" s="149">
        <f t="shared" si="10"/>
        <v>71</v>
      </c>
      <c r="K118" s="149">
        <f t="shared" si="10"/>
        <v>61</v>
      </c>
      <c r="L118" s="149">
        <f t="shared" si="10"/>
        <v>41</v>
      </c>
      <c r="M118" s="149">
        <f t="shared" si="10"/>
        <v>30</v>
      </c>
      <c r="N118" s="149">
        <f t="shared" si="10"/>
        <v>22.5</v>
      </c>
      <c r="O118" s="149">
        <f t="shared" si="10"/>
        <v>16</v>
      </c>
      <c r="P118" s="149">
        <f t="shared" si="10"/>
        <v>11</v>
      </c>
      <c r="Q118" s="149">
        <f t="shared" si="10"/>
        <v>8.5</v>
      </c>
      <c r="R118" s="149">
        <f t="shared" si="10"/>
        <v>5</v>
      </c>
    </row>
    <row r="119" spans="1:32" ht="14.4">
      <c r="A119" s="276"/>
      <c r="B119" s="276"/>
      <c r="C119"/>
      <c r="F119" s="129" t="s">
        <v>243</v>
      </c>
      <c r="G119" s="149">
        <v>100</v>
      </c>
      <c r="H119" s="149">
        <v>90</v>
      </c>
      <c r="I119" s="149">
        <v>78</v>
      </c>
      <c r="J119" s="149">
        <v>62</v>
      </c>
      <c r="K119" s="149">
        <v>50</v>
      </c>
      <c r="L119" s="149">
        <v>26</v>
      </c>
      <c r="M119" s="149">
        <v>16</v>
      </c>
      <c r="N119" s="149">
        <v>12</v>
      </c>
      <c r="O119" s="149">
        <v>8</v>
      </c>
      <c r="P119" s="149">
        <v>5</v>
      </c>
      <c r="Q119" s="149">
        <v>4</v>
      </c>
      <c r="R119" s="149">
        <v>3</v>
      </c>
    </row>
    <row r="120" spans="1:32" ht="14.4">
      <c r="A120" s="276" t="s">
        <v>92</v>
      </c>
      <c r="B120" s="280" t="s">
        <v>248</v>
      </c>
      <c r="C120" s="159" t="s">
        <v>61</v>
      </c>
      <c r="D120" s="168" t="s">
        <v>62</v>
      </c>
      <c r="E120" s="276">
        <v>0.5</v>
      </c>
      <c r="F120" s="129">
        <v>0.4</v>
      </c>
      <c r="G120" s="149">
        <v>100</v>
      </c>
      <c r="H120" s="149">
        <v>79.248879444938098</v>
      </c>
      <c r="I120" s="149">
        <v>48.359849175369298</v>
      </c>
      <c r="J120" s="149">
        <v>22.409362273888899</v>
      </c>
      <c r="K120" s="149">
        <v>3.2062953055868602</v>
      </c>
      <c r="L120" s="149">
        <v>1.1608629201134799</v>
      </c>
      <c r="M120" s="149">
        <v>1.1608629201134799</v>
      </c>
      <c r="N120" s="149">
        <v>1.1608629201134799</v>
      </c>
      <c r="O120" s="149">
        <v>1.1608629201134799</v>
      </c>
      <c r="P120" s="149">
        <v>1.1608629201134799</v>
      </c>
      <c r="Q120" s="149">
        <v>1.1608629201134799</v>
      </c>
      <c r="R120" s="149">
        <v>1.1608629201134799</v>
      </c>
      <c r="S120" s="138">
        <v>2.758</v>
      </c>
      <c r="T120" s="138">
        <v>2.7240000000000002</v>
      </c>
      <c r="U120" s="138">
        <f>级配!F120/S120*E120</f>
        <v>7.2516316171138503E-2</v>
      </c>
      <c r="V120" s="138">
        <f>级配!F120/T120*E120</f>
        <v>7.3421439060205596E-2</v>
      </c>
      <c r="W120" s="138">
        <f>1/SUM(U120:U128)</f>
        <v>2.80986229345738</v>
      </c>
      <c r="X120" s="153">
        <v>0.4</v>
      </c>
      <c r="Y120" s="138">
        <f>0.033*X120*X120-0.2936*X120+0.9336</f>
        <v>0.82143999999999995</v>
      </c>
      <c r="Z120" s="138">
        <f>0.033*Y120*Y120-0.2936*Y120+0.9336</f>
        <v>0.71469241722879995</v>
      </c>
      <c r="AA120" s="169">
        <v>2.60142865483619</v>
      </c>
      <c r="AB120" s="138">
        <f>1/SUM(V120:V128)</f>
        <v>2.7135711425642901</v>
      </c>
      <c r="AC120" s="160">
        <v>4.2</v>
      </c>
      <c r="AD120" s="138">
        <f>100*AC120/(100+AC120)</f>
        <v>4.0307101727447199</v>
      </c>
      <c r="AE120" s="156"/>
      <c r="AF120" s="156">
        <f>AC120-E127*F127*AE127-E127*F128*AE128</f>
        <v>1.5575747715598101</v>
      </c>
    </row>
    <row r="121" spans="1:32" ht="14.4">
      <c r="A121" s="276"/>
      <c r="B121" s="276"/>
      <c r="C121" s="159" t="s">
        <v>61</v>
      </c>
      <c r="D121" s="168" t="s">
        <v>79</v>
      </c>
      <c r="E121" s="276"/>
      <c r="F121" s="129">
        <v>0.35</v>
      </c>
      <c r="G121" s="149">
        <v>100</v>
      </c>
      <c r="H121" s="149">
        <v>100</v>
      </c>
      <c r="I121" s="149">
        <v>98.037567108959905</v>
      </c>
      <c r="J121" s="149">
        <v>75.7291666666667</v>
      </c>
      <c r="K121" s="149">
        <v>23.796906728977198</v>
      </c>
      <c r="L121" s="149">
        <v>2.5733504409023902</v>
      </c>
      <c r="M121" s="149">
        <v>2.3425373445714901</v>
      </c>
      <c r="N121" s="149">
        <v>2.3425373445714901</v>
      </c>
      <c r="O121" s="149">
        <v>2.3425373445714901</v>
      </c>
      <c r="P121" s="149">
        <v>2.3425373445714901</v>
      </c>
      <c r="Q121" s="149">
        <v>2.3425373445714901</v>
      </c>
      <c r="R121" s="149">
        <v>2.3425373445714901</v>
      </c>
      <c r="S121" s="138">
        <v>2.8119999999999998</v>
      </c>
      <c r="T121" s="138">
        <v>2.7360000000000002</v>
      </c>
      <c r="U121" s="138">
        <f>级配!F121/S121*E120</f>
        <v>6.2233285917496398E-2</v>
      </c>
      <c r="V121" s="138">
        <f>级配!F121/T121*E120</f>
        <v>6.3961988304093595E-2</v>
      </c>
      <c r="W121" s="138"/>
      <c r="X121" s="138"/>
      <c r="Y121" s="151"/>
      <c r="Z121" s="151"/>
      <c r="AA121" s="158"/>
      <c r="AB121" s="138"/>
      <c r="AC121" s="160"/>
      <c r="AD121" s="138"/>
      <c r="AE121" s="156"/>
      <c r="AF121" s="156"/>
    </row>
    <row r="122" spans="1:32" ht="14.4">
      <c r="A122" s="276"/>
      <c r="B122" s="276"/>
      <c r="C122" s="159" t="s">
        <v>61</v>
      </c>
      <c r="D122" s="168" t="s">
        <v>63</v>
      </c>
      <c r="E122" s="276"/>
      <c r="F122" s="129">
        <v>0.18</v>
      </c>
      <c r="G122" s="149">
        <v>100</v>
      </c>
      <c r="H122" s="149">
        <v>100</v>
      </c>
      <c r="I122" s="149">
        <v>100</v>
      </c>
      <c r="J122" s="149">
        <v>100</v>
      </c>
      <c r="K122" s="149">
        <v>100</v>
      </c>
      <c r="L122" s="149">
        <v>15.9987983405973</v>
      </c>
      <c r="M122" s="149">
        <v>5.8437940259727101</v>
      </c>
      <c r="N122" s="149">
        <v>12.6578818537859</v>
      </c>
      <c r="O122" s="149">
        <v>4.8038163425044704</v>
      </c>
      <c r="P122" s="149">
        <v>4.5889553298452803</v>
      </c>
      <c r="Q122" s="149">
        <v>4.2487910887944098</v>
      </c>
      <c r="R122" s="149">
        <v>3.6704534683114498</v>
      </c>
      <c r="S122" s="138">
        <v>2.782</v>
      </c>
      <c r="T122" s="138">
        <v>2.7120000000000002</v>
      </c>
      <c r="U122" s="138">
        <f>级配!F122/S122*E120</f>
        <v>3.2350826743350103E-2</v>
      </c>
      <c r="V122" s="138">
        <f>级配!F122/T122*E120</f>
        <v>3.3185840707964598E-2</v>
      </c>
    </row>
    <row r="123" spans="1:32">
      <c r="A123" s="276"/>
      <c r="B123" s="276"/>
      <c r="C123" s="159" t="s">
        <v>82</v>
      </c>
      <c r="D123" s="168" t="s">
        <v>65</v>
      </c>
      <c r="E123" s="276"/>
      <c r="F123" s="129">
        <v>0.05</v>
      </c>
      <c r="G123" s="149">
        <v>100</v>
      </c>
      <c r="H123" s="149">
        <v>100</v>
      </c>
      <c r="I123" s="149">
        <v>100</v>
      </c>
      <c r="J123" s="149">
        <v>100</v>
      </c>
      <c r="K123" s="149">
        <v>100</v>
      </c>
      <c r="L123" s="149">
        <v>93.593595596567894</v>
      </c>
      <c r="M123" s="149">
        <v>70.729120198265207</v>
      </c>
      <c r="N123" s="149">
        <v>53.367073818374898</v>
      </c>
      <c r="O123" s="149">
        <v>44.224946008143</v>
      </c>
      <c r="P123" s="149">
        <v>34.685622234023697</v>
      </c>
      <c r="Q123" s="149">
        <v>26.4095946185166</v>
      </c>
      <c r="R123" s="149">
        <v>20.063020003540501</v>
      </c>
      <c r="S123" s="138">
        <v>2.7109999999999999</v>
      </c>
      <c r="T123" s="138">
        <v>2.6</v>
      </c>
      <c r="U123" s="138">
        <f>级配!F123/S123*E120</f>
        <v>9.2216894135005497E-3</v>
      </c>
      <c r="V123" s="138">
        <f>级配!F123/T123*E120</f>
        <v>9.6153846153846194E-3</v>
      </c>
    </row>
    <row r="124" spans="1:32" ht="14.4">
      <c r="A124" s="276"/>
      <c r="B124" s="276"/>
      <c r="C124" s="164" t="s">
        <v>99</v>
      </c>
      <c r="D124" s="168" t="s">
        <v>91</v>
      </c>
      <c r="E124" s="276"/>
      <c r="F124" s="129">
        <v>0.02</v>
      </c>
      <c r="G124" s="149">
        <v>100</v>
      </c>
      <c r="H124" s="149">
        <v>100</v>
      </c>
      <c r="I124" s="149">
        <v>100</v>
      </c>
      <c r="J124" s="149">
        <v>100</v>
      </c>
      <c r="K124" s="149">
        <v>100</v>
      </c>
      <c r="L124" s="149">
        <v>100</v>
      </c>
      <c r="M124" s="149">
        <v>100</v>
      </c>
      <c r="N124" s="149">
        <v>100</v>
      </c>
      <c r="O124" s="149">
        <v>100</v>
      </c>
      <c r="P124" s="149">
        <v>97.4</v>
      </c>
      <c r="Q124" s="149">
        <v>90.2</v>
      </c>
      <c r="R124" s="149">
        <v>78.2</v>
      </c>
      <c r="S124" s="138">
        <v>2.6789999999999998</v>
      </c>
      <c r="T124" s="138">
        <v>2.6789999999999998</v>
      </c>
      <c r="U124" s="138">
        <f>级配!F124/S124*E120</f>
        <v>3.7327360955580402E-3</v>
      </c>
      <c r="V124" s="138">
        <f>级配!F124/T124*E120</f>
        <v>3.7327360955580402E-3</v>
      </c>
    </row>
    <row r="125" spans="1:32" ht="14.4">
      <c r="A125" s="276"/>
      <c r="B125" s="276"/>
      <c r="C125" s="164" t="s">
        <v>99</v>
      </c>
      <c r="D125" s="168" t="s">
        <v>91</v>
      </c>
      <c r="E125" s="276"/>
      <c r="F125" s="129">
        <v>0</v>
      </c>
      <c r="G125" s="149">
        <v>100</v>
      </c>
      <c r="H125" s="149">
        <v>100</v>
      </c>
      <c r="I125" s="149">
        <v>100</v>
      </c>
      <c r="J125" s="149">
        <v>100</v>
      </c>
      <c r="K125" s="149">
        <v>100</v>
      </c>
      <c r="L125" s="149">
        <v>100</v>
      </c>
      <c r="M125" s="149">
        <v>81.364999999999995</v>
      </c>
      <c r="N125" s="149">
        <v>59.195</v>
      </c>
      <c r="O125" s="149">
        <v>34.704999999999998</v>
      </c>
      <c r="P125" s="149">
        <v>19.21</v>
      </c>
      <c r="Q125" s="149">
        <v>13.9</v>
      </c>
      <c r="R125" s="149">
        <v>11.54</v>
      </c>
      <c r="S125" s="138">
        <v>2.72</v>
      </c>
      <c r="T125" s="138">
        <v>2.65</v>
      </c>
      <c r="U125" s="138">
        <f>级配!F125/S125*E120</f>
        <v>0</v>
      </c>
      <c r="V125" s="138">
        <f>级配!F125/T125*E120</f>
        <v>0</v>
      </c>
    </row>
    <row r="126" spans="1:32" ht="14.4">
      <c r="A126" s="276"/>
      <c r="B126" s="276"/>
      <c r="C126" s="164" t="s">
        <v>99</v>
      </c>
      <c r="D126" s="157" t="s">
        <v>91</v>
      </c>
      <c r="E126" s="276"/>
      <c r="F126" s="129">
        <v>0</v>
      </c>
      <c r="G126" s="149">
        <v>100</v>
      </c>
      <c r="H126" s="149">
        <v>100</v>
      </c>
      <c r="I126" s="149">
        <v>100</v>
      </c>
      <c r="J126" s="149">
        <v>100</v>
      </c>
      <c r="K126" s="149">
        <v>100</v>
      </c>
      <c r="L126" s="149">
        <v>100</v>
      </c>
      <c r="M126" s="149">
        <v>100</v>
      </c>
      <c r="N126" s="149">
        <v>100</v>
      </c>
      <c r="O126" s="149">
        <v>100</v>
      </c>
      <c r="P126" s="149">
        <v>99.6875</v>
      </c>
      <c r="Q126" s="149">
        <v>97.112499999999997</v>
      </c>
      <c r="R126" s="149">
        <v>76.612499999999997</v>
      </c>
      <c r="S126" s="138">
        <v>2.8519999999999999</v>
      </c>
      <c r="T126" s="138">
        <v>2.7229999999999999</v>
      </c>
      <c r="U126" s="138">
        <f>级配!F126/S126*E120</f>
        <v>0</v>
      </c>
      <c r="V126" s="138">
        <f>级配!F126/T126*E120</f>
        <v>0</v>
      </c>
    </row>
    <row r="127" spans="1:32" ht="14.4">
      <c r="A127" s="276"/>
      <c r="B127" s="276"/>
      <c r="C127" s="159" t="s">
        <v>66</v>
      </c>
      <c r="D127" s="168" t="s">
        <v>62</v>
      </c>
      <c r="E127" s="276">
        <v>0.5</v>
      </c>
      <c r="F127" s="129">
        <v>0.6</v>
      </c>
      <c r="G127" s="149">
        <v>100</v>
      </c>
      <c r="H127" s="149">
        <v>100</v>
      </c>
      <c r="I127" s="149">
        <v>95.413957186355702</v>
      </c>
      <c r="J127" s="149">
        <v>83.648148879171899</v>
      </c>
      <c r="K127" s="149">
        <v>53.292351135263502</v>
      </c>
      <c r="L127" s="149">
        <v>32.055164073470301</v>
      </c>
      <c r="M127" s="149">
        <v>23.443185190451501</v>
      </c>
      <c r="N127" s="149">
        <v>18.6628392776935</v>
      </c>
      <c r="O127" s="149">
        <v>16.439530218911301</v>
      </c>
      <c r="P127" s="149">
        <v>13.5248385692075</v>
      </c>
      <c r="Q127" s="149">
        <v>10.5017690002766</v>
      </c>
      <c r="R127" s="149">
        <v>7.4739355632115796</v>
      </c>
      <c r="S127" s="138">
        <v>2.8519999999999999</v>
      </c>
      <c r="T127" s="138">
        <v>2.7229999999999999</v>
      </c>
      <c r="U127" s="138">
        <f>级配!F127/S128*E127</f>
        <v>0.105708245243129</v>
      </c>
      <c r="V127" s="138">
        <f>级配!F127/T128*E127</f>
        <v>0.11115227862171199</v>
      </c>
      <c r="AE127" s="154">
        <v>4.8809906722418797</v>
      </c>
    </row>
    <row r="128" spans="1:32" ht="14.4">
      <c r="A128" s="276"/>
      <c r="B128" s="276"/>
      <c r="C128" s="159" t="s">
        <v>67</v>
      </c>
      <c r="D128" s="168" t="s">
        <v>68</v>
      </c>
      <c r="E128" s="276"/>
      <c r="F128" s="129">
        <v>0.4</v>
      </c>
      <c r="G128" s="149">
        <v>100</v>
      </c>
      <c r="H128" s="149">
        <v>100</v>
      </c>
      <c r="I128" s="149">
        <v>100</v>
      </c>
      <c r="J128" s="149">
        <v>100</v>
      </c>
      <c r="K128" s="149">
        <v>96.477572031584202</v>
      </c>
      <c r="L128" s="149">
        <v>67.045423462632996</v>
      </c>
      <c r="M128" s="149">
        <v>47.3470804829117</v>
      </c>
      <c r="N128" s="149">
        <v>37.212801707415402</v>
      </c>
      <c r="O128" s="149">
        <v>32.405709309563001</v>
      </c>
      <c r="P128" s="149">
        <v>25.442578638762999</v>
      </c>
      <c r="Q128" s="149">
        <v>19.095311151447898</v>
      </c>
      <c r="R128" s="149">
        <v>12.0610257703232</v>
      </c>
      <c r="S128" s="138">
        <v>2.8380000000000001</v>
      </c>
      <c r="T128" s="138">
        <v>2.6989999999999998</v>
      </c>
      <c r="U128" s="138">
        <f>级配!F128/S126*E127</f>
        <v>7.0126227208976197E-2</v>
      </c>
      <c r="V128" s="138">
        <f>级配!F128/T126*E127</f>
        <v>7.3448402497245699E-2</v>
      </c>
      <c r="AE128" s="154">
        <v>5.8906401338381498</v>
      </c>
    </row>
    <row r="129" spans="1:32" ht="14.4">
      <c r="A129" s="276"/>
      <c r="B129" s="276"/>
      <c r="C129"/>
      <c r="F129" s="129" t="s">
        <v>240</v>
      </c>
      <c r="G129" s="149">
        <f>$E$29*($F$29*G120+$F$30*G121+$F$31*G122+$F$32*G123+$F$33*G124+$F$34*G125+$F$35*G126)+$E$36*($F$36*G127+$F$37*G128)</f>
        <v>100</v>
      </c>
      <c r="H129" s="149">
        <f>E120*(F120*H120+F121*H121+F122*H122+F123*H123+F124*H124+F125*H125+F126*H126)+E127*(F127*H127+F128*H128)</f>
        <v>95.849775888987594</v>
      </c>
      <c r="I129" s="149">
        <f>E120*(F120*I120+F121*I121+F122*I122+F123*I123+F124*I124+F125*I125+F126*I126)+E127*(F127*I127+F128*I128)</f>
        <v>87.952731235048603</v>
      </c>
      <c r="J129" s="149">
        <f>E120*(F120*J120+F121*J121+F122*J122+F123*J123+F124*J124+F125*J125+F126*J126)+E127*(F127*J127+F128*J128)</f>
        <v>75.328921285196003</v>
      </c>
      <c r="K129" s="149">
        <f>E120*(F120*K120+F121*K121+F122*K122+F123*K123+F124*K124+F125*K125+F126*K126)+E127*(F127*K127+F128*K128)</f>
        <v>52.588937485584303</v>
      </c>
      <c r="L129" s="149">
        <f>E120*(F120*L120+F121*L121+F122*L122+F123*L123+F124*L124+F125*L125+F126*L126)+E127*(F127*L127+F128*L128)</f>
        <v>28.4878745663163</v>
      </c>
      <c r="M129" s="149">
        <f>E120*(F120*M120+F121*M121+F122*M122+F123*M123+F124*M124+F125*M125+F126*M126)+E127*(F127*M127+F128*M128)</f>
        <v>20.438657740334701</v>
      </c>
      <c r="N129" s="149">
        <f>E120*(F120*N120+F121*N121+F122*N122+F123*N123+F124*N124+F125*N125+F126*N126)+E127*(F127*N127+F128*N128)</f>
        <v>17.1569149564139</v>
      </c>
      <c r="O129" s="149">
        <f>E120*(F120*O120+F121*O121+F122*O122+F123*O123+F124*O124+F125*O125+F126*O126)+E127*(F127*O127+F128*O128)</f>
        <v>14.593084667937701</v>
      </c>
      <c r="P129" s="149">
        <f>E120*(F120*P120+F121*P121+F122*P122+F123*P123+F124*P124+F125*P125+F126*P126)+E127*(F127*P127+F128*P128)</f>
        <v>12.0422304533742</v>
      </c>
      <c r="Q129" s="149">
        <f>E120*(F120*Q120+F121*Q121+F122*Q122+F123*Q123+F124*Q124+F125*Q125+F126*Q126)+E127*(F127*Q127+F128*Q128)</f>
        <v>9.5563406131496809</v>
      </c>
      <c r="R129" s="149">
        <f>E120*(F120*R120+F121*R121+F122*R122+F123*R123+F124*R124+F125*R125+F126*R126)+E127*(F127*R127+F128*R128)</f>
        <v>6.9104187545873597</v>
      </c>
    </row>
    <row r="130" spans="1:32" ht="14.4">
      <c r="A130" s="276"/>
      <c r="B130" s="276"/>
      <c r="C130"/>
      <c r="F130" s="129" t="s">
        <v>241</v>
      </c>
      <c r="G130" s="149">
        <v>100</v>
      </c>
      <c r="H130" s="149">
        <v>100</v>
      </c>
      <c r="I130" s="149">
        <v>92</v>
      </c>
      <c r="J130" s="149">
        <v>80</v>
      </c>
      <c r="K130" s="149">
        <v>72</v>
      </c>
      <c r="L130" s="149">
        <v>56</v>
      </c>
      <c r="M130" s="149">
        <v>44</v>
      </c>
      <c r="N130" s="149">
        <v>33</v>
      </c>
      <c r="O130" s="149">
        <v>24</v>
      </c>
      <c r="P130" s="149">
        <v>17</v>
      </c>
      <c r="Q130" s="149">
        <v>13</v>
      </c>
      <c r="R130" s="149">
        <v>7</v>
      </c>
    </row>
    <row r="131" spans="1:32" ht="14.4">
      <c r="A131" s="276"/>
      <c r="B131" s="276"/>
      <c r="C131"/>
      <c r="F131" s="129" t="s">
        <v>242</v>
      </c>
      <c r="G131" s="149">
        <f t="shared" ref="G131:R131" si="11">(G130+G132)/2</f>
        <v>100</v>
      </c>
      <c r="H131" s="149">
        <f t="shared" si="11"/>
        <v>95</v>
      </c>
      <c r="I131" s="149">
        <f t="shared" si="11"/>
        <v>85</v>
      </c>
      <c r="J131" s="149">
        <f t="shared" si="11"/>
        <v>71</v>
      </c>
      <c r="K131" s="149">
        <f t="shared" si="11"/>
        <v>61</v>
      </c>
      <c r="L131" s="149">
        <f t="shared" si="11"/>
        <v>41</v>
      </c>
      <c r="M131" s="149">
        <f t="shared" si="11"/>
        <v>30</v>
      </c>
      <c r="N131" s="149">
        <f t="shared" si="11"/>
        <v>22.5</v>
      </c>
      <c r="O131" s="149">
        <f t="shared" si="11"/>
        <v>16</v>
      </c>
      <c r="P131" s="149">
        <f t="shared" si="11"/>
        <v>11</v>
      </c>
      <c r="Q131" s="149">
        <f t="shared" si="11"/>
        <v>8.5</v>
      </c>
      <c r="R131" s="149">
        <f t="shared" si="11"/>
        <v>5</v>
      </c>
    </row>
    <row r="132" spans="1:32" ht="14.4">
      <c r="A132" s="276"/>
      <c r="B132" s="276"/>
      <c r="C132"/>
      <c r="F132" s="129" t="s">
        <v>243</v>
      </c>
      <c r="G132" s="149">
        <v>100</v>
      </c>
      <c r="H132" s="149">
        <v>90</v>
      </c>
      <c r="I132" s="149">
        <v>78</v>
      </c>
      <c r="J132" s="149">
        <v>62</v>
      </c>
      <c r="K132" s="149">
        <v>50</v>
      </c>
      <c r="L132" s="149">
        <v>26</v>
      </c>
      <c r="M132" s="149">
        <v>16</v>
      </c>
      <c r="N132" s="149">
        <v>12</v>
      </c>
      <c r="O132" s="149">
        <v>8</v>
      </c>
      <c r="P132" s="149">
        <v>5</v>
      </c>
      <c r="Q132" s="149">
        <v>4</v>
      </c>
      <c r="R132" s="149">
        <v>3</v>
      </c>
    </row>
    <row r="133" spans="1:32" ht="14.4">
      <c r="A133" s="276" t="s">
        <v>92</v>
      </c>
      <c r="B133" s="280" t="s">
        <v>249</v>
      </c>
      <c r="C133" s="159" t="s">
        <v>61</v>
      </c>
      <c r="D133" s="168" t="s">
        <v>62</v>
      </c>
      <c r="E133" s="276">
        <v>0.6</v>
      </c>
      <c r="F133" s="129">
        <v>0.35</v>
      </c>
      <c r="G133" s="149">
        <v>100</v>
      </c>
      <c r="H133" s="149">
        <v>79.248879444938098</v>
      </c>
      <c r="I133" s="149">
        <v>48.359849175369298</v>
      </c>
      <c r="J133" s="149">
        <v>22.409362273888899</v>
      </c>
      <c r="K133" s="149">
        <v>3.2062953055868602</v>
      </c>
      <c r="L133" s="149">
        <v>1.1608629201134799</v>
      </c>
      <c r="M133" s="149">
        <v>1.1608629201134799</v>
      </c>
      <c r="N133" s="149">
        <v>1.1608629201134799</v>
      </c>
      <c r="O133" s="149">
        <v>1.1608629201134799</v>
      </c>
      <c r="P133" s="149">
        <v>1.1608629201134799</v>
      </c>
      <c r="Q133" s="149">
        <v>1.1608629201134799</v>
      </c>
      <c r="R133" s="149">
        <v>1.1608629201134799</v>
      </c>
      <c r="S133" s="138">
        <v>2.758</v>
      </c>
      <c r="T133" s="138">
        <v>2.7240000000000002</v>
      </c>
      <c r="U133" s="138">
        <f>级配!F133/S133*E133</f>
        <v>7.6142131979695396E-2</v>
      </c>
      <c r="V133" s="138">
        <f>级配!F133/T133*E133</f>
        <v>7.7092511013215806E-2</v>
      </c>
      <c r="W133" s="138">
        <f>1/SUM(U133:U141)</f>
        <v>2.8001187089771999</v>
      </c>
      <c r="X133" s="153">
        <v>0.4</v>
      </c>
      <c r="Y133" s="138">
        <f>0.033*X133*X133-0.2936*X133+0.9336</f>
        <v>0.82143999999999995</v>
      </c>
      <c r="Z133" s="138">
        <f>0.033*Y133*Y133-0.2936*Y133+0.9336</f>
        <v>0.71469241722879995</v>
      </c>
      <c r="AA133" s="158">
        <v>2.5638834213888599</v>
      </c>
      <c r="AB133" s="138">
        <f>1/SUM(V133:V141)</f>
        <v>2.7094748830296802</v>
      </c>
      <c r="AC133" s="160">
        <v>4.2</v>
      </c>
      <c r="AD133" s="138">
        <f>100*AC133/(100+AC133)</f>
        <v>4.0307101727447199</v>
      </c>
      <c r="AE133" s="156"/>
      <c r="AF133" s="156">
        <f>AC133-E140*F140*AE140-E140*F141*AE141</f>
        <v>2.0052878603201401</v>
      </c>
    </row>
    <row r="134" spans="1:32" ht="14.4">
      <c r="A134" s="276"/>
      <c r="B134" s="276"/>
      <c r="C134" s="159" t="s">
        <v>61</v>
      </c>
      <c r="D134" s="168" t="s">
        <v>79</v>
      </c>
      <c r="E134" s="276"/>
      <c r="F134" s="129">
        <v>0.2</v>
      </c>
      <c r="G134" s="149">
        <v>100</v>
      </c>
      <c r="H134" s="149">
        <v>100</v>
      </c>
      <c r="I134" s="149">
        <v>98.037567108959905</v>
      </c>
      <c r="J134" s="149">
        <v>75.7291666666667</v>
      </c>
      <c r="K134" s="149">
        <v>23.796906728977198</v>
      </c>
      <c r="L134" s="149">
        <v>2.5733504409023902</v>
      </c>
      <c r="M134" s="149">
        <v>2.3425373445714901</v>
      </c>
      <c r="N134" s="149">
        <v>2.3425373445714901</v>
      </c>
      <c r="O134" s="149">
        <v>2.3425373445714901</v>
      </c>
      <c r="P134" s="149">
        <v>2.3425373445714901</v>
      </c>
      <c r="Q134" s="149">
        <v>2.3425373445714901</v>
      </c>
      <c r="R134" s="149">
        <v>2.3425373445714901</v>
      </c>
      <c r="S134" s="138">
        <v>2.8119999999999998</v>
      </c>
      <c r="T134" s="138">
        <v>2.7360000000000002</v>
      </c>
      <c r="U134" s="138">
        <f>级配!F134/S134*E133</f>
        <v>4.2674253200569001E-2</v>
      </c>
      <c r="V134" s="138">
        <f>级配!F134/T134*E133</f>
        <v>4.3859649122807001E-2</v>
      </c>
      <c r="W134" s="138"/>
      <c r="X134" s="138"/>
      <c r="Y134" s="151"/>
      <c r="Z134" s="151"/>
      <c r="AA134" s="158"/>
      <c r="AB134" s="138"/>
      <c r="AC134" s="160"/>
      <c r="AD134" s="138"/>
      <c r="AE134" s="156"/>
      <c r="AF134" s="156"/>
    </row>
    <row r="135" spans="1:32" ht="14.4">
      <c r="A135" s="276"/>
      <c r="B135" s="276"/>
      <c r="C135" s="159" t="s">
        <v>61</v>
      </c>
      <c r="D135" s="168" t="s">
        <v>63</v>
      </c>
      <c r="E135" s="276"/>
      <c r="F135" s="129">
        <v>0.35</v>
      </c>
      <c r="G135" s="149">
        <v>100</v>
      </c>
      <c r="H135" s="149">
        <v>100</v>
      </c>
      <c r="I135" s="149">
        <v>100</v>
      </c>
      <c r="J135" s="149">
        <v>100</v>
      </c>
      <c r="K135" s="149">
        <v>100</v>
      </c>
      <c r="L135" s="149">
        <v>15.9987983405973</v>
      </c>
      <c r="M135" s="149">
        <v>5.8437940259727101</v>
      </c>
      <c r="N135" s="149">
        <v>12.6578818537859</v>
      </c>
      <c r="O135" s="149">
        <v>4.8038163425044704</v>
      </c>
      <c r="P135" s="149">
        <v>4.5889553298452803</v>
      </c>
      <c r="Q135" s="149">
        <v>4.2487910887944098</v>
      </c>
      <c r="R135" s="149">
        <v>3.6704534683114498</v>
      </c>
      <c r="S135" s="138">
        <v>2.782</v>
      </c>
      <c r="T135" s="138">
        <v>2.7120000000000002</v>
      </c>
      <c r="U135" s="138">
        <f>级配!F135/S135*E133</f>
        <v>7.5485262401150194E-2</v>
      </c>
      <c r="V135" s="138">
        <f>级配!F135/T135*E133</f>
        <v>7.7433628318584094E-2</v>
      </c>
    </row>
    <row r="136" spans="1:32">
      <c r="A136" s="276"/>
      <c r="B136" s="276"/>
      <c r="C136" s="159" t="s">
        <v>82</v>
      </c>
      <c r="D136" s="168" t="s">
        <v>65</v>
      </c>
      <c r="E136" s="276"/>
      <c r="F136" s="129">
        <v>0.09</v>
      </c>
      <c r="G136" s="149">
        <v>100</v>
      </c>
      <c r="H136" s="149">
        <v>100</v>
      </c>
      <c r="I136" s="149">
        <v>100</v>
      </c>
      <c r="J136" s="149">
        <v>100</v>
      </c>
      <c r="K136" s="149">
        <v>100</v>
      </c>
      <c r="L136" s="149">
        <v>93.593595596567894</v>
      </c>
      <c r="M136" s="149">
        <v>70.729120198265207</v>
      </c>
      <c r="N136" s="149">
        <v>53.367073818374898</v>
      </c>
      <c r="O136" s="149">
        <v>44.224946008143</v>
      </c>
      <c r="P136" s="149">
        <v>34.685622234023697</v>
      </c>
      <c r="Q136" s="149">
        <v>26.4095946185166</v>
      </c>
      <c r="R136" s="149">
        <v>20.063020003540501</v>
      </c>
      <c r="S136" s="138">
        <v>2.7109999999999999</v>
      </c>
      <c r="T136" s="138">
        <v>2.6</v>
      </c>
      <c r="U136" s="138">
        <f>级配!F136/S136*E133</f>
        <v>1.99188491331612E-2</v>
      </c>
      <c r="V136" s="138">
        <f>级配!F136/T136*E133</f>
        <v>2.07692307692308E-2</v>
      </c>
    </row>
    <row r="137" spans="1:32" ht="14.4">
      <c r="A137" s="276"/>
      <c r="B137" s="276"/>
      <c r="C137" s="164" t="s">
        <v>99</v>
      </c>
      <c r="D137" s="168" t="s">
        <v>91</v>
      </c>
      <c r="E137" s="276"/>
      <c r="F137" s="129">
        <v>0.01</v>
      </c>
      <c r="G137" s="149">
        <v>100</v>
      </c>
      <c r="H137" s="149">
        <v>100</v>
      </c>
      <c r="I137" s="149">
        <v>100</v>
      </c>
      <c r="J137" s="149">
        <v>100</v>
      </c>
      <c r="K137" s="149">
        <v>100</v>
      </c>
      <c r="L137" s="149">
        <v>100</v>
      </c>
      <c r="M137" s="149">
        <v>100</v>
      </c>
      <c r="N137" s="149">
        <v>100</v>
      </c>
      <c r="O137" s="149">
        <v>100</v>
      </c>
      <c r="P137" s="149">
        <v>97.4</v>
      </c>
      <c r="Q137" s="149">
        <v>90.2</v>
      </c>
      <c r="R137" s="149">
        <v>78.2</v>
      </c>
      <c r="S137" s="138">
        <v>2.6789999999999998</v>
      </c>
      <c r="T137" s="138">
        <v>2.6789999999999998</v>
      </c>
      <c r="U137" s="138">
        <f>级配!F137/S137*E133</f>
        <v>2.2396416573348299E-3</v>
      </c>
      <c r="V137" s="138">
        <f>级配!F137/T137*E133</f>
        <v>2.2396416573348299E-3</v>
      </c>
    </row>
    <row r="138" spans="1:32" ht="14.4">
      <c r="A138" s="276"/>
      <c r="B138" s="276"/>
      <c r="C138" s="164" t="s">
        <v>99</v>
      </c>
      <c r="D138" s="168" t="s">
        <v>91</v>
      </c>
      <c r="E138" s="276"/>
      <c r="F138" s="129">
        <v>0</v>
      </c>
      <c r="G138" s="149">
        <v>100</v>
      </c>
      <c r="H138" s="149">
        <v>100</v>
      </c>
      <c r="I138" s="149">
        <v>100</v>
      </c>
      <c r="J138" s="149">
        <v>100</v>
      </c>
      <c r="K138" s="149">
        <v>100</v>
      </c>
      <c r="L138" s="149">
        <v>100</v>
      </c>
      <c r="M138" s="149">
        <v>81.364999999999995</v>
      </c>
      <c r="N138" s="149">
        <v>59.195</v>
      </c>
      <c r="O138" s="149">
        <v>34.704999999999998</v>
      </c>
      <c r="P138" s="149">
        <v>19.21</v>
      </c>
      <c r="Q138" s="149">
        <v>13.9</v>
      </c>
      <c r="R138" s="149">
        <v>11.54</v>
      </c>
      <c r="S138" s="138">
        <v>2.72</v>
      </c>
      <c r="T138" s="138">
        <v>2.65</v>
      </c>
      <c r="U138" s="138">
        <f>级配!F138/S138*E133</f>
        <v>0</v>
      </c>
      <c r="V138" s="138">
        <f>级配!F138/T138*E133</f>
        <v>0</v>
      </c>
    </row>
    <row r="139" spans="1:32" ht="14.4">
      <c r="A139" s="276"/>
      <c r="B139" s="276"/>
      <c r="C139" s="164" t="s">
        <v>99</v>
      </c>
      <c r="D139" s="157" t="s">
        <v>91</v>
      </c>
      <c r="E139" s="276"/>
      <c r="F139" s="129">
        <v>0</v>
      </c>
      <c r="G139" s="149">
        <v>100</v>
      </c>
      <c r="H139" s="149">
        <v>100</v>
      </c>
      <c r="I139" s="149">
        <v>100</v>
      </c>
      <c r="J139" s="149">
        <v>100</v>
      </c>
      <c r="K139" s="149">
        <v>100</v>
      </c>
      <c r="L139" s="149">
        <v>100</v>
      </c>
      <c r="M139" s="149">
        <v>100</v>
      </c>
      <c r="N139" s="149">
        <v>100</v>
      </c>
      <c r="O139" s="149">
        <v>100</v>
      </c>
      <c r="P139" s="149">
        <v>99.6875</v>
      </c>
      <c r="Q139" s="149">
        <v>97.112499999999997</v>
      </c>
      <c r="R139" s="149">
        <v>76.612499999999997</v>
      </c>
      <c r="S139" s="138">
        <v>2.8519999999999999</v>
      </c>
      <c r="T139" s="138">
        <v>2.7229999999999999</v>
      </c>
      <c r="U139" s="138">
        <f>级配!F139/S139*E133</f>
        <v>0</v>
      </c>
      <c r="V139" s="138">
        <f>级配!F139/T139*E133</f>
        <v>0</v>
      </c>
    </row>
    <row r="140" spans="1:32" ht="14.4">
      <c r="A140" s="276"/>
      <c r="B140" s="276"/>
      <c r="C140" s="159" t="s">
        <v>66</v>
      </c>
      <c r="D140" s="168" t="s">
        <v>62</v>
      </c>
      <c r="E140" s="276">
        <v>0.4</v>
      </c>
      <c r="F140" s="129">
        <v>0.4</v>
      </c>
      <c r="G140" s="149">
        <v>100</v>
      </c>
      <c r="H140" s="149">
        <v>100</v>
      </c>
      <c r="I140" s="149">
        <v>95.413957186355702</v>
      </c>
      <c r="J140" s="149">
        <v>83.648148879171899</v>
      </c>
      <c r="K140" s="149">
        <v>53.292351135263502</v>
      </c>
      <c r="L140" s="149">
        <v>32.055164073470301</v>
      </c>
      <c r="M140" s="149">
        <v>23.443185190451501</v>
      </c>
      <c r="N140" s="149">
        <v>18.6628392776935</v>
      </c>
      <c r="O140" s="149">
        <v>16.439530218911301</v>
      </c>
      <c r="P140" s="149">
        <v>13.5248385692075</v>
      </c>
      <c r="Q140" s="149">
        <v>10.5017690002766</v>
      </c>
      <c r="R140" s="149">
        <v>7.4739355632115796</v>
      </c>
      <c r="S140" s="138">
        <v>2.8519999999999999</v>
      </c>
      <c r="T140" s="138">
        <v>2.7229999999999999</v>
      </c>
      <c r="U140" s="138">
        <f>级配!F140/S140*E140</f>
        <v>5.6100981767180903E-2</v>
      </c>
      <c r="V140" s="138">
        <f>级配!F140/T140*E140</f>
        <v>5.8758721997796602E-2</v>
      </c>
      <c r="AE140" s="154">
        <v>4.8809906722418797</v>
      </c>
    </row>
    <row r="141" spans="1:32" ht="14.4">
      <c r="A141" s="276"/>
      <c r="B141" s="276"/>
      <c r="C141" s="159" t="s">
        <v>67</v>
      </c>
      <c r="D141" s="168" t="s">
        <v>68</v>
      </c>
      <c r="E141" s="276"/>
      <c r="F141" s="129">
        <v>0.6</v>
      </c>
      <c r="G141" s="149">
        <v>100</v>
      </c>
      <c r="H141" s="149">
        <v>100</v>
      </c>
      <c r="I141" s="149">
        <v>100</v>
      </c>
      <c r="J141" s="149">
        <v>100</v>
      </c>
      <c r="K141" s="149">
        <v>96.477572031584202</v>
      </c>
      <c r="L141" s="149">
        <v>67.045423462632996</v>
      </c>
      <c r="M141" s="149">
        <v>47.3470804829117</v>
      </c>
      <c r="N141" s="149">
        <v>37.212801707415402</v>
      </c>
      <c r="O141" s="149">
        <v>32.405709309563001</v>
      </c>
      <c r="P141" s="149">
        <v>25.442578638762999</v>
      </c>
      <c r="Q141" s="149">
        <v>19.095311151447898</v>
      </c>
      <c r="R141" s="149">
        <v>12.0610257703232</v>
      </c>
      <c r="S141" s="138">
        <v>2.8380000000000001</v>
      </c>
      <c r="T141" s="138">
        <v>2.6989999999999998</v>
      </c>
      <c r="U141" s="138">
        <f>级配!F141/S141*E140</f>
        <v>8.4566596194503199E-2</v>
      </c>
      <c r="V141" s="138">
        <f>级配!F141/T141*E140</f>
        <v>8.8921822897369399E-2</v>
      </c>
      <c r="AE141" s="154">
        <v>5.8906401338381498</v>
      </c>
    </row>
    <row r="142" spans="1:32" ht="14.4">
      <c r="A142" s="276"/>
      <c r="B142" s="276"/>
      <c r="C142"/>
      <c r="F142" s="129" t="s">
        <v>240</v>
      </c>
      <c r="G142" s="149">
        <f>$E$29*($F$29*G133+$F$30*G134+$F$31*G135+$F$32*G136+$F$33*G137+$F$34*G138+$F$35*G139)+$E$36*($F$36*G140+$F$37*G141)</f>
        <v>100</v>
      </c>
      <c r="H142" s="149">
        <f>E133*(F133*H133+F134*H134+F135*H135+F136*H136+F137*H137+F138*H138+F139*H139)+E140*(F140*H140+F141*H141)</f>
        <v>95.642264683437006</v>
      </c>
      <c r="I142" s="149">
        <f>E133*(F133*I133+F134*I134+F135*I135+F136*I136+F137*I137+F138*I138+F139*I139)+E140*(F140*I140+F141*I141)</f>
        <v>88.186309529719694</v>
      </c>
      <c r="J142" s="149">
        <f>E133*(F133*J133+F134*J134+F135*J135+F136*J136+F137*J137+F138*J138+F139*J139)+E140*(F140*J140+F141*J141)</f>
        <v>78.177169898184204</v>
      </c>
      <c r="K142" s="149">
        <f>E133*(F133*K133+F134*K134+F135*K135+F136*K136+F137*K137+F138*K138+F139*K139)+E140*(F140*K140+F141*K141)</f>
        <v>62.210344290872897</v>
      </c>
      <c r="L142" s="149">
        <f>E133*(F133*L133+F134*L134+F135*L135+F136*L136+F137*L137+F138*L138+F139*L139)+E140*(F140*L140+F141*L141)</f>
        <v>30.786112962659399</v>
      </c>
      <c r="M142" s="149">
        <f>E133*(F133*M133+F134*M134+F135*M135+F136*M136+F137*M137+F138*M138+F139*M139)+E140*(F140*M140+F141*M141)</f>
        <v>21.285663877104</v>
      </c>
      <c r="N142" s="149">
        <f>E133*(F133*N133+F134*N134+F135*N135+F136*N136+F137*N137+F138*N138+F139*N139)+E140*(F140*N140+F141*N141)</f>
        <v>18.581989564270401</v>
      </c>
      <c r="O142" s="149">
        <f>E133*(F133*O133+F134*O134+F135*O135+F136*O136+F137*O137+F138*O138+F139*O139)+E140*(F140*O140+F141*O141)</f>
        <v>14.929529280259001</v>
      </c>
      <c r="P142" s="149">
        <f>E133*(F133*P133+F134*P134+F135*P135+F136*P136+F137*P137+F138*P138+F139*P139)+E140*(F140*P140+F141*P141)</f>
        <v>12.2161829588535</v>
      </c>
      <c r="Q142" s="149">
        <f>E133*(F133*Q133+F134*Q134+F135*Q135+F136*Q136+F137*Q137+F138*Q138+F139*Q139)+E140*(F140*Q140+F141*Q141)</f>
        <v>9.6476076490108795</v>
      </c>
      <c r="R142" s="149">
        <f>E133*(F133*R133+F134*R134+F135*R135+F136*R136+F137*R137+F138*R138+F139*R139)+E140*(F140*R140+F141*R141)</f>
        <v>6.9387598781004201</v>
      </c>
    </row>
    <row r="143" spans="1:32" ht="14.4">
      <c r="A143" s="276"/>
      <c r="B143" s="276"/>
      <c r="C143"/>
      <c r="F143" s="129" t="s">
        <v>241</v>
      </c>
      <c r="G143" s="149">
        <v>100</v>
      </c>
      <c r="H143" s="149">
        <v>100</v>
      </c>
      <c r="I143" s="149">
        <v>92</v>
      </c>
      <c r="J143" s="149">
        <v>80</v>
      </c>
      <c r="K143" s="149">
        <v>72</v>
      </c>
      <c r="L143" s="149">
        <v>56</v>
      </c>
      <c r="M143" s="149">
        <v>44</v>
      </c>
      <c r="N143" s="149">
        <v>33</v>
      </c>
      <c r="O143" s="149">
        <v>24</v>
      </c>
      <c r="P143" s="149">
        <v>17</v>
      </c>
      <c r="Q143" s="149">
        <v>13</v>
      </c>
      <c r="R143" s="149">
        <v>7</v>
      </c>
    </row>
    <row r="144" spans="1:32" ht="14.4">
      <c r="A144" s="276"/>
      <c r="B144" s="276"/>
      <c r="C144"/>
      <c r="F144" s="129" t="s">
        <v>242</v>
      </c>
      <c r="G144" s="149">
        <f t="shared" ref="G144:R144" si="12">(G143+G145)/2</f>
        <v>100</v>
      </c>
      <c r="H144" s="149">
        <f t="shared" si="12"/>
        <v>95</v>
      </c>
      <c r="I144" s="149">
        <f t="shared" si="12"/>
        <v>85</v>
      </c>
      <c r="J144" s="149">
        <f t="shared" si="12"/>
        <v>71</v>
      </c>
      <c r="K144" s="149">
        <f t="shared" si="12"/>
        <v>61</v>
      </c>
      <c r="L144" s="149">
        <f t="shared" si="12"/>
        <v>41</v>
      </c>
      <c r="M144" s="149">
        <f t="shared" si="12"/>
        <v>30</v>
      </c>
      <c r="N144" s="149">
        <f t="shared" si="12"/>
        <v>22.5</v>
      </c>
      <c r="O144" s="149">
        <f t="shared" si="12"/>
        <v>16</v>
      </c>
      <c r="P144" s="149">
        <f t="shared" si="12"/>
        <v>11</v>
      </c>
      <c r="Q144" s="149">
        <f t="shared" si="12"/>
        <v>8.5</v>
      </c>
      <c r="R144" s="149">
        <f t="shared" si="12"/>
        <v>5</v>
      </c>
    </row>
    <row r="145" spans="1:32" ht="14.4">
      <c r="A145" s="276"/>
      <c r="B145" s="276"/>
      <c r="C145"/>
      <c r="F145" s="129" t="s">
        <v>243</v>
      </c>
      <c r="G145" s="149">
        <v>100</v>
      </c>
      <c r="H145" s="149">
        <v>90</v>
      </c>
      <c r="I145" s="149">
        <v>78</v>
      </c>
      <c r="J145" s="149">
        <v>62</v>
      </c>
      <c r="K145" s="149">
        <v>50</v>
      </c>
      <c r="L145" s="149">
        <v>26</v>
      </c>
      <c r="M145" s="149">
        <v>16</v>
      </c>
      <c r="N145" s="149">
        <v>12</v>
      </c>
      <c r="O145" s="149">
        <v>8</v>
      </c>
      <c r="P145" s="149">
        <v>5</v>
      </c>
      <c r="Q145" s="149">
        <v>4</v>
      </c>
      <c r="R145" s="149">
        <v>3</v>
      </c>
    </row>
    <row r="146" spans="1:32" ht="14.4">
      <c r="A146" s="276" t="s">
        <v>93</v>
      </c>
      <c r="B146" s="276" t="s">
        <v>94</v>
      </c>
      <c r="C146" s="155" t="s">
        <v>94</v>
      </c>
      <c r="D146" s="155" t="s">
        <v>94</v>
      </c>
      <c r="E146" s="276">
        <v>1</v>
      </c>
      <c r="F146" s="129">
        <v>1</v>
      </c>
      <c r="G146" s="149">
        <v>100</v>
      </c>
      <c r="H146" s="149">
        <v>100</v>
      </c>
      <c r="I146" s="149">
        <v>100</v>
      </c>
      <c r="J146" s="149">
        <v>100</v>
      </c>
      <c r="K146" s="149">
        <v>98.122159585135705</v>
      </c>
      <c r="L146" s="149">
        <v>53.698742219503004</v>
      </c>
      <c r="M146" s="149">
        <v>30.769230769230798</v>
      </c>
      <c r="N146" s="149">
        <v>22.3196420042912</v>
      </c>
      <c r="O146" s="149">
        <v>18.599937319475899</v>
      </c>
      <c r="P146" s="149">
        <v>14.450283007127499</v>
      </c>
      <c r="Q146" s="149">
        <v>11.3020282557548</v>
      </c>
      <c r="R146" s="149">
        <v>8.5468771481273809</v>
      </c>
      <c r="S146" s="138">
        <v>2.758</v>
      </c>
      <c r="T146" s="138">
        <v>2.7240000000000002</v>
      </c>
      <c r="U146" s="138">
        <f>级配!F146/S146*E146</f>
        <v>0.36258158085569298</v>
      </c>
      <c r="V146" s="138">
        <f>级配!F146/T146*E146</f>
        <v>0.36710719530102798</v>
      </c>
      <c r="W146" s="138">
        <f>1/SUM(U146:U154)</f>
        <v>2.758</v>
      </c>
      <c r="X146" s="153">
        <v>0.4</v>
      </c>
      <c r="Y146" s="138">
        <f>0.033*X146*X146-0.2936*X146+0.9336</f>
        <v>0.82143999999999995</v>
      </c>
      <c r="Z146" s="138">
        <f>0.033*Y146*Y146-0.2936*Y146+0.9336</f>
        <v>0.71469241722879995</v>
      </c>
      <c r="AA146" s="158">
        <v>2.4867145530791399</v>
      </c>
      <c r="AB146" s="138">
        <f>1/SUM(V146:V154)</f>
        <v>2.7240000000000002</v>
      </c>
      <c r="AC146" s="160">
        <v>6.2557717708436904</v>
      </c>
      <c r="AD146" s="138">
        <f>100*AC146/(100+AC146)</f>
        <v>5.8874653739612297</v>
      </c>
      <c r="AE146" s="156"/>
      <c r="AF146" s="156">
        <v>6.2557717708436904</v>
      </c>
    </row>
    <row r="147" spans="1:32" ht="14.4">
      <c r="A147" s="276"/>
      <c r="B147" s="276"/>
      <c r="C147" s="159" t="s">
        <v>61</v>
      </c>
      <c r="D147" s="168" t="s">
        <v>79</v>
      </c>
      <c r="E147" s="276"/>
      <c r="F147" s="129">
        <v>0</v>
      </c>
      <c r="G147" s="149">
        <v>100</v>
      </c>
      <c r="H147" s="149">
        <v>100</v>
      </c>
      <c r="I147" s="149">
        <v>98.037567108959905</v>
      </c>
      <c r="J147" s="149">
        <v>75.7291666666667</v>
      </c>
      <c r="K147" s="149">
        <v>23.796906728977198</v>
      </c>
      <c r="L147" s="149">
        <v>2.5733504409023902</v>
      </c>
      <c r="M147" s="149">
        <v>2.3425373445714901</v>
      </c>
      <c r="N147" s="149">
        <v>2.3425373445714901</v>
      </c>
      <c r="O147" s="149">
        <v>2.3425373445714901</v>
      </c>
      <c r="P147" s="149">
        <v>2.3425373445714901</v>
      </c>
      <c r="Q147" s="149">
        <v>2.3425373445714901</v>
      </c>
      <c r="R147" s="149">
        <v>2.3425373445714901</v>
      </c>
      <c r="S147" s="138">
        <v>2.8119999999999998</v>
      </c>
      <c r="T147" s="138">
        <v>2.7360000000000002</v>
      </c>
      <c r="U147" s="138">
        <f>级配!F147/S147*E146</f>
        <v>0</v>
      </c>
      <c r="V147" s="138">
        <f>级配!F147/T147*E146</f>
        <v>0</v>
      </c>
    </row>
    <row r="148" spans="1:32" ht="14.4">
      <c r="A148" s="276"/>
      <c r="B148" s="276"/>
      <c r="C148" s="159" t="s">
        <v>61</v>
      </c>
      <c r="D148" s="168" t="s">
        <v>63</v>
      </c>
      <c r="E148" s="276"/>
      <c r="F148" s="129">
        <v>0</v>
      </c>
      <c r="G148" s="149">
        <v>100</v>
      </c>
      <c r="H148" s="149">
        <v>100</v>
      </c>
      <c r="I148" s="149">
        <v>100</v>
      </c>
      <c r="J148" s="149">
        <v>100</v>
      </c>
      <c r="K148" s="149">
        <v>100</v>
      </c>
      <c r="L148" s="149">
        <v>15.9987983405973</v>
      </c>
      <c r="M148" s="149">
        <v>5.8437940259727101</v>
      </c>
      <c r="N148" s="149">
        <v>12.6578818537859</v>
      </c>
      <c r="O148" s="149">
        <v>4.8038163425044704</v>
      </c>
      <c r="P148" s="149">
        <v>4.5889553298452803</v>
      </c>
      <c r="Q148" s="149">
        <v>4.2487910887944098</v>
      </c>
      <c r="R148" s="149">
        <v>3.6704534683114498</v>
      </c>
      <c r="S148" s="138">
        <v>2.782</v>
      </c>
      <c r="T148" s="138">
        <v>2.7120000000000002</v>
      </c>
      <c r="U148" s="138">
        <f>级配!F148/S148*E146</f>
        <v>0</v>
      </c>
      <c r="V148" s="138">
        <f>级配!F148/T148*E146</f>
        <v>0</v>
      </c>
    </row>
    <row r="149" spans="1:32" ht="14.4" customHeight="1">
      <c r="A149" s="276"/>
      <c r="B149" s="276"/>
      <c r="C149" s="159" t="s">
        <v>82</v>
      </c>
      <c r="D149" s="168" t="s">
        <v>65</v>
      </c>
      <c r="E149" s="276"/>
      <c r="F149" s="129">
        <v>0</v>
      </c>
      <c r="G149" s="149">
        <v>100</v>
      </c>
      <c r="H149" s="149">
        <v>100</v>
      </c>
      <c r="I149" s="149">
        <v>100</v>
      </c>
      <c r="J149" s="149">
        <v>100</v>
      </c>
      <c r="K149" s="149">
        <v>100</v>
      </c>
      <c r="L149" s="149">
        <v>93.593595596567894</v>
      </c>
      <c r="M149" s="149">
        <v>70.729120198265207</v>
      </c>
      <c r="N149" s="149">
        <v>53.367073818374898</v>
      </c>
      <c r="O149" s="149">
        <v>44.224946008143</v>
      </c>
      <c r="P149" s="149">
        <v>34.685622234023697</v>
      </c>
      <c r="Q149" s="149">
        <v>26.4095946185166</v>
      </c>
      <c r="R149" s="149">
        <v>20.063020003540501</v>
      </c>
      <c r="S149" s="138">
        <v>2.7109999999999999</v>
      </c>
      <c r="T149" s="138">
        <v>2.6</v>
      </c>
      <c r="U149" s="138">
        <f>级配!F149/S149*E146</f>
        <v>0</v>
      </c>
      <c r="V149" s="138">
        <f>级配!F149/T149*E146</f>
        <v>0</v>
      </c>
    </row>
    <row r="150" spans="1:32" ht="14.4">
      <c r="A150" s="276"/>
      <c r="B150" s="276"/>
      <c r="C150" s="164" t="s">
        <v>99</v>
      </c>
      <c r="D150" s="168" t="s">
        <v>91</v>
      </c>
      <c r="E150" s="276"/>
      <c r="F150" s="129">
        <v>0</v>
      </c>
      <c r="G150" s="149">
        <v>100</v>
      </c>
      <c r="H150" s="149">
        <v>100</v>
      </c>
      <c r="I150" s="149">
        <v>100</v>
      </c>
      <c r="J150" s="149">
        <v>100</v>
      </c>
      <c r="K150" s="149">
        <v>100</v>
      </c>
      <c r="L150" s="149">
        <v>100</v>
      </c>
      <c r="M150" s="149">
        <v>100</v>
      </c>
      <c r="N150" s="149">
        <v>100</v>
      </c>
      <c r="O150" s="149">
        <v>100</v>
      </c>
      <c r="P150" s="149">
        <v>97.4</v>
      </c>
      <c r="Q150" s="149">
        <v>90.2</v>
      </c>
      <c r="R150" s="149">
        <v>78.2</v>
      </c>
      <c r="S150" s="138">
        <v>2.6789999999999998</v>
      </c>
      <c r="T150" s="138">
        <v>2.6789999999999998</v>
      </c>
      <c r="U150" s="138">
        <f>级配!F150/S150*E146</f>
        <v>0</v>
      </c>
      <c r="V150" s="138">
        <f>级配!F150/T150*E146</f>
        <v>0</v>
      </c>
    </row>
    <row r="151" spans="1:32" ht="14.4">
      <c r="A151" s="276"/>
      <c r="B151" s="276"/>
      <c r="C151" s="164" t="s">
        <v>99</v>
      </c>
      <c r="D151" s="168" t="s">
        <v>91</v>
      </c>
      <c r="E151" s="276"/>
      <c r="F151" s="129">
        <v>0</v>
      </c>
      <c r="G151" s="149">
        <v>100</v>
      </c>
      <c r="H151" s="149">
        <v>100</v>
      </c>
      <c r="I151" s="149">
        <v>100</v>
      </c>
      <c r="J151" s="149">
        <v>100</v>
      </c>
      <c r="K151" s="149">
        <v>100</v>
      </c>
      <c r="L151" s="149">
        <v>100</v>
      </c>
      <c r="M151" s="149">
        <v>81.364999999999995</v>
      </c>
      <c r="N151" s="149">
        <v>59.195</v>
      </c>
      <c r="O151" s="149">
        <v>34.704999999999998</v>
      </c>
      <c r="P151" s="149">
        <v>19.21</v>
      </c>
      <c r="Q151" s="149">
        <v>13.9</v>
      </c>
      <c r="R151" s="149">
        <v>11.54</v>
      </c>
      <c r="S151" s="138">
        <v>2.72</v>
      </c>
      <c r="T151" s="138">
        <v>2.65</v>
      </c>
      <c r="U151" s="138">
        <f>级配!F151/S151*E146</f>
        <v>0</v>
      </c>
      <c r="V151" s="138">
        <f>级配!F151/T151*E146</f>
        <v>0</v>
      </c>
    </row>
    <row r="152" spans="1:32" ht="14.4">
      <c r="A152" s="276"/>
      <c r="B152" s="276"/>
      <c r="C152" s="164" t="s">
        <v>99</v>
      </c>
      <c r="D152" s="157" t="s">
        <v>91</v>
      </c>
      <c r="E152" s="276"/>
      <c r="F152" s="129">
        <v>0</v>
      </c>
      <c r="G152" s="149">
        <v>100</v>
      </c>
      <c r="H152" s="149">
        <v>100</v>
      </c>
      <c r="I152" s="149">
        <v>100</v>
      </c>
      <c r="J152" s="149">
        <v>100</v>
      </c>
      <c r="K152" s="149">
        <v>100</v>
      </c>
      <c r="L152" s="149">
        <v>100</v>
      </c>
      <c r="M152" s="149">
        <v>100</v>
      </c>
      <c r="N152" s="149">
        <v>100</v>
      </c>
      <c r="O152" s="149">
        <v>100</v>
      </c>
      <c r="P152" s="149">
        <v>99.6875</v>
      </c>
      <c r="Q152" s="149">
        <v>97.112499999999997</v>
      </c>
      <c r="R152" s="149">
        <v>76.612499999999997</v>
      </c>
      <c r="S152" s="138">
        <v>2.8519999999999999</v>
      </c>
      <c r="T152" s="138">
        <v>2.7229999999999999</v>
      </c>
      <c r="U152" s="138">
        <f>级配!F152/S152*E146</f>
        <v>0</v>
      </c>
      <c r="V152" s="138">
        <f>级配!F152/T152*E146</f>
        <v>0</v>
      </c>
    </row>
    <row r="153" spans="1:32" ht="14.4">
      <c r="A153" s="276"/>
      <c r="B153" s="276"/>
      <c r="C153" s="159" t="s">
        <v>66</v>
      </c>
      <c r="D153" s="168" t="s">
        <v>62</v>
      </c>
      <c r="E153" s="276">
        <v>0</v>
      </c>
      <c r="F153" s="129">
        <v>0.4</v>
      </c>
      <c r="G153" s="149">
        <v>100</v>
      </c>
      <c r="H153" s="149">
        <v>100</v>
      </c>
      <c r="I153" s="149">
        <v>95.413957186355702</v>
      </c>
      <c r="J153" s="149">
        <v>83.648148879171899</v>
      </c>
      <c r="K153" s="149">
        <v>53.292351135263502</v>
      </c>
      <c r="L153" s="149">
        <v>32.055164073470301</v>
      </c>
      <c r="M153" s="149">
        <v>23.443185190451501</v>
      </c>
      <c r="N153" s="149">
        <v>18.6628392776935</v>
      </c>
      <c r="O153" s="149">
        <v>16.439530218911301</v>
      </c>
      <c r="P153" s="149">
        <v>13.5248385692075</v>
      </c>
      <c r="Q153" s="149">
        <v>10.5017690002766</v>
      </c>
      <c r="R153" s="149">
        <v>7.4739355632115796</v>
      </c>
      <c r="S153" s="138">
        <v>2.8519999999999999</v>
      </c>
      <c r="T153" s="138">
        <v>2.7229999999999999</v>
      </c>
      <c r="U153" s="138">
        <f>级配!F153/S153*E153</f>
        <v>0</v>
      </c>
      <c r="V153" s="138">
        <f>级配!F153/T153*E153</f>
        <v>0</v>
      </c>
    </row>
    <row r="154" spans="1:32" ht="14.4">
      <c r="A154" s="276"/>
      <c r="B154" s="276"/>
      <c r="C154" s="159" t="s">
        <v>67</v>
      </c>
      <c r="D154" s="168" t="s">
        <v>68</v>
      </c>
      <c r="E154" s="276"/>
      <c r="F154" s="129">
        <v>0.6</v>
      </c>
      <c r="G154" s="149">
        <v>100</v>
      </c>
      <c r="H154" s="149">
        <v>100</v>
      </c>
      <c r="I154" s="149">
        <v>100</v>
      </c>
      <c r="J154" s="149">
        <v>100</v>
      </c>
      <c r="K154" s="149">
        <v>96.477572031584202</v>
      </c>
      <c r="L154" s="149">
        <v>67.045423462632996</v>
      </c>
      <c r="M154" s="149">
        <v>47.3470804829117</v>
      </c>
      <c r="N154" s="149">
        <v>37.212801707415402</v>
      </c>
      <c r="O154" s="149">
        <v>32.405709309563001</v>
      </c>
      <c r="P154" s="149">
        <v>25.442578638762999</v>
      </c>
      <c r="Q154" s="149">
        <v>19.095311151447898</v>
      </c>
      <c r="R154" s="149">
        <v>12.0610257703232</v>
      </c>
      <c r="S154" s="138">
        <v>2.8380000000000001</v>
      </c>
      <c r="T154" s="138">
        <v>2.6989999999999998</v>
      </c>
      <c r="U154" s="138">
        <f>级配!F154/S154*E153</f>
        <v>0</v>
      </c>
      <c r="V154" s="138">
        <f>级配!F154/T154*E153</f>
        <v>0</v>
      </c>
    </row>
    <row r="155" spans="1:32" ht="14.4">
      <c r="A155" s="276"/>
      <c r="B155" s="276"/>
      <c r="C155"/>
      <c r="F155" s="129" t="s">
        <v>240</v>
      </c>
      <c r="G155" s="170">
        <f>$E$29*($F$29*G146+$F$30*G147+$F$31*G148+$F$32*G149+$F$33*G150+$F$34*G151+$F$35*G152)+$E$36*($F$36*G153+$F$37*G154)</f>
        <v>100</v>
      </c>
      <c r="H155" s="170">
        <f>E146*(F146*H146+F147*H147+F148*H148+F149*H149+F150*H150+F151*H151+F152*H152)+E153*(F153*H153+F154*H154)</f>
        <v>100</v>
      </c>
      <c r="I155" s="170">
        <f>E146*(F146*I146+F147*I147+F148*I148+F149*I149+F150*I150+F151*I151+F152*I152)+E153*(F153*I153+F154*I154)</f>
        <v>100</v>
      </c>
      <c r="J155" s="170">
        <f>E146*(F146*J146+F147*J147+F148*J148+F149*J149+F150*J150+F151*J151+F152*J152)+E153*(F153*J153+F154*J154)</f>
        <v>100</v>
      </c>
      <c r="K155" s="170">
        <f>E146*(F146*K146+F147*K147+F148*K148+F149*K149+F150*K150+F151*K151+F152*K152)+E153*(F153*K153+F154*K154)</f>
        <v>98.122159585135705</v>
      </c>
      <c r="L155" s="170">
        <f>E146*(F146*L146+F147*L147+F148*L148+F149*L149+F150*L150+F151*L151+F152*L152)+E153*(F153*L153+F154*L154)</f>
        <v>53.698742219503004</v>
      </c>
      <c r="M155" s="170">
        <f>E146*(F146*M146+F147*M147+F148*M148+F149*M149+F150*M150+F151*M151+F152*M152)+E153*(F153*M153+F154*M154)</f>
        <v>30.769230769230798</v>
      </c>
      <c r="N155" s="170">
        <f>E146*(F146*N146+F147*N147+F148*N148+F149*N149+F150*N150+F151*N151+F152*N152)+E153*(F153*N153+F154*N154)</f>
        <v>22.3196420042912</v>
      </c>
      <c r="O155" s="170">
        <f>E146*(F146*O146+F147*O147+F148*O148+F149*O149+F150*O150+F151*O151+F152*O152)+E153*(F153*O153+F154*O154)</f>
        <v>18.599937319475899</v>
      </c>
      <c r="P155" s="170">
        <f>E146*(F146*P146+F147*P147+F148*P148+F149*P149+F150*P150+F151*P151+F152*P152)+E153*(F153*P153+F154*P154)</f>
        <v>14.450283007127499</v>
      </c>
      <c r="Q155" s="170">
        <f>E146*(F146*Q146+F147*Q147+F148*Q148+F149*Q149+F150*Q150+F151*Q151+F152*Q152)+E153*(F153*Q153+F154*Q154)</f>
        <v>11.3020282557548</v>
      </c>
      <c r="R155" s="170">
        <f>E146*(F146*R146+F147*R147+F148*R148+F149*R149+F150*R150+F151*R151+F152*R152)+E153*(F153*R153+F154*R154)</f>
        <v>8.5468771481273809</v>
      </c>
    </row>
    <row r="156" spans="1:32" ht="14.4">
      <c r="A156" s="276"/>
      <c r="B156" s="276"/>
      <c r="C156"/>
      <c r="F156" s="129" t="s">
        <v>241</v>
      </c>
      <c r="G156" s="149">
        <v>100</v>
      </c>
      <c r="H156" s="149">
        <v>100</v>
      </c>
      <c r="I156" s="149">
        <v>100</v>
      </c>
      <c r="J156" s="149">
        <v>100</v>
      </c>
      <c r="K156" s="149">
        <v>100</v>
      </c>
      <c r="L156" s="149">
        <v>75</v>
      </c>
      <c r="M156" s="149">
        <v>58</v>
      </c>
      <c r="N156" s="149">
        <v>44</v>
      </c>
      <c r="O156" s="149">
        <v>32</v>
      </c>
      <c r="P156" s="149">
        <v>23</v>
      </c>
      <c r="Q156" s="149">
        <v>16</v>
      </c>
      <c r="R156" s="149">
        <v>8</v>
      </c>
    </row>
    <row r="157" spans="1:32" ht="14.4">
      <c r="A157" s="276"/>
      <c r="B157" s="276"/>
      <c r="C157"/>
      <c r="F157" s="129" t="s">
        <v>242</v>
      </c>
      <c r="G157" s="149">
        <f t="shared" ref="G157" si="13">(G156+G158)/2</f>
        <v>100</v>
      </c>
      <c r="H157" s="149">
        <v>100</v>
      </c>
      <c r="I157" s="149">
        <v>100</v>
      </c>
      <c r="J157" s="149">
        <v>100</v>
      </c>
      <c r="K157" s="149">
        <f t="shared" ref="K157:R157" si="14">AVERAGE(K156,K158)</f>
        <v>95</v>
      </c>
      <c r="L157" s="149">
        <f t="shared" si="14"/>
        <v>60</v>
      </c>
      <c r="M157" s="149">
        <f t="shared" si="14"/>
        <v>44</v>
      </c>
      <c r="N157" s="149">
        <f t="shared" si="14"/>
        <v>32</v>
      </c>
      <c r="O157" s="149">
        <f t="shared" si="14"/>
        <v>22.5</v>
      </c>
      <c r="P157" s="149">
        <f t="shared" si="14"/>
        <v>16</v>
      </c>
      <c r="Q157" s="149">
        <f t="shared" si="14"/>
        <v>11</v>
      </c>
      <c r="R157" s="149">
        <f t="shared" si="14"/>
        <v>6</v>
      </c>
    </row>
    <row r="158" spans="1:32" ht="14.4">
      <c r="A158" s="276"/>
      <c r="B158" s="276"/>
      <c r="C158"/>
      <c r="F158" s="129" t="s">
        <v>243</v>
      </c>
      <c r="G158" s="149">
        <v>100</v>
      </c>
      <c r="H158" s="149">
        <v>100</v>
      </c>
      <c r="I158" s="149">
        <v>100</v>
      </c>
      <c r="J158" s="149">
        <v>100</v>
      </c>
      <c r="K158" s="149">
        <v>90</v>
      </c>
      <c r="L158" s="149">
        <v>45</v>
      </c>
      <c r="M158" s="149">
        <v>30</v>
      </c>
      <c r="N158" s="149">
        <v>20</v>
      </c>
      <c r="O158" s="149">
        <v>13</v>
      </c>
      <c r="P158" s="149">
        <v>9</v>
      </c>
      <c r="Q158" s="149">
        <v>6</v>
      </c>
      <c r="R158" s="149">
        <v>4</v>
      </c>
    </row>
    <row r="159" spans="1:32" ht="13.65" customHeight="1">
      <c r="A159" s="276" t="s">
        <v>95</v>
      </c>
      <c r="B159" s="276" t="s">
        <v>250</v>
      </c>
      <c r="C159" s="159" t="s">
        <v>61</v>
      </c>
      <c r="D159" s="168" t="s">
        <v>79</v>
      </c>
      <c r="E159" s="276">
        <v>0.5</v>
      </c>
      <c r="F159" s="129">
        <v>0.44</v>
      </c>
      <c r="G159" s="149">
        <v>100</v>
      </c>
      <c r="H159" s="149">
        <v>100</v>
      </c>
      <c r="I159" s="149">
        <v>100</v>
      </c>
      <c r="J159" s="149">
        <v>79.426666666666705</v>
      </c>
      <c r="K159" s="149">
        <v>23.62</v>
      </c>
      <c r="L159" s="149">
        <v>4.0166666666666702</v>
      </c>
      <c r="M159" s="149">
        <v>0.68666666666666698</v>
      </c>
      <c r="N159" s="149">
        <v>0.53666666666666896</v>
      </c>
      <c r="O159" s="149">
        <v>0.53666666666666896</v>
      </c>
      <c r="P159" s="149">
        <v>0.53666666666666896</v>
      </c>
      <c r="Q159" s="149">
        <v>0.53666666666666896</v>
      </c>
      <c r="R159" s="149">
        <v>0.53666666666666896</v>
      </c>
      <c r="S159" s="138">
        <v>2.778</v>
      </c>
      <c r="T159" s="138">
        <v>2.7130000000000001</v>
      </c>
      <c r="U159" s="138">
        <f>级配!F159/S159*E159</f>
        <v>7.9193664506839498E-2</v>
      </c>
      <c r="V159" s="138">
        <f>级配!F159/T159*E159</f>
        <v>8.1091043125691098E-2</v>
      </c>
      <c r="W159" s="138">
        <f>1/SUM(U159:U167)</f>
        <v>2.79800331614996</v>
      </c>
      <c r="X159" s="153">
        <v>0.4</v>
      </c>
      <c r="Y159" s="138">
        <f>0.033*X159*X159-0.2936*X159+0.9336</f>
        <v>0.82143999999999995</v>
      </c>
      <c r="Z159" s="138">
        <f>0.033*Y159*Y159-0.2936*Y159+0.9336</f>
        <v>0.71469241722879995</v>
      </c>
      <c r="AA159" s="158">
        <v>2.6026707551933899</v>
      </c>
      <c r="AB159" s="138">
        <f>1/SUM(V159:V167)</f>
        <v>2.7085386336835602</v>
      </c>
      <c r="AC159" s="160">
        <v>4.8</v>
      </c>
      <c r="AD159" s="138">
        <f>100*AC159/(100+AC159)</f>
        <v>4.5801526717557302</v>
      </c>
      <c r="AE159" s="156"/>
      <c r="AF159" s="156">
        <f>AC159-E166*F166*AE166-E166*F167*AE167</f>
        <v>1.8502447504270301</v>
      </c>
    </row>
    <row r="160" spans="1:32" ht="13.65" customHeight="1">
      <c r="A160" s="276"/>
      <c r="B160" s="276"/>
      <c r="C160" s="159" t="s">
        <v>61</v>
      </c>
      <c r="D160" s="168" t="s">
        <v>63</v>
      </c>
      <c r="E160" s="276"/>
      <c r="F160" s="129">
        <v>0.35</v>
      </c>
      <c r="G160" s="149">
        <v>100</v>
      </c>
      <c r="H160" s="149">
        <v>100</v>
      </c>
      <c r="I160" s="149">
        <v>100</v>
      </c>
      <c r="J160" s="149">
        <v>100</v>
      </c>
      <c r="K160" s="149">
        <v>98.037499999999994</v>
      </c>
      <c r="L160" s="149">
        <v>23.737500000000001</v>
      </c>
      <c r="M160" s="149">
        <v>3.7416666666666698</v>
      </c>
      <c r="N160" s="149">
        <v>1.63333333333333</v>
      </c>
      <c r="O160" s="149">
        <v>1.2666666666666599</v>
      </c>
      <c r="P160" s="149">
        <v>1.2666666666666599</v>
      </c>
      <c r="Q160" s="149">
        <v>1.2666666666666599</v>
      </c>
      <c r="R160" s="149">
        <v>1.2666666666666599</v>
      </c>
      <c r="S160" s="138">
        <v>2.7759999999999998</v>
      </c>
      <c r="T160" s="138">
        <v>2.7080000000000002</v>
      </c>
      <c r="U160" s="138">
        <f>级配!F160/S160*E159</f>
        <v>6.3040345821325602E-2</v>
      </c>
      <c r="V160" s="138">
        <f>级配!F160/T160*E159</f>
        <v>6.4623338257016202E-2</v>
      </c>
      <c r="W160" s="138"/>
      <c r="X160" s="138"/>
      <c r="Y160" s="151"/>
      <c r="Z160" s="151"/>
      <c r="AA160" s="174">
        <v>2.57963756750511</v>
      </c>
      <c r="AB160" s="138"/>
      <c r="AC160" s="160">
        <v>4.5999999999999996</v>
      </c>
      <c r="AD160" s="138">
        <f>100*AC160/(100+AC160)</f>
        <v>4.3977055449330802</v>
      </c>
      <c r="AE160" s="156"/>
    </row>
    <row r="161" spans="1:32" ht="13.65" customHeight="1">
      <c r="A161" s="276"/>
      <c r="B161" s="276"/>
      <c r="C161" s="159" t="s">
        <v>82</v>
      </c>
      <c r="D161" s="168" t="s">
        <v>65</v>
      </c>
      <c r="E161" s="276"/>
      <c r="F161" s="129">
        <v>0.19</v>
      </c>
      <c r="G161" s="149">
        <v>100</v>
      </c>
      <c r="H161" s="149">
        <v>100</v>
      </c>
      <c r="I161" s="149">
        <v>100</v>
      </c>
      <c r="J161" s="149">
        <v>100</v>
      </c>
      <c r="K161" s="149">
        <v>100</v>
      </c>
      <c r="L161" s="149">
        <v>99.84</v>
      </c>
      <c r="M161" s="149">
        <v>82.034999999999997</v>
      </c>
      <c r="N161" s="149">
        <v>61.365000000000002</v>
      </c>
      <c r="O161" s="149">
        <v>48.57</v>
      </c>
      <c r="P161" s="149">
        <v>30.76</v>
      </c>
      <c r="Q161" s="149">
        <v>18.524999999999999</v>
      </c>
      <c r="R161" s="149">
        <v>11.77</v>
      </c>
      <c r="S161" s="138">
        <v>2.71</v>
      </c>
      <c r="T161" s="138">
        <v>2.62</v>
      </c>
      <c r="U161" s="138">
        <f>级配!F161/S161*E159</f>
        <v>3.5055350553505497E-2</v>
      </c>
      <c r="V161" s="138">
        <f>级配!F161/T161*E159</f>
        <v>3.6259541984732802E-2</v>
      </c>
    </row>
    <row r="162" spans="1:32" ht="14.4">
      <c r="A162" s="276"/>
      <c r="B162" s="276"/>
      <c r="C162" s="171" t="s">
        <v>99</v>
      </c>
      <c r="D162" s="168" t="s">
        <v>91</v>
      </c>
      <c r="E162" s="276"/>
      <c r="F162" s="129">
        <v>0.02</v>
      </c>
      <c r="G162" s="149">
        <v>100</v>
      </c>
      <c r="H162" s="149">
        <v>100</v>
      </c>
      <c r="I162" s="149">
        <v>100</v>
      </c>
      <c r="J162" s="149">
        <v>100</v>
      </c>
      <c r="K162" s="149">
        <v>100</v>
      </c>
      <c r="L162" s="149">
        <v>100</v>
      </c>
      <c r="M162" s="149">
        <v>100</v>
      </c>
      <c r="N162" s="149">
        <v>100</v>
      </c>
      <c r="O162" s="149">
        <v>100</v>
      </c>
      <c r="P162" s="149">
        <v>97.4</v>
      </c>
      <c r="Q162" s="149">
        <v>90.2</v>
      </c>
      <c r="R162" s="149">
        <v>78.2</v>
      </c>
      <c r="S162" s="138">
        <v>2.6789999999999998</v>
      </c>
      <c r="T162" s="138">
        <v>2.6789999999999998</v>
      </c>
      <c r="U162" s="138">
        <f>级配!F162/S162*E159</f>
        <v>3.7327360955580402E-3</v>
      </c>
      <c r="V162" s="138">
        <f>级配!F162/T162*E159</f>
        <v>3.7327360955580402E-3</v>
      </c>
    </row>
    <row r="163" spans="1:32" ht="14.4">
      <c r="A163" s="276"/>
      <c r="B163" s="276"/>
      <c r="C163" s="164" t="s">
        <v>99</v>
      </c>
      <c r="D163" s="168" t="s">
        <v>91</v>
      </c>
      <c r="E163" s="276"/>
      <c r="F163" s="129">
        <v>0</v>
      </c>
      <c r="G163" s="149">
        <v>100</v>
      </c>
      <c r="H163" s="149">
        <v>100</v>
      </c>
      <c r="I163" s="149">
        <v>100</v>
      </c>
      <c r="J163" s="149">
        <v>100</v>
      </c>
      <c r="K163" s="149">
        <v>100</v>
      </c>
      <c r="L163" s="149">
        <v>100</v>
      </c>
      <c r="M163" s="149">
        <v>100</v>
      </c>
      <c r="N163" s="149">
        <v>100</v>
      </c>
      <c r="O163" s="149">
        <v>100</v>
      </c>
      <c r="P163" s="149">
        <v>97.4</v>
      </c>
      <c r="Q163" s="149">
        <v>90.2</v>
      </c>
      <c r="R163" s="149">
        <v>78.2</v>
      </c>
      <c r="S163" s="138">
        <v>2.6789999999999998</v>
      </c>
      <c r="T163" s="138">
        <v>2.6789999999999998</v>
      </c>
      <c r="U163" s="138">
        <f>级配!F163/S163*E159</f>
        <v>0</v>
      </c>
      <c r="V163" s="138">
        <f>级配!F163/T163*E159</f>
        <v>0</v>
      </c>
    </row>
    <row r="164" spans="1:32" ht="14.4">
      <c r="A164" s="276"/>
      <c r="B164" s="276"/>
      <c r="C164" s="164" t="s">
        <v>99</v>
      </c>
      <c r="D164" s="168" t="s">
        <v>91</v>
      </c>
      <c r="E164" s="276"/>
      <c r="F164" s="129">
        <v>0</v>
      </c>
      <c r="G164" s="149">
        <v>100</v>
      </c>
      <c r="H164" s="149">
        <v>100</v>
      </c>
      <c r="I164" s="149">
        <v>100</v>
      </c>
      <c r="J164" s="149">
        <v>100</v>
      </c>
      <c r="K164" s="149">
        <v>100</v>
      </c>
      <c r="L164" s="149">
        <v>100</v>
      </c>
      <c r="M164" s="149">
        <v>81.364999999999995</v>
      </c>
      <c r="N164" s="149">
        <v>59.195</v>
      </c>
      <c r="O164" s="149">
        <v>34.704999999999998</v>
      </c>
      <c r="P164" s="149">
        <v>19.21</v>
      </c>
      <c r="Q164" s="149">
        <v>13.9</v>
      </c>
      <c r="R164" s="149">
        <v>11.54</v>
      </c>
      <c r="S164" s="138">
        <v>2.72</v>
      </c>
      <c r="T164" s="138">
        <v>2.65</v>
      </c>
      <c r="U164" s="138">
        <f>级配!F164/S164*E159</f>
        <v>0</v>
      </c>
      <c r="V164" s="138">
        <f>级配!F164/T164*E159</f>
        <v>0</v>
      </c>
    </row>
    <row r="165" spans="1:32" ht="14.4">
      <c r="A165" s="276"/>
      <c r="B165" s="276"/>
      <c r="C165" s="164" t="s">
        <v>99</v>
      </c>
      <c r="D165" s="157" t="s">
        <v>91</v>
      </c>
      <c r="E165" s="276"/>
      <c r="F165" s="129">
        <v>0</v>
      </c>
      <c r="G165" s="149">
        <v>100</v>
      </c>
      <c r="H165" s="149">
        <v>100</v>
      </c>
      <c r="I165" s="149">
        <v>100</v>
      </c>
      <c r="J165" s="149">
        <v>100</v>
      </c>
      <c r="K165" s="149">
        <v>100</v>
      </c>
      <c r="L165" s="149">
        <v>100</v>
      </c>
      <c r="M165" s="149">
        <v>100</v>
      </c>
      <c r="N165" s="149">
        <v>100</v>
      </c>
      <c r="O165" s="149">
        <v>100</v>
      </c>
      <c r="P165" s="149">
        <v>99.6875</v>
      </c>
      <c r="Q165" s="149">
        <v>97.112499999999997</v>
      </c>
      <c r="R165" s="149">
        <v>76.612499999999997</v>
      </c>
      <c r="S165" s="138">
        <v>2.8519999999999999</v>
      </c>
      <c r="T165" s="138">
        <v>2.7229999999999999</v>
      </c>
      <c r="U165" s="138">
        <f>级配!F165/S165*E159</f>
        <v>0</v>
      </c>
      <c r="V165" s="138">
        <f>级配!F165/T165*E159</f>
        <v>0</v>
      </c>
    </row>
    <row r="166" spans="1:32">
      <c r="A166" s="276"/>
      <c r="B166" s="276"/>
      <c r="C166" s="159" t="s">
        <v>74</v>
      </c>
      <c r="D166" s="168" t="s">
        <v>96</v>
      </c>
      <c r="E166" s="276">
        <v>0.5</v>
      </c>
      <c r="F166" s="129">
        <v>0.5</v>
      </c>
      <c r="G166" s="149">
        <v>100</v>
      </c>
      <c r="H166" s="149">
        <v>100</v>
      </c>
      <c r="I166" s="149">
        <v>100</v>
      </c>
      <c r="J166" s="149">
        <v>95.403681847380696</v>
      </c>
      <c r="K166" s="149">
        <v>70.922845793101601</v>
      </c>
      <c r="L166" s="149">
        <v>26.2313111796756</v>
      </c>
      <c r="M166" s="149">
        <v>18.670139824994099</v>
      </c>
      <c r="N166" s="149">
        <v>15.2530437980742</v>
      </c>
      <c r="O166" s="149">
        <v>13.337980575609</v>
      </c>
      <c r="P166" s="149">
        <v>10.3716920122351</v>
      </c>
      <c r="Q166" s="149">
        <v>7.4989307598344999</v>
      </c>
      <c r="R166" s="149">
        <v>5.1864596750841097</v>
      </c>
      <c r="S166" s="138">
        <v>2.855</v>
      </c>
      <c r="T166" s="138">
        <v>2.7450000000000001</v>
      </c>
      <c r="U166" s="138">
        <f>级配!F166/S166*E166</f>
        <v>8.7565674255691797E-2</v>
      </c>
      <c r="V166" s="138">
        <f>级配!F166/T166*E166</f>
        <v>9.1074681238615701E-2</v>
      </c>
      <c r="AE166" s="154">
        <v>4.6459791731968103</v>
      </c>
    </row>
    <row r="167" spans="1:32">
      <c r="A167" s="276"/>
      <c r="B167" s="276"/>
      <c r="C167" s="159" t="s">
        <v>76</v>
      </c>
      <c r="D167" s="168" t="s">
        <v>97</v>
      </c>
      <c r="E167" s="276"/>
      <c r="F167" s="129">
        <v>0.5</v>
      </c>
      <c r="G167" s="149">
        <v>100</v>
      </c>
      <c r="H167" s="149">
        <v>100</v>
      </c>
      <c r="I167" s="149">
        <v>100</v>
      </c>
      <c r="J167" s="149">
        <v>100</v>
      </c>
      <c r="K167" s="149">
        <v>100</v>
      </c>
      <c r="L167" s="149">
        <v>84.767233633466006</v>
      </c>
      <c r="M167" s="149">
        <v>59.795547613357499</v>
      </c>
      <c r="N167" s="149">
        <v>44.125173050139303</v>
      </c>
      <c r="O167" s="149">
        <v>35.677500355661998</v>
      </c>
      <c r="P167" s="149">
        <v>24.865460871911999</v>
      </c>
      <c r="Q167" s="149">
        <v>17.067525948208001</v>
      </c>
      <c r="R167" s="149">
        <v>12.0151866347161</v>
      </c>
      <c r="S167" s="138">
        <v>2.8149999999999999</v>
      </c>
      <c r="T167" s="138">
        <v>2.7050000000000001</v>
      </c>
      <c r="U167" s="138">
        <f>级配!F167/S167*E166</f>
        <v>8.8809946714032001E-2</v>
      </c>
      <c r="V167" s="138">
        <f>级配!F167/T167*E166</f>
        <v>9.24214417744917E-2</v>
      </c>
      <c r="AE167" s="154">
        <v>7.1530418250950598</v>
      </c>
    </row>
    <row r="168" spans="1:32" ht="14.4">
      <c r="A168" s="276"/>
      <c r="B168" s="276"/>
      <c r="C168"/>
      <c r="F168" s="129" t="s">
        <v>240</v>
      </c>
      <c r="G168" s="170">
        <f>$E$29*($F$29*G159+$F$30*G160+$F$31*G161+$F$32*G162+$F$33*G163+$F$34*G164+$F$35*G165)+$E$36*($F$36*G166+$F$37*G167)</f>
        <v>100</v>
      </c>
      <c r="H168" s="170">
        <f>E159*(F159*H159+F160*H160+F161*H161+F162*H162+F163*H163+F164*H164+F165*H165)+E166*(F166*H166+F167*H167)</f>
        <v>100</v>
      </c>
      <c r="I168" s="170">
        <f>E159*(F159*I159+F160*I160+F161*I161+F162*I162+F163*I163+F164*I164+F165*I165)+E166*(F166*I166+F167*I167)</f>
        <v>100</v>
      </c>
      <c r="J168" s="170">
        <f>E159*(F159*J159+F160*J160+F161*J161+F162*J162+F163*J163+F164*J164+F165*J165)+E166*(F166*J166+F167*J167)</f>
        <v>94.3247871285119</v>
      </c>
      <c r="K168" s="170">
        <f>E159*(F159*K159+F160*K160+F161*K161+F162*K162+F163*K163+F164*K164+F165*K165)+E166*(F166*K166+F167*K167)</f>
        <v>75.583673948275404</v>
      </c>
      <c r="L168" s="170">
        <f>E159*(F159*L159+F160*L160+F161*L161+F162*L162+F163*L163+F164*L164+F165*L165)+E166*(F166*L166+F167*L167)</f>
        <v>43.272165369952099</v>
      </c>
      <c r="M168" s="170">
        <f>E159*(F159*M159+F160*M160+F161*M161+F162*M162+F163*M163+F164*M164+F165*M165)+E166*(F166*M166+F167*M167)</f>
        <v>29.215605192921199</v>
      </c>
      <c r="N168" s="170">
        <f>E159*(F159*N159+F160*N160+F161*N161+F162*N162+F163*N163+F164*N164+F165*N165)+E166*(F166*N166+F167*N167)</f>
        <v>22.078129212053401</v>
      </c>
      <c r="O168" s="170">
        <f>E159*(F159*O159+F160*O160+F161*O161+F162*O162+F163*O163+F164*O164+F165*O165)+E166*(F166*O166+F167*O167)</f>
        <v>18.207753566151101</v>
      </c>
      <c r="P168" s="170">
        <f>E159*(F159*P159+F160*P160+F161*P161+F162*P162+F163*P163+F164*P164+F165*P165)+E166*(F166*P166+F167*P167)</f>
        <v>13.0452215543701</v>
      </c>
      <c r="Q168" s="170">
        <f>E159*(F159*Q159+F160*Q160+F161*Q161+F162*Q162+F163*Q163+F164*Q164+F165*Q165)+E166*(F166*Q166+F167*Q167)</f>
        <v>9.1432225103439606</v>
      </c>
      <c r="R168" s="170">
        <f>E159*(F159*R159+F160*R160+F161*R161+F162*R162+F163*R163+F164*R164+F165*R165)+E166*(F166*R166+F167*R167)</f>
        <v>6.5402949107833903</v>
      </c>
    </row>
    <row r="169" spans="1:32" ht="14.4">
      <c r="A169" s="276"/>
      <c r="B169" s="276"/>
      <c r="C169"/>
      <c r="F169" s="129" t="s">
        <v>241</v>
      </c>
      <c r="G169" s="149">
        <v>100</v>
      </c>
      <c r="H169" s="149">
        <v>100</v>
      </c>
      <c r="I169" s="129">
        <v>100</v>
      </c>
      <c r="J169" s="129">
        <v>100</v>
      </c>
      <c r="K169" s="129">
        <v>85</v>
      </c>
      <c r="L169" s="129">
        <v>68</v>
      </c>
      <c r="M169" s="129">
        <v>50</v>
      </c>
      <c r="N169" s="129">
        <v>38</v>
      </c>
      <c r="O169" s="129">
        <v>28</v>
      </c>
      <c r="P169" s="129">
        <v>20</v>
      </c>
      <c r="Q169" s="129">
        <v>15</v>
      </c>
      <c r="R169" s="129">
        <v>8</v>
      </c>
    </row>
    <row r="170" spans="1:32" ht="14.4">
      <c r="A170" s="276"/>
      <c r="B170" s="276"/>
      <c r="C170"/>
      <c r="F170" s="129" t="s">
        <v>242</v>
      </c>
      <c r="G170" s="149">
        <f t="shared" ref="G170" si="15">(G169+G171)/2</f>
        <v>100</v>
      </c>
      <c r="H170" s="149">
        <v>100</v>
      </c>
      <c r="I170" s="129">
        <v>100</v>
      </c>
      <c r="J170" s="129">
        <f t="shared" ref="J170:R170" si="16">(J169+J171)/2</f>
        <v>95</v>
      </c>
      <c r="K170" s="129">
        <f t="shared" si="16"/>
        <v>76.5</v>
      </c>
      <c r="L170" s="129">
        <f t="shared" si="16"/>
        <v>53</v>
      </c>
      <c r="M170" s="129">
        <f t="shared" si="16"/>
        <v>37</v>
      </c>
      <c r="N170" s="129">
        <f t="shared" si="16"/>
        <v>26.5</v>
      </c>
      <c r="O170" s="129">
        <f t="shared" si="16"/>
        <v>19</v>
      </c>
      <c r="P170" s="129">
        <f t="shared" si="16"/>
        <v>13.5</v>
      </c>
      <c r="Q170" s="129">
        <f t="shared" si="16"/>
        <v>10</v>
      </c>
      <c r="R170" s="129">
        <f t="shared" si="16"/>
        <v>6</v>
      </c>
    </row>
    <row r="171" spans="1:32" ht="14.4">
      <c r="A171" s="276"/>
      <c r="B171" s="276"/>
      <c r="C171"/>
      <c r="F171" s="129" t="s">
        <v>243</v>
      </c>
      <c r="G171" s="149">
        <v>100</v>
      </c>
      <c r="H171" s="149">
        <v>100</v>
      </c>
      <c r="I171" s="129">
        <v>100</v>
      </c>
      <c r="J171" s="129">
        <v>90</v>
      </c>
      <c r="K171" s="129">
        <v>68</v>
      </c>
      <c r="L171" s="129">
        <v>38</v>
      </c>
      <c r="M171" s="129">
        <v>24</v>
      </c>
      <c r="N171" s="129">
        <v>15</v>
      </c>
      <c r="O171" s="129">
        <v>10</v>
      </c>
      <c r="P171" s="129">
        <v>7</v>
      </c>
      <c r="Q171" s="129">
        <v>5</v>
      </c>
      <c r="R171" s="129">
        <v>4</v>
      </c>
    </row>
    <row r="172" spans="1:32" ht="14.4">
      <c r="A172" s="276" t="s">
        <v>95</v>
      </c>
      <c r="B172" s="276" t="s">
        <v>251</v>
      </c>
      <c r="C172" s="159" t="s">
        <v>61</v>
      </c>
      <c r="D172" s="168" t="s">
        <v>79</v>
      </c>
      <c r="E172" s="276">
        <v>0.5</v>
      </c>
      <c r="F172" s="129">
        <v>0.45</v>
      </c>
      <c r="G172" s="149">
        <v>100</v>
      </c>
      <c r="H172" s="149">
        <v>100</v>
      </c>
      <c r="I172" s="149">
        <v>100</v>
      </c>
      <c r="J172" s="149">
        <v>79.426666666666705</v>
      </c>
      <c r="K172" s="149">
        <v>23.62</v>
      </c>
      <c r="L172" s="149">
        <v>4.0166666666666702</v>
      </c>
      <c r="M172" s="149">
        <v>0.68666666666666698</v>
      </c>
      <c r="N172" s="149">
        <v>0.53666666666666896</v>
      </c>
      <c r="O172" s="149">
        <v>0.53666666666666896</v>
      </c>
      <c r="P172" s="149">
        <v>0.53666666666666896</v>
      </c>
      <c r="Q172" s="149">
        <v>0.53666666666666896</v>
      </c>
      <c r="R172" s="149">
        <v>0.53666666666666896</v>
      </c>
      <c r="S172" s="138">
        <v>2.778</v>
      </c>
      <c r="T172" s="138">
        <v>2.7130000000000001</v>
      </c>
      <c r="U172" s="138">
        <f>级配!F172/S172*E172</f>
        <v>8.0993520518358494E-2</v>
      </c>
      <c r="V172" s="138">
        <f>级配!F172/T172*E172</f>
        <v>8.2934021378547704E-2</v>
      </c>
      <c r="W172" s="138">
        <f>1/SUM(U172:U180)</f>
        <v>2.80219562115041</v>
      </c>
      <c r="X172" s="153">
        <v>0.4</v>
      </c>
      <c r="Y172" s="138">
        <f>0.033*X172*X172-0.2936*X172+0.9336</f>
        <v>0.82143999999999995</v>
      </c>
      <c r="Z172" s="138">
        <f>0.033*Y172*Y172-0.2936*Y172+0.9336</f>
        <v>0.71469241722879995</v>
      </c>
      <c r="AA172" s="158">
        <v>2.6026707551933899</v>
      </c>
      <c r="AB172" s="138">
        <f>1/SUM(V172:V180)</f>
        <v>2.7129682717697099</v>
      </c>
      <c r="AC172" s="160">
        <v>4.8</v>
      </c>
      <c r="AD172" s="138">
        <f>100*AC172/(100+AC172)</f>
        <v>4.5801526717557302</v>
      </c>
      <c r="AE172" s="156"/>
      <c r="AF172" s="156">
        <f>AC172-E179*F179*AE179-E179*F180*AE180</f>
        <v>1.9755978830219401</v>
      </c>
    </row>
    <row r="173" spans="1:32" ht="14.4">
      <c r="A173" s="276"/>
      <c r="B173" s="276"/>
      <c r="C173" s="159" t="s">
        <v>61</v>
      </c>
      <c r="D173" s="168" t="s">
        <v>63</v>
      </c>
      <c r="E173" s="276"/>
      <c r="F173" s="129">
        <v>0.4</v>
      </c>
      <c r="G173" s="149">
        <v>100</v>
      </c>
      <c r="H173" s="149">
        <v>100</v>
      </c>
      <c r="I173" s="149">
        <v>100</v>
      </c>
      <c r="J173" s="149">
        <v>100</v>
      </c>
      <c r="K173" s="149">
        <v>98.037499999999994</v>
      </c>
      <c r="L173" s="149">
        <v>23.737500000000001</v>
      </c>
      <c r="M173" s="149">
        <v>3.7416666666666698</v>
      </c>
      <c r="N173" s="149">
        <v>1.63333333333333</v>
      </c>
      <c r="O173" s="149">
        <v>1.2666666666666599</v>
      </c>
      <c r="P173" s="149">
        <v>1.2666666666666599</v>
      </c>
      <c r="Q173" s="149">
        <v>1.2666666666666599</v>
      </c>
      <c r="R173" s="149">
        <v>1.2666666666666599</v>
      </c>
      <c r="S173" s="138">
        <v>2.7759999999999998</v>
      </c>
      <c r="T173" s="138">
        <v>2.7080000000000002</v>
      </c>
      <c r="U173" s="138">
        <f>级配!F173/S173*E172</f>
        <v>7.2046109510086498E-2</v>
      </c>
      <c r="V173" s="138">
        <f>级配!F173/T173*E172</f>
        <v>7.3855243722304301E-2</v>
      </c>
      <c r="W173" s="138"/>
      <c r="X173" s="138"/>
      <c r="Y173" s="151"/>
      <c r="Z173" s="151"/>
      <c r="AB173" s="138"/>
      <c r="AE173" s="156"/>
    </row>
    <row r="174" spans="1:32">
      <c r="A174" s="276"/>
      <c r="B174" s="276"/>
      <c r="C174" s="159" t="s">
        <v>82</v>
      </c>
      <c r="D174" s="168" t="s">
        <v>65</v>
      </c>
      <c r="E174" s="276"/>
      <c r="F174" s="129">
        <v>0.14000000000000001</v>
      </c>
      <c r="G174" s="149">
        <v>100</v>
      </c>
      <c r="H174" s="149">
        <v>100</v>
      </c>
      <c r="I174" s="149">
        <v>100</v>
      </c>
      <c r="J174" s="149">
        <v>100</v>
      </c>
      <c r="K174" s="149">
        <v>100</v>
      </c>
      <c r="L174" s="149">
        <v>99.84</v>
      </c>
      <c r="M174" s="149">
        <v>82.034999999999997</v>
      </c>
      <c r="N174" s="149">
        <v>61.365000000000002</v>
      </c>
      <c r="O174" s="149">
        <v>48.57</v>
      </c>
      <c r="P174" s="149">
        <v>30.76</v>
      </c>
      <c r="Q174" s="149">
        <v>18.524999999999999</v>
      </c>
      <c r="R174" s="149">
        <v>11.77</v>
      </c>
      <c r="S174" s="138">
        <v>2.71</v>
      </c>
      <c r="T174" s="138">
        <v>2.62</v>
      </c>
      <c r="U174" s="138">
        <f>级配!F174/S174*E172</f>
        <v>2.5830258302582999E-2</v>
      </c>
      <c r="V174" s="138">
        <f>级配!F174/T174*E172</f>
        <v>2.67175572519084E-2</v>
      </c>
    </row>
    <row r="175" spans="1:32" ht="14.4">
      <c r="A175" s="276"/>
      <c r="B175" s="276"/>
      <c r="C175" s="171" t="s">
        <v>99</v>
      </c>
      <c r="D175" s="168" t="s">
        <v>91</v>
      </c>
      <c r="E175" s="276"/>
      <c r="F175" s="129">
        <v>0.01</v>
      </c>
      <c r="G175" s="149">
        <v>100</v>
      </c>
      <c r="H175" s="149">
        <v>100</v>
      </c>
      <c r="I175" s="149">
        <v>100</v>
      </c>
      <c r="J175" s="149">
        <v>100</v>
      </c>
      <c r="K175" s="149">
        <v>100</v>
      </c>
      <c r="L175" s="149">
        <v>100</v>
      </c>
      <c r="M175" s="149">
        <v>100</v>
      </c>
      <c r="N175" s="149">
        <v>100</v>
      </c>
      <c r="O175" s="149">
        <v>100</v>
      </c>
      <c r="P175" s="149">
        <v>97.4</v>
      </c>
      <c r="Q175" s="149">
        <v>90.2</v>
      </c>
      <c r="R175" s="149">
        <v>78.2</v>
      </c>
      <c r="S175" s="138">
        <v>2.6789999999999998</v>
      </c>
      <c r="T175" s="138">
        <v>2.6789999999999998</v>
      </c>
      <c r="U175" s="138">
        <f>级配!F175/S175*E172</f>
        <v>1.8663680477790201E-3</v>
      </c>
      <c r="V175" s="138">
        <f>级配!F175/T175*E172</f>
        <v>1.8663680477790201E-3</v>
      </c>
    </row>
    <row r="176" spans="1:32" ht="14.4">
      <c r="A176" s="276"/>
      <c r="B176" s="276"/>
      <c r="C176" s="164" t="s">
        <v>99</v>
      </c>
      <c r="D176" s="168" t="s">
        <v>91</v>
      </c>
      <c r="E176" s="276"/>
      <c r="F176" s="129">
        <v>0</v>
      </c>
      <c r="G176" s="149">
        <v>100</v>
      </c>
      <c r="H176" s="149">
        <v>100</v>
      </c>
      <c r="I176" s="149">
        <v>100</v>
      </c>
      <c r="J176" s="149">
        <v>100</v>
      </c>
      <c r="K176" s="149">
        <v>100</v>
      </c>
      <c r="L176" s="149">
        <v>100</v>
      </c>
      <c r="M176" s="149">
        <v>100</v>
      </c>
      <c r="N176" s="149">
        <v>100</v>
      </c>
      <c r="O176" s="149">
        <v>100</v>
      </c>
      <c r="P176" s="149">
        <v>97.4</v>
      </c>
      <c r="Q176" s="149">
        <v>90.2</v>
      </c>
      <c r="R176" s="149">
        <v>78.2</v>
      </c>
      <c r="S176" s="138">
        <v>2.6789999999999998</v>
      </c>
      <c r="T176" s="138">
        <v>2.6789999999999998</v>
      </c>
      <c r="U176" s="138">
        <f>级配!F176/S176*E172</f>
        <v>0</v>
      </c>
      <c r="V176" s="138">
        <f>级配!F176/T176*E172</f>
        <v>0</v>
      </c>
    </row>
    <row r="177" spans="1:32" ht="14.4">
      <c r="A177" s="276"/>
      <c r="B177" s="276"/>
      <c r="C177" s="164" t="s">
        <v>99</v>
      </c>
      <c r="D177" s="168" t="s">
        <v>91</v>
      </c>
      <c r="E177" s="276"/>
      <c r="F177" s="129">
        <v>0</v>
      </c>
      <c r="G177" s="149">
        <v>100</v>
      </c>
      <c r="H177" s="149">
        <v>100</v>
      </c>
      <c r="I177" s="149">
        <v>100</v>
      </c>
      <c r="J177" s="149">
        <v>100</v>
      </c>
      <c r="K177" s="149">
        <v>100</v>
      </c>
      <c r="L177" s="149">
        <v>100</v>
      </c>
      <c r="M177" s="149">
        <v>81.364999999999995</v>
      </c>
      <c r="N177" s="149">
        <v>59.195</v>
      </c>
      <c r="O177" s="149">
        <v>34.704999999999998</v>
      </c>
      <c r="P177" s="149">
        <v>19.21</v>
      </c>
      <c r="Q177" s="149">
        <v>13.9</v>
      </c>
      <c r="R177" s="149">
        <v>11.54</v>
      </c>
      <c r="S177" s="138">
        <v>2.72</v>
      </c>
      <c r="T177" s="138">
        <v>2.65</v>
      </c>
      <c r="U177" s="138">
        <f>级配!F177/S177*E172</f>
        <v>0</v>
      </c>
      <c r="V177" s="138">
        <f>级配!F177/T177*E172</f>
        <v>0</v>
      </c>
    </row>
    <row r="178" spans="1:32" ht="14.4">
      <c r="A178" s="276"/>
      <c r="B178" s="276"/>
      <c r="C178" s="164" t="s">
        <v>99</v>
      </c>
      <c r="D178" s="157" t="s">
        <v>91</v>
      </c>
      <c r="E178" s="276"/>
      <c r="F178" s="129">
        <v>0</v>
      </c>
      <c r="G178" s="149">
        <v>100</v>
      </c>
      <c r="H178" s="149">
        <v>100</v>
      </c>
      <c r="I178" s="149">
        <v>100</v>
      </c>
      <c r="J178" s="149">
        <v>100</v>
      </c>
      <c r="K178" s="149">
        <v>100</v>
      </c>
      <c r="L178" s="149">
        <v>100</v>
      </c>
      <c r="M178" s="149">
        <v>100</v>
      </c>
      <c r="N178" s="149">
        <v>100</v>
      </c>
      <c r="O178" s="149">
        <v>100</v>
      </c>
      <c r="P178" s="149">
        <v>99.6875</v>
      </c>
      <c r="Q178" s="149">
        <v>97.112499999999997</v>
      </c>
      <c r="R178" s="149">
        <v>76.612499999999997</v>
      </c>
      <c r="S178" s="138">
        <v>2.8519999999999999</v>
      </c>
      <c r="T178" s="138">
        <v>2.7229999999999999</v>
      </c>
      <c r="U178" s="138">
        <f>级配!F178/S178*E172</f>
        <v>0</v>
      </c>
      <c r="V178" s="138">
        <f>级配!F178/T178*E172</f>
        <v>0</v>
      </c>
    </row>
    <row r="179" spans="1:32">
      <c r="A179" s="276"/>
      <c r="B179" s="276"/>
      <c r="C179" s="159" t="s">
        <v>74</v>
      </c>
      <c r="D179" s="168" t="s">
        <v>96</v>
      </c>
      <c r="E179" s="276">
        <v>0.5</v>
      </c>
      <c r="F179" s="129">
        <v>0.6</v>
      </c>
      <c r="G179" s="149">
        <v>100</v>
      </c>
      <c r="H179" s="149">
        <v>100</v>
      </c>
      <c r="I179" s="149">
        <v>100</v>
      </c>
      <c r="J179" s="149">
        <v>95.403681847380696</v>
      </c>
      <c r="K179" s="149">
        <v>70.922845793101601</v>
      </c>
      <c r="L179" s="149">
        <v>26.2313111796756</v>
      </c>
      <c r="M179" s="149">
        <v>18.670139824994099</v>
      </c>
      <c r="N179" s="149">
        <v>15.2530437980742</v>
      </c>
      <c r="O179" s="149">
        <v>13.337980575609</v>
      </c>
      <c r="P179" s="149">
        <v>10.3716920122351</v>
      </c>
      <c r="Q179" s="149">
        <v>7.4989307598344999</v>
      </c>
      <c r="R179" s="149">
        <v>5.1864596750841097</v>
      </c>
      <c r="S179" s="138">
        <v>2.855</v>
      </c>
      <c r="T179" s="138">
        <v>2.7450000000000001</v>
      </c>
      <c r="U179" s="138">
        <f>级配!F179/S179*E179</f>
        <v>0.10507880910683</v>
      </c>
      <c r="V179" s="138">
        <f>级配!F179/T179*E179</f>
        <v>0.109289617486339</v>
      </c>
      <c r="AE179" s="154">
        <v>4.6459791731968103</v>
      </c>
    </row>
    <row r="180" spans="1:32">
      <c r="A180" s="276"/>
      <c r="B180" s="276"/>
      <c r="C180" s="159" t="s">
        <v>76</v>
      </c>
      <c r="D180" s="168" t="s">
        <v>97</v>
      </c>
      <c r="E180" s="276"/>
      <c r="F180" s="129">
        <v>0.4</v>
      </c>
      <c r="G180" s="149">
        <v>100</v>
      </c>
      <c r="H180" s="149">
        <v>100</v>
      </c>
      <c r="I180" s="149">
        <v>100</v>
      </c>
      <c r="J180" s="149">
        <v>100</v>
      </c>
      <c r="K180" s="149">
        <v>100</v>
      </c>
      <c r="L180" s="149">
        <v>84.767233633466006</v>
      </c>
      <c r="M180" s="149">
        <v>59.795547613357499</v>
      </c>
      <c r="N180" s="149">
        <v>44.125173050139303</v>
      </c>
      <c r="O180" s="149">
        <v>35.677500355661998</v>
      </c>
      <c r="P180" s="149">
        <v>24.865460871911999</v>
      </c>
      <c r="Q180" s="149">
        <v>17.067525948208001</v>
      </c>
      <c r="R180" s="149">
        <v>12.0151866347161</v>
      </c>
      <c r="S180" s="138">
        <v>2.8149999999999999</v>
      </c>
      <c r="T180" s="138">
        <v>2.7050000000000001</v>
      </c>
      <c r="U180" s="138">
        <f>级配!F180/S180*E179</f>
        <v>7.1047957371225601E-2</v>
      </c>
      <c r="V180" s="138">
        <f>级配!F180/T180*E179</f>
        <v>7.3937153419593393E-2</v>
      </c>
      <c r="AE180" s="154">
        <v>7.1530418250950598</v>
      </c>
    </row>
    <row r="181" spans="1:32" ht="14.4">
      <c r="A181" s="276"/>
      <c r="B181" s="276"/>
      <c r="C181"/>
      <c r="F181" s="129" t="s">
        <v>240</v>
      </c>
      <c r="G181" s="170">
        <f>$E$29*($F$29*G172+$F$30*G173+$F$31*G174+$F$32*G175+$F$33*G176+$F$34*G177+$F$35*G178)+$E$36*($F$36*G179+$F$37*G180)</f>
        <v>100</v>
      </c>
      <c r="H181" s="170">
        <f>E172*(F172*H172+F173*H173+F174*H174+F175*H175+F176*H176+F177*H177+F178*H178)+E179*(F179*H179+F180*H180)</f>
        <v>100</v>
      </c>
      <c r="I181" s="170">
        <f>E172*(F172*I172+F173*I173+F174*I174+F175*I175+F176*I176+F177*I177+F178*I178)+E179*(F179*I179+F180*I180)</f>
        <v>100</v>
      </c>
      <c r="J181" s="170">
        <f>E172*(F172*J172+F173*J173+F174*J174+F175*J175+F176*J176+F177*J177+F178*J178)+E179*(F179*J179+F180*J180)</f>
        <v>93.992104554214194</v>
      </c>
      <c r="K181" s="170">
        <f>E172*(F172*K172+F173*K173+F174*K174+F175*K175+F176*K176+F177*K177+F178*K178)+E179*(F179*K179+F180*K180)</f>
        <v>73.698853737930506</v>
      </c>
      <c r="L181" s="170">
        <f>E172*(F172*L172+F173*L173+F174*L174+F175*L175+F176*L176+F177*L177+F178*L178)+E179*(F179*L179+F180*L180)</f>
        <v>37.962890080595898</v>
      </c>
      <c r="M181" s="170">
        <f>E172*(F172*M172+F173*M173+F174*M174+F175*M175+F176*M176+F177*M177+F178*M178)+E179*(F179*M179+F180*M180)</f>
        <v>24.705434803503099</v>
      </c>
      <c r="N181" s="170">
        <f>E172*(F172*N172+F173*N173+F174*N174+F175*N175+F176*N176+F177*N177+F178*N178)+E179*(F179*N179+F180*N180)</f>
        <v>18.6439144161168</v>
      </c>
      <c r="O181" s="170">
        <f>E172*(F172*O172+F173*O173+F174*O174+F175*O175+F176*O176+F177*O177+F178*O178)+E179*(F179*O179+F180*O180)</f>
        <v>15.410877577148399</v>
      </c>
      <c r="P181" s="170">
        <f>E172*(F172*P172+F173*P173+F174*P174+F175*P175+F176*P176+F177*P177+F178*P178)+E179*(F179*P179+F180*P180)</f>
        <v>11.0988831113863</v>
      </c>
      <c r="Q181" s="170">
        <f>E172*(F172*Q172+F173*Q173+F174*Q174+F175*Q175+F176*Q176+F177*Q177+F178*Q178)+E179*(F179*Q179+F180*Q180)</f>
        <v>7.78501775092528</v>
      </c>
      <c r="R181" s="170">
        <f>E172*(F172*R172+F173*R173+F174*R174+F175*R175+F176*R176+F177*R177+F178*R178)+E179*(F179*R179+F180*R180)</f>
        <v>5.5479585628017896</v>
      </c>
    </row>
    <row r="182" spans="1:32" ht="14.4">
      <c r="A182" s="276"/>
      <c r="B182" s="276"/>
      <c r="C182"/>
      <c r="F182" s="129" t="s">
        <v>241</v>
      </c>
      <c r="G182" s="149">
        <v>100</v>
      </c>
      <c r="H182" s="149">
        <v>100</v>
      </c>
      <c r="I182" s="129">
        <v>100</v>
      </c>
      <c r="J182" s="129">
        <v>100</v>
      </c>
      <c r="K182" s="129">
        <v>85</v>
      </c>
      <c r="L182" s="129">
        <v>68</v>
      </c>
      <c r="M182" s="129">
        <v>50</v>
      </c>
      <c r="N182" s="129">
        <v>38</v>
      </c>
      <c r="O182" s="129">
        <v>28</v>
      </c>
      <c r="P182" s="129">
        <v>20</v>
      </c>
      <c r="Q182" s="129">
        <v>15</v>
      </c>
      <c r="R182" s="129">
        <v>8</v>
      </c>
    </row>
    <row r="183" spans="1:32" ht="14.4">
      <c r="A183" s="276"/>
      <c r="B183" s="276"/>
      <c r="C183"/>
      <c r="F183" s="129" t="s">
        <v>242</v>
      </c>
      <c r="G183" s="149">
        <f t="shared" ref="G183" si="17">(G182+G184)/2</f>
        <v>100</v>
      </c>
      <c r="H183" s="149">
        <v>100</v>
      </c>
      <c r="I183" s="129">
        <v>100</v>
      </c>
      <c r="J183" s="129">
        <f t="shared" ref="J183:R183" si="18">(J182+J184)/2</f>
        <v>95</v>
      </c>
      <c r="K183" s="129">
        <f t="shared" si="18"/>
        <v>76.5</v>
      </c>
      <c r="L183" s="129">
        <f t="shared" si="18"/>
        <v>53</v>
      </c>
      <c r="M183" s="129">
        <f t="shared" si="18"/>
        <v>37</v>
      </c>
      <c r="N183" s="129">
        <f t="shared" si="18"/>
        <v>26.5</v>
      </c>
      <c r="O183" s="129">
        <f t="shared" si="18"/>
        <v>19</v>
      </c>
      <c r="P183" s="129">
        <f t="shared" si="18"/>
        <v>13.5</v>
      </c>
      <c r="Q183" s="129">
        <f t="shared" si="18"/>
        <v>10</v>
      </c>
      <c r="R183" s="129">
        <f t="shared" si="18"/>
        <v>6</v>
      </c>
    </row>
    <row r="184" spans="1:32" ht="14.4">
      <c r="A184" s="276"/>
      <c r="B184" s="276"/>
      <c r="C184"/>
      <c r="F184" s="129" t="s">
        <v>243</v>
      </c>
      <c r="G184" s="149">
        <v>100</v>
      </c>
      <c r="H184" s="149">
        <v>100</v>
      </c>
      <c r="I184" s="129">
        <v>100</v>
      </c>
      <c r="J184" s="129">
        <v>90</v>
      </c>
      <c r="K184" s="129">
        <v>68</v>
      </c>
      <c r="L184" s="129">
        <v>38</v>
      </c>
      <c r="M184" s="129">
        <v>24</v>
      </c>
      <c r="N184" s="129">
        <v>15</v>
      </c>
      <c r="O184" s="129">
        <v>10</v>
      </c>
      <c r="P184" s="129">
        <v>7</v>
      </c>
      <c r="Q184" s="129">
        <v>5</v>
      </c>
      <c r="R184" s="129">
        <v>4</v>
      </c>
    </row>
    <row r="185" spans="1:32" ht="14.4">
      <c r="A185" s="276" t="s">
        <v>95</v>
      </c>
      <c r="B185" s="276" t="s">
        <v>252</v>
      </c>
      <c r="C185" s="159" t="s">
        <v>61</v>
      </c>
      <c r="D185" s="168" t="s">
        <v>79</v>
      </c>
      <c r="E185" s="276">
        <v>0.5</v>
      </c>
      <c r="F185" s="129">
        <v>0.45</v>
      </c>
      <c r="G185" s="149">
        <v>100</v>
      </c>
      <c r="H185" s="149">
        <v>100</v>
      </c>
      <c r="I185" s="149">
        <v>100</v>
      </c>
      <c r="J185" s="149">
        <v>79.426666666666705</v>
      </c>
      <c r="K185" s="149">
        <v>23.62</v>
      </c>
      <c r="L185" s="149">
        <v>4.0166666666666702</v>
      </c>
      <c r="M185" s="149">
        <v>0.68666666666666698</v>
      </c>
      <c r="N185" s="149">
        <v>0.53666666666666896</v>
      </c>
      <c r="O185" s="149">
        <v>0.53666666666666896</v>
      </c>
      <c r="P185" s="149">
        <v>0.53666666666666896</v>
      </c>
      <c r="Q185" s="149">
        <v>0.53666666666666896</v>
      </c>
      <c r="R185" s="149">
        <v>0.53666666666666896</v>
      </c>
      <c r="S185" s="138">
        <v>2.778</v>
      </c>
      <c r="T185" s="138">
        <v>2.7130000000000001</v>
      </c>
      <c r="U185" s="138">
        <f>级配!F185/S185*E185</f>
        <v>8.0993520518358494E-2</v>
      </c>
      <c r="V185" s="138">
        <f>级配!F185/T185*E185</f>
        <v>8.2934021378547704E-2</v>
      </c>
      <c r="W185" s="138">
        <f>1/SUM(U185:U193)</f>
        <v>2.8016181899796</v>
      </c>
      <c r="X185" s="153">
        <v>0.4</v>
      </c>
      <c r="Y185" s="138">
        <f>0.033*X185*X185-0.2936*X185+0.9336</f>
        <v>0.82143999999999995</v>
      </c>
      <c r="Z185" s="138">
        <f>0.033*Y185*Y185-0.2936*Y185+0.9336</f>
        <v>0.71469241722879995</v>
      </c>
      <c r="AA185" s="158">
        <v>2.6026707551933899</v>
      </c>
      <c r="AB185" s="138">
        <f>1/SUM(V185:V193)</f>
        <v>2.7113688720840199</v>
      </c>
      <c r="AC185" s="160">
        <v>4.8</v>
      </c>
      <c r="AD185" s="138">
        <f>100*AC185/(100+AC185)</f>
        <v>4.5801526717557302</v>
      </c>
      <c r="AE185" s="156"/>
      <c r="AF185" s="156">
        <f>AC185-E192*F192*AE192-E192*F193*AE193</f>
        <v>2.0382744493193998</v>
      </c>
    </row>
    <row r="186" spans="1:32" ht="14.4">
      <c r="A186" s="276"/>
      <c r="B186" s="276"/>
      <c r="C186" s="159" t="s">
        <v>61</v>
      </c>
      <c r="D186" s="168" t="s">
        <v>63</v>
      </c>
      <c r="E186" s="276"/>
      <c r="F186" s="129">
        <v>0.35</v>
      </c>
      <c r="G186" s="149">
        <v>100</v>
      </c>
      <c r="H186" s="149">
        <v>100</v>
      </c>
      <c r="I186" s="149">
        <v>100</v>
      </c>
      <c r="J186" s="149">
        <v>100</v>
      </c>
      <c r="K186" s="149">
        <v>98.037499999999994</v>
      </c>
      <c r="L186" s="149">
        <v>23.737500000000001</v>
      </c>
      <c r="M186" s="149">
        <v>3.7416666666666698</v>
      </c>
      <c r="N186" s="149">
        <v>1.63333333333333</v>
      </c>
      <c r="O186" s="149">
        <v>1.2666666666666599</v>
      </c>
      <c r="P186" s="149">
        <v>1.2666666666666599</v>
      </c>
      <c r="Q186" s="149">
        <v>1.2666666666666599</v>
      </c>
      <c r="R186" s="149">
        <v>1.2666666666666599</v>
      </c>
      <c r="S186" s="138">
        <v>2.7759999999999998</v>
      </c>
      <c r="T186" s="138">
        <v>2.7080000000000002</v>
      </c>
      <c r="U186" s="138">
        <f>级配!F186/S186*E185</f>
        <v>6.3040345821325602E-2</v>
      </c>
      <c r="V186" s="138">
        <f>级配!F186/T186*E185</f>
        <v>6.4623338257016202E-2</v>
      </c>
      <c r="W186" s="138"/>
      <c r="X186" s="138"/>
      <c r="Y186" s="151"/>
      <c r="Z186" s="151"/>
      <c r="AA186" s="158"/>
      <c r="AB186" s="138"/>
      <c r="AC186" s="160">
        <v>4.5999999999999996</v>
      </c>
      <c r="AD186" s="138">
        <f>100*AC186/(100+AC186)</f>
        <v>4.3977055449330802</v>
      </c>
      <c r="AE186" s="156"/>
    </row>
    <row r="187" spans="1:32">
      <c r="A187" s="276"/>
      <c r="B187" s="276"/>
      <c r="C187" s="159" t="s">
        <v>82</v>
      </c>
      <c r="D187" s="168" t="s">
        <v>65</v>
      </c>
      <c r="E187" s="276"/>
      <c r="F187" s="129">
        <v>0.2</v>
      </c>
      <c r="G187" s="149">
        <v>100</v>
      </c>
      <c r="H187" s="149">
        <v>100</v>
      </c>
      <c r="I187" s="149">
        <v>100</v>
      </c>
      <c r="J187" s="149">
        <v>100</v>
      </c>
      <c r="K187" s="149">
        <v>100</v>
      </c>
      <c r="L187" s="149">
        <v>99.84</v>
      </c>
      <c r="M187" s="149">
        <v>82.034999999999997</v>
      </c>
      <c r="N187" s="149">
        <v>61.365000000000002</v>
      </c>
      <c r="O187" s="149">
        <v>48.57</v>
      </c>
      <c r="P187" s="149">
        <v>30.76</v>
      </c>
      <c r="Q187" s="149">
        <v>18.524999999999999</v>
      </c>
      <c r="R187" s="149">
        <v>11.77</v>
      </c>
      <c r="S187" s="138">
        <v>2.71</v>
      </c>
      <c r="T187" s="138">
        <v>2.62</v>
      </c>
      <c r="U187" s="138">
        <f>级配!F187/S187*E185</f>
        <v>3.6900369003690002E-2</v>
      </c>
      <c r="V187" s="138">
        <f>级配!F187/T187*E185</f>
        <v>3.8167938931297697E-2</v>
      </c>
    </row>
    <row r="188" spans="1:32" ht="14.4">
      <c r="A188" s="276"/>
      <c r="B188" s="276"/>
      <c r="C188" s="171" t="s">
        <v>99</v>
      </c>
      <c r="D188" s="168" t="s">
        <v>91</v>
      </c>
      <c r="E188" s="276"/>
      <c r="F188" s="129">
        <v>0</v>
      </c>
      <c r="G188" s="149">
        <v>100</v>
      </c>
      <c r="H188" s="149">
        <v>100</v>
      </c>
      <c r="I188" s="149">
        <v>100</v>
      </c>
      <c r="J188" s="149">
        <v>100</v>
      </c>
      <c r="K188" s="149">
        <v>100</v>
      </c>
      <c r="L188" s="149">
        <v>100</v>
      </c>
      <c r="M188" s="149">
        <v>100</v>
      </c>
      <c r="N188" s="149">
        <v>100</v>
      </c>
      <c r="O188" s="149">
        <v>100</v>
      </c>
      <c r="P188" s="149">
        <v>97.4</v>
      </c>
      <c r="Q188" s="149">
        <v>90.2</v>
      </c>
      <c r="R188" s="149">
        <v>78.2</v>
      </c>
      <c r="S188" s="138">
        <v>2.6789999999999998</v>
      </c>
      <c r="T188" s="138">
        <v>2.6789999999999998</v>
      </c>
      <c r="U188" s="138">
        <f>级配!F188/S188*E185</f>
        <v>0</v>
      </c>
      <c r="V188" s="138">
        <f>级配!F188/T188*E185</f>
        <v>0</v>
      </c>
    </row>
    <row r="189" spans="1:32" ht="14.4">
      <c r="A189" s="276"/>
      <c r="B189" s="276"/>
      <c r="C189" s="164" t="s">
        <v>99</v>
      </c>
      <c r="D189" s="168" t="s">
        <v>91</v>
      </c>
      <c r="E189" s="276"/>
      <c r="F189" s="129">
        <v>0</v>
      </c>
      <c r="G189" s="149">
        <v>100</v>
      </c>
      <c r="H189" s="149">
        <v>100</v>
      </c>
      <c r="I189" s="149">
        <v>100</v>
      </c>
      <c r="J189" s="149">
        <v>100</v>
      </c>
      <c r="K189" s="149">
        <v>100</v>
      </c>
      <c r="L189" s="149">
        <v>100</v>
      </c>
      <c r="M189" s="149">
        <v>100</v>
      </c>
      <c r="N189" s="149">
        <v>100</v>
      </c>
      <c r="O189" s="149">
        <v>100</v>
      </c>
      <c r="P189" s="149">
        <v>97.4</v>
      </c>
      <c r="Q189" s="149">
        <v>90.2</v>
      </c>
      <c r="R189" s="149">
        <v>78.2</v>
      </c>
      <c r="S189" s="138">
        <v>2.6789999999999998</v>
      </c>
      <c r="T189" s="138">
        <v>2.6789999999999998</v>
      </c>
      <c r="U189" s="138">
        <f>级配!F189/S189*E185</f>
        <v>0</v>
      </c>
      <c r="V189" s="138">
        <f>级配!F189/T189*E185</f>
        <v>0</v>
      </c>
    </row>
    <row r="190" spans="1:32" ht="14.4">
      <c r="A190" s="276"/>
      <c r="B190" s="276"/>
      <c r="C190" s="164" t="s">
        <v>99</v>
      </c>
      <c r="D190" s="168" t="s">
        <v>91</v>
      </c>
      <c r="E190" s="276"/>
      <c r="F190" s="129">
        <v>0</v>
      </c>
      <c r="G190" s="149">
        <v>100</v>
      </c>
      <c r="H190" s="149">
        <v>100</v>
      </c>
      <c r="I190" s="149">
        <v>100</v>
      </c>
      <c r="J190" s="149">
        <v>100</v>
      </c>
      <c r="K190" s="149">
        <v>100</v>
      </c>
      <c r="L190" s="149">
        <v>100</v>
      </c>
      <c r="M190" s="149">
        <v>81.364999999999995</v>
      </c>
      <c r="N190" s="149">
        <v>59.195</v>
      </c>
      <c r="O190" s="149">
        <v>34.704999999999998</v>
      </c>
      <c r="P190" s="149">
        <v>19.21</v>
      </c>
      <c r="Q190" s="149">
        <v>13.9</v>
      </c>
      <c r="R190" s="149">
        <v>11.54</v>
      </c>
      <c r="S190" s="138">
        <v>2.72</v>
      </c>
      <c r="T190" s="138">
        <v>2.65</v>
      </c>
      <c r="U190" s="138">
        <f>级配!F190/S190*E185</f>
        <v>0</v>
      </c>
      <c r="V190" s="138">
        <f>级配!F190/T190*E185</f>
        <v>0</v>
      </c>
    </row>
    <row r="191" spans="1:32" ht="14.4">
      <c r="A191" s="276"/>
      <c r="B191" s="276"/>
      <c r="C191" s="164" t="s">
        <v>99</v>
      </c>
      <c r="D191" s="157" t="s">
        <v>91</v>
      </c>
      <c r="E191" s="276"/>
      <c r="F191" s="129">
        <v>0</v>
      </c>
      <c r="G191" s="149">
        <v>100</v>
      </c>
      <c r="H191" s="149">
        <v>100</v>
      </c>
      <c r="I191" s="149">
        <v>100</v>
      </c>
      <c r="J191" s="149">
        <v>100</v>
      </c>
      <c r="K191" s="149">
        <v>100</v>
      </c>
      <c r="L191" s="149">
        <v>100</v>
      </c>
      <c r="M191" s="149">
        <v>100</v>
      </c>
      <c r="N191" s="149">
        <v>100</v>
      </c>
      <c r="O191" s="149">
        <v>100</v>
      </c>
      <c r="P191" s="149">
        <v>99.6875</v>
      </c>
      <c r="Q191" s="149">
        <v>97.112499999999997</v>
      </c>
      <c r="R191" s="149">
        <v>76.612499999999997</v>
      </c>
      <c r="S191" s="138">
        <v>2.8519999999999999</v>
      </c>
      <c r="T191" s="138">
        <v>2.7229999999999999</v>
      </c>
      <c r="U191" s="138">
        <f>级配!F191/S191*E185</f>
        <v>0</v>
      </c>
      <c r="V191" s="138">
        <f>级配!F191/T191*E185</f>
        <v>0</v>
      </c>
    </row>
    <row r="192" spans="1:32">
      <c r="A192" s="276"/>
      <c r="B192" s="276"/>
      <c r="C192" s="159" t="s">
        <v>74</v>
      </c>
      <c r="D192" s="168" t="s">
        <v>96</v>
      </c>
      <c r="E192" s="276">
        <v>0.5</v>
      </c>
      <c r="F192" s="129">
        <v>0.65</v>
      </c>
      <c r="G192" s="149">
        <v>100</v>
      </c>
      <c r="H192" s="149">
        <v>100</v>
      </c>
      <c r="I192" s="149">
        <v>100</v>
      </c>
      <c r="J192" s="149">
        <v>95.403681847380696</v>
      </c>
      <c r="K192" s="149">
        <v>70.922845793101601</v>
      </c>
      <c r="L192" s="149">
        <v>26.2313111796756</v>
      </c>
      <c r="M192" s="149">
        <v>18.670139824994099</v>
      </c>
      <c r="N192" s="149">
        <v>15.2530437980742</v>
      </c>
      <c r="O192" s="149">
        <v>13.337980575609</v>
      </c>
      <c r="P192" s="149">
        <v>10.3716920122351</v>
      </c>
      <c r="Q192" s="149">
        <v>7.4989307598344999</v>
      </c>
      <c r="R192" s="149">
        <v>5.1864596750841097</v>
      </c>
      <c r="S192" s="138">
        <v>2.855</v>
      </c>
      <c r="T192" s="138">
        <v>2.7450000000000001</v>
      </c>
      <c r="U192" s="138">
        <f>级配!F192/S192*E192</f>
        <v>0.113835376532399</v>
      </c>
      <c r="V192" s="138">
        <f>级配!F192/T192*E192</f>
        <v>0.1183970856102</v>
      </c>
      <c r="AE192" s="154">
        <v>4.6459791731968103</v>
      </c>
    </row>
    <row r="193" spans="1:32">
      <c r="A193" s="276"/>
      <c r="B193" s="276"/>
      <c r="C193" s="159" t="s">
        <v>76</v>
      </c>
      <c r="D193" s="168" t="s">
        <v>97</v>
      </c>
      <c r="E193" s="276"/>
      <c r="F193" s="129">
        <v>0.35</v>
      </c>
      <c r="G193" s="149">
        <v>100</v>
      </c>
      <c r="H193" s="149">
        <v>100</v>
      </c>
      <c r="I193" s="149">
        <v>100</v>
      </c>
      <c r="J193" s="149">
        <v>100</v>
      </c>
      <c r="K193" s="149">
        <v>100</v>
      </c>
      <c r="L193" s="149">
        <v>84.767233633466006</v>
      </c>
      <c r="M193" s="149">
        <v>59.795547613357499</v>
      </c>
      <c r="N193" s="149">
        <v>44.125173050139303</v>
      </c>
      <c r="O193" s="149">
        <v>35.677500355661998</v>
      </c>
      <c r="P193" s="149">
        <v>24.865460871911999</v>
      </c>
      <c r="Q193" s="149">
        <v>17.067525948208001</v>
      </c>
      <c r="R193" s="149">
        <v>12.0151866347161</v>
      </c>
      <c r="S193" s="138">
        <v>2.8149999999999999</v>
      </c>
      <c r="T193" s="138">
        <v>2.7050000000000001</v>
      </c>
      <c r="U193" s="138">
        <f>级配!F193/S193*E192</f>
        <v>6.2166962699822401E-2</v>
      </c>
      <c r="V193" s="138">
        <f>级配!F193/T193*E192</f>
        <v>6.4695009242144205E-2</v>
      </c>
      <c r="AE193" s="154">
        <v>7.1530418250950598</v>
      </c>
    </row>
    <row r="194" spans="1:32" ht="14.4">
      <c r="A194" s="276"/>
      <c r="B194" s="276"/>
      <c r="C194"/>
      <c r="F194" s="129" t="s">
        <v>240</v>
      </c>
      <c r="G194" s="170">
        <f>$E$29*($F$29*G185+$F$30*G186+$F$31*G187+$F$32*G188+$F$33*G189+$F$34*G190+$F$35*G191)+$E$36*($F$36*G192+$F$37*G193)</f>
        <v>100</v>
      </c>
      <c r="H194" s="170">
        <f>E185*(F185*H185+F186*H186+F187*H187+F188*H188+F189*H189+F190*H190+F191*H191)+E192*(F192*H192+F193*H193)</f>
        <v>100</v>
      </c>
      <c r="I194" s="170">
        <f>E185*(F185*I185+F186*I186+F187*I187+F188*I188+F189*I189+F190*I190+F191*I191)+E192*(F192*I192+F193*I193)</f>
        <v>100</v>
      </c>
      <c r="J194" s="170">
        <f>E185*(F185*J185+F186*J186+F187*J187+F188*J188+F189*J189+F190*J190+F191*J191)+E192*(F192*J192+F193*J193)</f>
        <v>93.877196600398705</v>
      </c>
      <c r="K194" s="170">
        <f>E185*(F185*K185+F186*K186+F187*K187+F188*K188+F189*K189+F190*K190+F191*K191)+E192*(F192*K192+F193*K193)</f>
        <v>73.020987382757994</v>
      </c>
      <c r="L194" s="170">
        <f>E185*(F185*L185+F186*L186+F187*L187+F188*L188+F189*L189+F190*L190+F191*L191)+E192*(F192*L192+F193*L193)</f>
        <v>38.401254519251097</v>
      </c>
      <c r="M194" s="170">
        <f>E185*(F185*M185+F186*M186+F187*M187+F188*M188+F189*M189+F190*M190+F191*M191)+E192*(F192*M192+F193*M193)</f>
        <v>25.544807942127299</v>
      </c>
      <c r="N194" s="170">
        <f>E185*(F185*N185+F186*N186+F187*N187+F188*N188+F189*N189+F190*N190+F191*N191)+E192*(F192*N192+F193*N193)</f>
        <v>19.222227851481801</v>
      </c>
      <c r="O194" s="170">
        <f>E185*(F185*O185+F186*O186+F187*O187+F188*O188+F189*O189+F190*O190+F191*O191)+E192*(F192*O192+F193*O193)</f>
        <v>15.7778229159804</v>
      </c>
      <c r="P194" s="170">
        <f>E185*(F185*P185+F186*P186+F187*P187+F188*P188+F189*P189+F190*P190+F191*P191)+E192*(F192*P192+F193*P193)</f>
        <v>11.1406722232277</v>
      </c>
      <c r="Q194" s="170">
        <f>E185*(F185*Q185+F186*Q186+F187*Q187+F188*Q188+F189*Q189+F190*Q190+F191*Q191)+E192*(F192*Q192+F193*Q193)</f>
        <v>7.6188862045492796</v>
      </c>
      <c r="R194" s="170">
        <f>E185*(F185*R185+F186*R186+F187*R187+F188*R188+F189*R189+F190*R190+F191*R191)+E192*(F192*R192+F193*R193)</f>
        <v>5.3076737221443198</v>
      </c>
    </row>
    <row r="195" spans="1:32" ht="14.4">
      <c r="A195" s="276"/>
      <c r="B195" s="276"/>
      <c r="C195"/>
      <c r="F195" s="129" t="s">
        <v>241</v>
      </c>
      <c r="G195" s="149">
        <v>100</v>
      </c>
      <c r="H195" s="149">
        <v>100</v>
      </c>
      <c r="I195" s="129">
        <v>100</v>
      </c>
      <c r="J195" s="129">
        <v>100</v>
      </c>
      <c r="K195" s="129">
        <v>85</v>
      </c>
      <c r="L195" s="129">
        <v>68</v>
      </c>
      <c r="M195" s="129">
        <v>50</v>
      </c>
      <c r="N195" s="129">
        <v>38</v>
      </c>
      <c r="O195" s="129">
        <v>28</v>
      </c>
      <c r="P195" s="129">
        <v>20</v>
      </c>
      <c r="Q195" s="129">
        <v>15</v>
      </c>
      <c r="R195" s="129">
        <v>8</v>
      </c>
    </row>
    <row r="196" spans="1:32" ht="14.4">
      <c r="A196" s="276"/>
      <c r="B196" s="276"/>
      <c r="C196"/>
      <c r="F196" s="129" t="s">
        <v>242</v>
      </c>
      <c r="G196" s="149">
        <f t="shared" ref="G196" si="19">(G195+G197)/2</f>
        <v>100</v>
      </c>
      <c r="H196" s="149">
        <v>100</v>
      </c>
      <c r="I196" s="129">
        <v>100</v>
      </c>
      <c r="J196" s="129">
        <f t="shared" ref="J196:R196" si="20">(J195+J197)/2</f>
        <v>95</v>
      </c>
      <c r="K196" s="129">
        <f t="shared" si="20"/>
        <v>76.5</v>
      </c>
      <c r="L196" s="129">
        <f t="shared" si="20"/>
        <v>53</v>
      </c>
      <c r="M196" s="129">
        <f t="shared" si="20"/>
        <v>37</v>
      </c>
      <c r="N196" s="129">
        <f t="shared" si="20"/>
        <v>26.5</v>
      </c>
      <c r="O196" s="129">
        <f t="shared" si="20"/>
        <v>19</v>
      </c>
      <c r="P196" s="129">
        <f t="shared" si="20"/>
        <v>13.5</v>
      </c>
      <c r="Q196" s="129">
        <f t="shared" si="20"/>
        <v>10</v>
      </c>
      <c r="R196" s="129">
        <f t="shared" si="20"/>
        <v>6</v>
      </c>
    </row>
    <row r="197" spans="1:32" ht="14.4">
      <c r="A197" s="276"/>
      <c r="B197" s="276"/>
      <c r="C197"/>
      <c r="F197" s="129" t="s">
        <v>243</v>
      </c>
      <c r="G197" s="149">
        <v>100</v>
      </c>
      <c r="H197" s="149">
        <v>100</v>
      </c>
      <c r="I197" s="129">
        <v>100</v>
      </c>
      <c r="J197" s="129">
        <v>90</v>
      </c>
      <c r="K197" s="129">
        <v>68</v>
      </c>
      <c r="L197" s="129">
        <v>38</v>
      </c>
      <c r="M197" s="129">
        <v>24</v>
      </c>
      <c r="N197" s="129">
        <v>15</v>
      </c>
      <c r="O197" s="129">
        <v>10</v>
      </c>
      <c r="P197" s="129">
        <v>7</v>
      </c>
      <c r="Q197" s="129">
        <v>5</v>
      </c>
      <c r="R197" s="129">
        <v>4</v>
      </c>
    </row>
    <row r="198" spans="1:32">
      <c r="A198" s="276" t="s">
        <v>98</v>
      </c>
      <c r="B198" s="276" t="s">
        <v>245</v>
      </c>
      <c r="C198" s="159" t="s">
        <v>81</v>
      </c>
      <c r="D198" s="157" t="s">
        <v>62</v>
      </c>
      <c r="E198" s="276">
        <v>0.5</v>
      </c>
      <c r="F198" s="129">
        <v>0.6</v>
      </c>
      <c r="G198" s="149">
        <v>100</v>
      </c>
      <c r="H198" s="149">
        <v>93.5</v>
      </c>
      <c r="I198" s="149">
        <v>66.400000000000006</v>
      </c>
      <c r="J198" s="149">
        <v>28.4</v>
      </c>
      <c r="K198" s="149">
        <v>1.7</v>
      </c>
      <c r="L198" s="149">
        <v>0.8</v>
      </c>
      <c r="M198" s="149">
        <v>0.8</v>
      </c>
      <c r="N198" s="149">
        <v>0.8</v>
      </c>
      <c r="O198" s="149">
        <v>0.8</v>
      </c>
      <c r="P198" s="149">
        <v>0.8</v>
      </c>
      <c r="Q198" s="149">
        <v>0.8</v>
      </c>
      <c r="R198" s="149">
        <v>0.8</v>
      </c>
      <c r="S198" s="138">
        <v>2.7709999999999999</v>
      </c>
      <c r="T198" s="138">
        <v>2.7010000000000001</v>
      </c>
      <c r="U198" s="138">
        <f>级配!F198/S198*E198</f>
        <v>0.10826416456153</v>
      </c>
      <c r="V198" s="138">
        <f>级配!F198/T198*E198</f>
        <v>0.111069974083673</v>
      </c>
      <c r="W198" s="138">
        <f>1/SUM(U198:U206)</f>
        <v>2.8046305831760101</v>
      </c>
      <c r="X198" s="153">
        <v>0.4</v>
      </c>
      <c r="Y198" s="138">
        <f>0.033*X198*X198-0.2936*X198+0.9336</f>
        <v>0.82143999999999995</v>
      </c>
      <c r="Z198" s="138">
        <f>0.033*Y198*Y198-0.2936*Y198+0.9336</f>
        <v>0.71469241722879995</v>
      </c>
      <c r="AA198" s="158">
        <v>2.5493203903511299</v>
      </c>
      <c r="AB198" s="138">
        <f>1/SUM(V198:V206)</f>
        <v>2.7140785265385499</v>
      </c>
      <c r="AC198" s="139">
        <v>4.2</v>
      </c>
      <c r="AD198" s="138">
        <f>100*AC198/(100+AC198)</f>
        <v>4.0307101727447199</v>
      </c>
      <c r="AE198" s="156"/>
      <c r="AF198" s="156">
        <f>AC198-E204*F204*AE204-E204*F205*AE205-E204*F206*AE206</f>
        <v>1.6357864129000499</v>
      </c>
    </row>
    <row r="199" spans="1:32">
      <c r="A199" s="276"/>
      <c r="B199" s="276"/>
      <c r="C199" s="159" t="s">
        <v>81</v>
      </c>
      <c r="D199" s="157" t="s">
        <v>63</v>
      </c>
      <c r="E199" s="276"/>
      <c r="F199" s="129">
        <v>0.15</v>
      </c>
      <c r="G199" s="149">
        <v>100</v>
      </c>
      <c r="H199" s="149">
        <v>100</v>
      </c>
      <c r="I199" s="149">
        <v>100</v>
      </c>
      <c r="J199" s="149">
        <v>100</v>
      </c>
      <c r="K199" s="149">
        <v>94.4</v>
      </c>
      <c r="L199" s="149">
        <v>6</v>
      </c>
      <c r="M199" s="149">
        <v>0.4</v>
      </c>
      <c r="N199" s="149">
        <v>0.4</v>
      </c>
      <c r="O199" s="149">
        <v>0.4</v>
      </c>
      <c r="P199" s="149">
        <v>0.4</v>
      </c>
      <c r="Q199" s="149">
        <v>0.4</v>
      </c>
      <c r="R199" s="149">
        <v>0.4</v>
      </c>
      <c r="S199" s="138">
        <v>2.7519999999999998</v>
      </c>
      <c r="T199" s="138">
        <v>2.6819999999999999</v>
      </c>
      <c r="U199" s="138">
        <f>级配!F199/S199*E198</f>
        <v>2.72529069767442E-2</v>
      </c>
      <c r="V199" s="138">
        <f>级配!F199/T199*E198</f>
        <v>2.7964205816554798E-2</v>
      </c>
      <c r="W199" s="138"/>
      <c r="X199" s="138"/>
      <c r="Y199" s="151"/>
      <c r="Z199" s="151"/>
      <c r="AA199" s="158"/>
      <c r="AB199" s="138"/>
      <c r="AC199" s="139"/>
      <c r="AD199" s="138"/>
      <c r="AE199" s="156"/>
      <c r="AF199" s="156"/>
    </row>
    <row r="200" spans="1:32">
      <c r="A200" s="276"/>
      <c r="B200" s="276"/>
      <c r="C200" s="159" t="s">
        <v>82</v>
      </c>
      <c r="D200" s="157" t="s">
        <v>65</v>
      </c>
      <c r="E200" s="276"/>
      <c r="F200" s="129">
        <v>0.17</v>
      </c>
      <c r="G200" s="149">
        <v>100</v>
      </c>
      <c r="H200" s="149">
        <v>100</v>
      </c>
      <c r="I200" s="149">
        <v>100</v>
      </c>
      <c r="J200" s="149">
        <v>100</v>
      </c>
      <c r="K200" s="149">
        <v>100</v>
      </c>
      <c r="L200" s="149">
        <v>98.1</v>
      </c>
      <c r="M200" s="149">
        <v>62.4</v>
      </c>
      <c r="N200" s="149">
        <v>37.299999999999997</v>
      </c>
      <c r="O200" s="149">
        <v>26.4</v>
      </c>
      <c r="P200" s="149">
        <v>16.7</v>
      </c>
      <c r="Q200" s="149">
        <v>11.7</v>
      </c>
      <c r="R200" s="149">
        <v>8.5</v>
      </c>
      <c r="S200" s="138">
        <v>2.7269999999999999</v>
      </c>
      <c r="T200" s="138">
        <v>2.6320000000000001</v>
      </c>
      <c r="U200" s="138">
        <f>级配!F200/S200*E198</f>
        <v>3.1169783645031202E-2</v>
      </c>
      <c r="V200" s="138">
        <f>级配!F200/T200*E198</f>
        <v>3.2294832826747701E-2</v>
      </c>
      <c r="AC200" s="2"/>
    </row>
    <row r="201" spans="1:32">
      <c r="A201" s="276"/>
      <c r="B201" s="276"/>
      <c r="C201" s="159" t="s">
        <v>99</v>
      </c>
      <c r="D201" s="157" t="s">
        <v>73</v>
      </c>
      <c r="E201" s="276"/>
      <c r="F201" s="129">
        <v>0.08</v>
      </c>
      <c r="G201" s="149">
        <v>100</v>
      </c>
      <c r="H201" s="149">
        <v>100</v>
      </c>
      <c r="I201" s="149">
        <v>100</v>
      </c>
      <c r="J201" s="149">
        <v>100</v>
      </c>
      <c r="K201" s="149">
        <v>100</v>
      </c>
      <c r="L201" s="149">
        <v>100</v>
      </c>
      <c r="M201" s="149">
        <v>100</v>
      </c>
      <c r="N201" s="149">
        <v>100</v>
      </c>
      <c r="O201" s="149">
        <v>100</v>
      </c>
      <c r="P201" s="149">
        <v>97.4</v>
      </c>
      <c r="Q201" s="149">
        <v>90.2</v>
      </c>
      <c r="R201" s="149">
        <v>78.2</v>
      </c>
      <c r="S201" s="138">
        <v>2.6789999999999998</v>
      </c>
      <c r="T201" s="138">
        <v>2.6789999999999998</v>
      </c>
      <c r="U201" s="138">
        <f>级配!F201/S201*E198</f>
        <v>1.4930944382232201E-2</v>
      </c>
      <c r="V201" s="138">
        <f>级配!F201/T201*E198</f>
        <v>1.4930944382232201E-2</v>
      </c>
      <c r="AC201" s="2"/>
    </row>
    <row r="202" spans="1:32" ht="14.4">
      <c r="A202" s="276"/>
      <c r="B202" s="276"/>
      <c r="C202" s="164" t="s">
        <v>81</v>
      </c>
      <c r="D202" s="157" t="s">
        <v>89</v>
      </c>
      <c r="E202" s="276"/>
      <c r="F202" s="129">
        <v>0</v>
      </c>
      <c r="G202" s="149">
        <v>100</v>
      </c>
      <c r="H202" s="149">
        <v>100</v>
      </c>
      <c r="I202" s="149">
        <v>100</v>
      </c>
      <c r="J202" s="149">
        <v>100</v>
      </c>
      <c r="K202" s="149">
        <v>100</v>
      </c>
      <c r="L202" s="149">
        <v>70.359936297776699</v>
      </c>
      <c r="M202" s="149">
        <v>8.4791666666666696</v>
      </c>
      <c r="N202" s="149">
        <v>4.50416666666667</v>
      </c>
      <c r="O202" s="149">
        <v>2.56666666666667</v>
      </c>
      <c r="P202" s="149">
        <v>1.8375000000000099</v>
      </c>
      <c r="Q202" s="149">
        <v>1.5875000000000099</v>
      </c>
      <c r="R202" s="149">
        <v>1.4208333333333401</v>
      </c>
      <c r="S202" s="138">
        <v>2.722</v>
      </c>
      <c r="T202" s="138">
        <v>2.6509999999999998</v>
      </c>
      <c r="U202" s="138">
        <f>级配!F202/S202*E198</f>
        <v>0</v>
      </c>
      <c r="V202" s="138">
        <f>级配!F202/T202*E198</f>
        <v>0</v>
      </c>
      <c r="AC202" s="2"/>
    </row>
    <row r="203" spans="1:32">
      <c r="A203" s="276"/>
      <c r="B203" s="276"/>
      <c r="C203" s="159" t="s">
        <v>82</v>
      </c>
      <c r="D203" s="157" t="s">
        <v>90</v>
      </c>
      <c r="E203" s="276"/>
      <c r="F203" s="129">
        <v>0</v>
      </c>
      <c r="G203" s="149">
        <v>100</v>
      </c>
      <c r="H203" s="149">
        <v>100</v>
      </c>
      <c r="I203" s="149">
        <v>100</v>
      </c>
      <c r="J203" s="149">
        <v>100</v>
      </c>
      <c r="K203" s="149">
        <v>100</v>
      </c>
      <c r="L203" s="149">
        <v>100</v>
      </c>
      <c r="M203" s="149">
        <v>81.364999999999995</v>
      </c>
      <c r="N203" s="149">
        <v>59.195</v>
      </c>
      <c r="O203" s="149">
        <v>34.704999999999998</v>
      </c>
      <c r="P203" s="149">
        <v>19.21</v>
      </c>
      <c r="Q203" s="149">
        <v>13.9</v>
      </c>
      <c r="R203" s="149">
        <v>11.54</v>
      </c>
      <c r="S203" s="138">
        <v>2.72</v>
      </c>
      <c r="T203" s="138">
        <v>2.65</v>
      </c>
      <c r="U203" s="138">
        <f>级配!F203/S203*E198</f>
        <v>0</v>
      </c>
      <c r="V203" s="138">
        <f>级配!F203/T203*E198</f>
        <v>0</v>
      </c>
      <c r="AC203" s="2"/>
    </row>
    <row r="204" spans="1:32" ht="14.4">
      <c r="A204" s="276"/>
      <c r="B204" s="276"/>
      <c r="C204" s="164" t="s">
        <v>74</v>
      </c>
      <c r="D204" s="157" t="s">
        <v>62</v>
      </c>
      <c r="E204" s="276">
        <v>0.5</v>
      </c>
      <c r="F204" s="129">
        <v>0.5</v>
      </c>
      <c r="G204" s="149">
        <v>100</v>
      </c>
      <c r="H204" s="149">
        <v>100</v>
      </c>
      <c r="I204" s="149">
        <v>98.7</v>
      </c>
      <c r="J204" s="149">
        <v>87.2</v>
      </c>
      <c r="K204" s="149">
        <v>52.7</v>
      </c>
      <c r="L204" s="149">
        <v>22.4</v>
      </c>
      <c r="M204" s="149">
        <v>16.100000000000001</v>
      </c>
      <c r="N204" s="149">
        <v>13.1</v>
      </c>
      <c r="O204" s="149">
        <v>11.4</v>
      </c>
      <c r="P204" s="149">
        <v>8.9</v>
      </c>
      <c r="Q204" s="149">
        <v>6.2</v>
      </c>
      <c r="R204" s="149">
        <v>3.7</v>
      </c>
      <c r="S204" s="138">
        <v>2.8570000000000002</v>
      </c>
      <c r="T204" s="138">
        <v>2.7450000000000001</v>
      </c>
      <c r="U204" s="138">
        <f>级配!F204/S204*E204</f>
        <v>8.7504375218760894E-2</v>
      </c>
      <c r="V204" s="138">
        <f>级配!F204/T204*E204</f>
        <v>9.1074681238615701E-2</v>
      </c>
      <c r="AC204" s="2"/>
      <c r="AE204" s="154">
        <v>4.5695274307441602</v>
      </c>
    </row>
    <row r="205" spans="1:32">
      <c r="A205" s="276"/>
      <c r="B205" s="276"/>
      <c r="C205" s="159" t="s">
        <v>74</v>
      </c>
      <c r="D205" s="168" t="s">
        <v>63</v>
      </c>
      <c r="E205" s="276"/>
      <c r="F205" s="129">
        <v>0.3</v>
      </c>
      <c r="G205" s="149">
        <v>100</v>
      </c>
      <c r="H205" s="149">
        <v>100</v>
      </c>
      <c r="I205" s="149">
        <v>100</v>
      </c>
      <c r="J205" s="149">
        <v>100</v>
      </c>
      <c r="K205" s="149">
        <v>97.5</v>
      </c>
      <c r="L205" s="149">
        <v>42.1</v>
      </c>
      <c r="M205" s="149">
        <v>19.3</v>
      </c>
      <c r="N205" s="149">
        <v>14.7</v>
      </c>
      <c r="O205" s="149">
        <v>12.6</v>
      </c>
      <c r="P205" s="149">
        <v>9.3000000000000007</v>
      </c>
      <c r="Q205" s="149">
        <v>7.1</v>
      </c>
      <c r="R205" s="149">
        <v>4.8</v>
      </c>
      <c r="S205" s="138">
        <v>2.8570000000000002</v>
      </c>
      <c r="T205" s="138">
        <v>2.7450000000000001</v>
      </c>
      <c r="U205" s="138">
        <f>级配!F205/S205*E204</f>
        <v>5.25026251312566E-2</v>
      </c>
      <c r="V205" s="138">
        <f>级配!F205/T205*E204</f>
        <v>5.4644808743169397E-2</v>
      </c>
      <c r="AC205" s="2"/>
      <c r="AE205" s="154">
        <v>3.4447088031447102</v>
      </c>
    </row>
    <row r="206" spans="1:32">
      <c r="A206" s="276"/>
      <c r="B206" s="276"/>
      <c r="C206" s="159" t="s">
        <v>76</v>
      </c>
      <c r="D206" s="168" t="s">
        <v>65</v>
      </c>
      <c r="E206" s="276"/>
      <c r="F206" s="129">
        <v>0.2</v>
      </c>
      <c r="G206" s="149">
        <v>100</v>
      </c>
      <c r="H206" s="149">
        <v>100</v>
      </c>
      <c r="I206" s="149">
        <v>100</v>
      </c>
      <c r="J206" s="149">
        <v>100</v>
      </c>
      <c r="K206" s="149">
        <v>100</v>
      </c>
      <c r="L206" s="149">
        <v>95.5</v>
      </c>
      <c r="M206" s="149">
        <v>62.3</v>
      </c>
      <c r="N206" s="149">
        <v>44.7</v>
      </c>
      <c r="O206" s="149">
        <v>35.200000000000003</v>
      </c>
      <c r="P206" s="149">
        <v>25.1</v>
      </c>
      <c r="Q206" s="149">
        <v>15.6</v>
      </c>
      <c r="R206" s="149">
        <v>10.7</v>
      </c>
      <c r="S206" s="138">
        <v>2.863</v>
      </c>
      <c r="T206" s="138">
        <v>2.742</v>
      </c>
      <c r="U206" s="138">
        <f>级配!F206/S206*E204</f>
        <v>3.4928396786587497E-2</v>
      </c>
      <c r="V206" s="138">
        <f>级配!F206/T206*E204</f>
        <v>3.6469730123997103E-2</v>
      </c>
      <c r="AC206" s="2"/>
      <c r="AE206" s="154">
        <v>9.0512540894220201</v>
      </c>
    </row>
    <row r="207" spans="1:32" ht="14.4">
      <c r="A207" s="276"/>
      <c r="B207" s="276"/>
      <c r="C207"/>
      <c r="D207" s="157"/>
      <c r="F207" s="129" t="s">
        <v>240</v>
      </c>
      <c r="G207" s="149">
        <f>$E$29*($F$29*G198+$F$30*G199+$F$31*G200+$F$32*G201+$F$33*G202+$F$34*G203+$F$35*G204)+$E$36*($F$36*G205+$F$37*G206)</f>
        <v>100</v>
      </c>
      <c r="H207" s="149">
        <f>E198*(F198*H198+F199*H199+F200*H200+F201*H201+F202*H202+F203*H203)+E204*(F205*H205+F206*H206+F204*H204)</f>
        <v>98.05</v>
      </c>
      <c r="I207" s="149">
        <f>E198*(F198*I198+F199*I199+F200*I200+F201*I201+F202*I202+F203*I203)+E204*(F205*I205+F206*I206+F204*I204)</f>
        <v>89.594999999999999</v>
      </c>
      <c r="J207" s="149">
        <f>E198*(F198*J198+F199*J199+F200*J200+F201*J201+F202*J202+F203*J203)+E204*(F205*J205+F206*J206+F204*J204)</f>
        <v>75.319999999999993</v>
      </c>
      <c r="K207" s="149">
        <f>E198*(F198*K198+F199*K199+F200*K200+F201*K201+F202*K202+F203*K203)+E204*(F205*K205+F206*K206+F204*K204)</f>
        <v>57.89</v>
      </c>
      <c r="L207" s="149">
        <f>E198*(F198*L198+F199*L199+F200*L200+F201*L201+F202*L202+F203*L203)+E204*(F205*L205+F206*L206+F204*L204)</f>
        <v>34.493499999999997</v>
      </c>
      <c r="M207" s="149">
        <f>E198*(F198*M198+F199*M199+F200*M200+F201*M201+F202*M202+F203*M203)+E204*(F205*M205+F206*M206+F204*M204)</f>
        <v>22.724</v>
      </c>
      <c r="N207" s="149">
        <f>E198*(F198*N198+F199*N199+F200*N200+F201*N201+F202*N202+F203*N203)+E204*(F205*N205+F206*N206+F204*N204)</f>
        <v>17.390499999999999</v>
      </c>
      <c r="O207" s="149">
        <f>E198*(F198*O198+F199*O199+F200*O200+F201*O201+F202*O202+F203*O203)+E204*(F205*O205+F206*O206+F204*O204)</f>
        <v>14.773999999999999</v>
      </c>
      <c r="P207" s="149">
        <f>E198*(F198*P198+F199*P199+F200*P200+F201*P201+F202*P202+F203*P203)+E204*(F205*P205+F206*P206+F204*P204)</f>
        <v>11.7155</v>
      </c>
      <c r="Q207" s="149">
        <f>E198*(F198*Q198+F199*Q199+F200*Q200+F201*Q201+F202*Q202+F203*Q203)+E204*(F205*Q205+F206*Q206+F204*Q204)</f>
        <v>9.0474999999999994</v>
      </c>
      <c r="R207" s="149">
        <f>E198*(F198*R198+F199*R199+F200*R200+F201*R201+F202*R202+F203*R203)+E204*(F205*R205+F206*R206+F204*R204)</f>
        <v>6.8354999999999997</v>
      </c>
      <c r="AC207" s="2"/>
    </row>
    <row r="208" spans="1:32" ht="14.4">
      <c r="A208" s="276"/>
      <c r="B208" s="276"/>
      <c r="C208"/>
      <c r="D208" s="157"/>
      <c r="F208" s="129" t="s">
        <v>241</v>
      </c>
      <c r="G208" s="149">
        <v>100</v>
      </c>
      <c r="H208" s="149">
        <v>100</v>
      </c>
      <c r="I208" s="149">
        <v>92</v>
      </c>
      <c r="J208" s="149">
        <v>80</v>
      </c>
      <c r="K208" s="149">
        <v>72</v>
      </c>
      <c r="L208" s="149">
        <v>56</v>
      </c>
      <c r="M208" s="149">
        <v>44</v>
      </c>
      <c r="N208" s="149">
        <v>33</v>
      </c>
      <c r="O208" s="149">
        <v>24</v>
      </c>
      <c r="P208" s="149">
        <v>17</v>
      </c>
      <c r="Q208" s="149">
        <v>13</v>
      </c>
      <c r="R208" s="149">
        <v>7</v>
      </c>
      <c r="AC208" s="2"/>
    </row>
    <row r="209" spans="1:32" ht="14.4">
      <c r="A209" s="276"/>
      <c r="B209" s="276"/>
      <c r="C209"/>
      <c r="D209" s="157"/>
      <c r="F209" s="129" t="s">
        <v>242</v>
      </c>
      <c r="G209" s="149">
        <f t="shared" ref="G209:R209" si="21">(G208+G210)/2</f>
        <v>100</v>
      </c>
      <c r="H209" s="149">
        <f t="shared" si="21"/>
        <v>95</v>
      </c>
      <c r="I209" s="149">
        <f t="shared" si="21"/>
        <v>85</v>
      </c>
      <c r="J209" s="149">
        <f t="shared" si="21"/>
        <v>71</v>
      </c>
      <c r="K209" s="149">
        <f t="shared" si="21"/>
        <v>61</v>
      </c>
      <c r="L209" s="149">
        <f t="shared" si="21"/>
        <v>41</v>
      </c>
      <c r="M209" s="149">
        <f t="shared" si="21"/>
        <v>30</v>
      </c>
      <c r="N209" s="149">
        <f t="shared" si="21"/>
        <v>22.5</v>
      </c>
      <c r="O209" s="149">
        <f t="shared" si="21"/>
        <v>16</v>
      </c>
      <c r="P209" s="149">
        <f t="shared" si="21"/>
        <v>11</v>
      </c>
      <c r="Q209" s="149">
        <f t="shared" si="21"/>
        <v>8.5</v>
      </c>
      <c r="R209" s="149">
        <f t="shared" si="21"/>
        <v>5</v>
      </c>
      <c r="AC209" s="2"/>
    </row>
    <row r="210" spans="1:32" ht="14.4">
      <c r="A210" s="276"/>
      <c r="B210" s="276"/>
      <c r="C210"/>
      <c r="D210" s="157"/>
      <c r="F210" s="129" t="s">
        <v>243</v>
      </c>
      <c r="G210" s="149">
        <v>100</v>
      </c>
      <c r="H210" s="149">
        <v>90</v>
      </c>
      <c r="I210" s="149">
        <v>78</v>
      </c>
      <c r="J210" s="149">
        <v>62</v>
      </c>
      <c r="K210" s="149">
        <v>50</v>
      </c>
      <c r="L210" s="149">
        <v>26</v>
      </c>
      <c r="M210" s="149">
        <v>16</v>
      </c>
      <c r="N210" s="149">
        <v>12</v>
      </c>
      <c r="O210" s="149">
        <v>8</v>
      </c>
      <c r="P210" s="149">
        <v>5</v>
      </c>
      <c r="Q210" s="149">
        <v>4</v>
      </c>
      <c r="R210" s="149">
        <v>3</v>
      </c>
      <c r="AC210" s="2"/>
    </row>
    <row r="211" spans="1:32">
      <c r="A211" s="276" t="s">
        <v>98</v>
      </c>
      <c r="B211" s="276" t="s">
        <v>246</v>
      </c>
      <c r="C211" s="159" t="s">
        <v>81</v>
      </c>
      <c r="D211" s="157" t="s">
        <v>62</v>
      </c>
      <c r="E211" s="276">
        <v>0.5</v>
      </c>
      <c r="F211" s="129">
        <v>0.55000000000000004</v>
      </c>
      <c r="G211" s="149">
        <v>100</v>
      </c>
      <c r="H211" s="149">
        <v>93.5</v>
      </c>
      <c r="I211" s="149">
        <v>66.400000000000006</v>
      </c>
      <c r="J211" s="149">
        <v>28.4</v>
      </c>
      <c r="K211" s="149">
        <v>1.7</v>
      </c>
      <c r="L211" s="149">
        <v>0.8</v>
      </c>
      <c r="M211" s="149">
        <v>0.8</v>
      </c>
      <c r="N211" s="149">
        <v>0.8</v>
      </c>
      <c r="O211" s="149">
        <v>0.8</v>
      </c>
      <c r="P211" s="149">
        <v>0.8</v>
      </c>
      <c r="Q211" s="149">
        <v>0.8</v>
      </c>
      <c r="R211" s="149">
        <v>0.8</v>
      </c>
      <c r="S211" s="138">
        <v>2.7709999999999999</v>
      </c>
      <c r="T211" s="138">
        <v>2.7010000000000001</v>
      </c>
      <c r="U211" s="138">
        <f>级配!F211/S211*E211</f>
        <v>9.9242150848069297E-2</v>
      </c>
      <c r="V211" s="138">
        <f>级配!F211/T211*E211</f>
        <v>0.101814142910033</v>
      </c>
      <c r="W211" s="138">
        <f>1/SUM(U211:U219)</f>
        <v>2.8038523431099098</v>
      </c>
      <c r="X211" s="153">
        <v>0.4</v>
      </c>
      <c r="Y211" s="138">
        <f>0.033*X211*X211-0.2936*X211+0.9336</f>
        <v>0.82143999999999995</v>
      </c>
      <c r="Z211" s="138">
        <f>0.033*Y211*Y211-0.2936*Y211+0.9336</f>
        <v>0.71469241722879995</v>
      </c>
      <c r="AA211" s="158">
        <v>2.5366863639375201</v>
      </c>
      <c r="AB211" s="138">
        <f>1/SUM(V211:V219)</f>
        <v>2.7137423594270902</v>
      </c>
      <c r="AC211" s="139">
        <v>4.2</v>
      </c>
      <c r="AD211" s="138">
        <f>100*AC211/(100+AC211)</f>
        <v>4.0307101727447199</v>
      </c>
      <c r="AE211" s="156"/>
      <c r="AF211" s="156">
        <f>AC211-E217*F217*AE217-E217*F218*AE218-E217*F219*AE219</f>
        <v>1.91611367721392</v>
      </c>
    </row>
    <row r="212" spans="1:32">
      <c r="A212" s="276"/>
      <c r="B212" s="276"/>
      <c r="C212" s="159" t="s">
        <v>81</v>
      </c>
      <c r="D212" s="157" t="s">
        <v>63</v>
      </c>
      <c r="E212" s="276"/>
      <c r="F212" s="129">
        <v>0.2</v>
      </c>
      <c r="G212" s="149">
        <v>100</v>
      </c>
      <c r="H212" s="149">
        <v>100</v>
      </c>
      <c r="I212" s="149">
        <v>100</v>
      </c>
      <c r="J212" s="149">
        <v>100</v>
      </c>
      <c r="K212" s="149">
        <v>94.4</v>
      </c>
      <c r="L212" s="149">
        <v>6</v>
      </c>
      <c r="M212" s="149">
        <v>0.4</v>
      </c>
      <c r="N212" s="149">
        <v>0.4</v>
      </c>
      <c r="O212" s="149">
        <v>0.4</v>
      </c>
      <c r="P212" s="149">
        <v>0.4</v>
      </c>
      <c r="Q212" s="149">
        <v>0.4</v>
      </c>
      <c r="R212" s="149">
        <v>0.4</v>
      </c>
      <c r="S212" s="138">
        <v>2.7519999999999998</v>
      </c>
      <c r="T212" s="138">
        <v>2.6819999999999999</v>
      </c>
      <c r="U212" s="138">
        <f>级配!F212/S212*E211</f>
        <v>3.6337209302325597E-2</v>
      </c>
      <c r="V212" s="138">
        <f>级配!F212/T212*E211</f>
        <v>3.7285607755406402E-2</v>
      </c>
      <c r="W212" s="138"/>
      <c r="X212" s="138"/>
      <c r="Y212" s="151"/>
      <c r="Z212" s="151"/>
      <c r="AA212" s="158"/>
      <c r="AB212" s="138"/>
      <c r="AC212" s="139"/>
      <c r="AD212" s="138"/>
      <c r="AE212" s="156"/>
      <c r="AF212" s="156"/>
    </row>
    <row r="213" spans="1:32">
      <c r="A213" s="276"/>
      <c r="B213" s="276"/>
      <c r="C213" s="159" t="s">
        <v>82</v>
      </c>
      <c r="D213" s="157" t="s">
        <v>65</v>
      </c>
      <c r="E213" s="276"/>
      <c r="F213" s="129">
        <v>0.17</v>
      </c>
      <c r="G213" s="149">
        <v>100</v>
      </c>
      <c r="H213" s="149">
        <v>100</v>
      </c>
      <c r="I213" s="149">
        <v>100</v>
      </c>
      <c r="J213" s="149">
        <v>100</v>
      </c>
      <c r="K213" s="149">
        <v>100</v>
      </c>
      <c r="L213" s="149">
        <v>98.1</v>
      </c>
      <c r="M213" s="149">
        <v>62.4</v>
      </c>
      <c r="N213" s="149">
        <v>37.299999999999997</v>
      </c>
      <c r="O213" s="149">
        <v>26.4</v>
      </c>
      <c r="P213" s="149">
        <v>16.7</v>
      </c>
      <c r="Q213" s="149">
        <v>11.7</v>
      </c>
      <c r="R213" s="149">
        <v>8.5</v>
      </c>
      <c r="S213" s="138">
        <v>2.7269999999999999</v>
      </c>
      <c r="T213" s="138">
        <v>2.6320000000000001</v>
      </c>
      <c r="U213" s="138">
        <f>级配!F213/S213*E211</f>
        <v>3.1169783645031202E-2</v>
      </c>
      <c r="V213" s="138">
        <f>级配!F213/T213*E211</f>
        <v>3.2294832826747701E-2</v>
      </c>
      <c r="AC213" s="2"/>
    </row>
    <row r="214" spans="1:32">
      <c r="A214" s="276"/>
      <c r="B214" s="276"/>
      <c r="C214" s="159" t="s">
        <v>99</v>
      </c>
      <c r="D214" s="157" t="s">
        <v>73</v>
      </c>
      <c r="E214" s="276"/>
      <c r="F214" s="129">
        <v>0.08</v>
      </c>
      <c r="G214" s="149">
        <v>100</v>
      </c>
      <c r="H214" s="149">
        <v>100</v>
      </c>
      <c r="I214" s="149">
        <v>100</v>
      </c>
      <c r="J214" s="149">
        <v>100</v>
      </c>
      <c r="K214" s="149">
        <v>100</v>
      </c>
      <c r="L214" s="149">
        <v>100</v>
      </c>
      <c r="M214" s="149">
        <v>100</v>
      </c>
      <c r="N214" s="149">
        <v>100</v>
      </c>
      <c r="O214" s="149">
        <v>100</v>
      </c>
      <c r="P214" s="149">
        <v>97.4</v>
      </c>
      <c r="Q214" s="149">
        <v>90.2</v>
      </c>
      <c r="R214" s="149">
        <v>78.2</v>
      </c>
      <c r="S214" s="138">
        <v>2.6789999999999998</v>
      </c>
      <c r="T214" s="138">
        <v>2.6789999999999998</v>
      </c>
      <c r="U214" s="138">
        <f>级配!F214/S214*E211</f>
        <v>1.4930944382232201E-2</v>
      </c>
      <c r="V214" s="138">
        <f>级配!F214/T214*E211</f>
        <v>1.4930944382232201E-2</v>
      </c>
      <c r="AC214" s="2"/>
    </row>
    <row r="215" spans="1:32" ht="14.4">
      <c r="A215" s="276"/>
      <c r="B215" s="276"/>
      <c r="C215" s="164" t="s">
        <v>81</v>
      </c>
      <c r="D215" s="157" t="s">
        <v>89</v>
      </c>
      <c r="E215" s="276"/>
      <c r="F215" s="129">
        <v>0</v>
      </c>
      <c r="G215" s="149">
        <v>100</v>
      </c>
      <c r="H215" s="149">
        <v>100</v>
      </c>
      <c r="I215" s="149">
        <v>100</v>
      </c>
      <c r="J215" s="149">
        <v>100</v>
      </c>
      <c r="K215" s="149">
        <v>100</v>
      </c>
      <c r="L215" s="149">
        <v>70.359936297776699</v>
      </c>
      <c r="M215" s="149">
        <v>8.4791666666666696</v>
      </c>
      <c r="N215" s="149">
        <v>4.50416666666667</v>
      </c>
      <c r="O215" s="149">
        <v>2.56666666666667</v>
      </c>
      <c r="P215" s="149">
        <v>1.8375000000000099</v>
      </c>
      <c r="Q215" s="149">
        <v>1.5875000000000099</v>
      </c>
      <c r="R215" s="149">
        <v>1.4208333333333401</v>
      </c>
      <c r="S215" s="138">
        <v>2.722</v>
      </c>
      <c r="T215" s="138">
        <v>2.6509999999999998</v>
      </c>
      <c r="U215" s="138">
        <f>级配!F215/S215*E211</f>
        <v>0</v>
      </c>
      <c r="V215" s="138">
        <f>级配!F215/T215*E211</f>
        <v>0</v>
      </c>
      <c r="AC215" s="2"/>
    </row>
    <row r="216" spans="1:32">
      <c r="A216" s="276"/>
      <c r="B216" s="276"/>
      <c r="C216" s="159" t="s">
        <v>82</v>
      </c>
      <c r="D216" s="157" t="s">
        <v>90</v>
      </c>
      <c r="E216" s="276"/>
      <c r="F216" s="129">
        <v>0</v>
      </c>
      <c r="G216" s="149">
        <v>100</v>
      </c>
      <c r="H216" s="149">
        <v>100</v>
      </c>
      <c r="I216" s="149">
        <v>100</v>
      </c>
      <c r="J216" s="149">
        <v>100</v>
      </c>
      <c r="K216" s="149">
        <v>100</v>
      </c>
      <c r="L216" s="149">
        <v>100</v>
      </c>
      <c r="M216" s="149">
        <v>81.364999999999995</v>
      </c>
      <c r="N216" s="149">
        <v>59.195</v>
      </c>
      <c r="O216" s="149">
        <v>34.704999999999998</v>
      </c>
      <c r="P216" s="149">
        <v>19.21</v>
      </c>
      <c r="Q216" s="149">
        <v>13.9</v>
      </c>
      <c r="R216" s="149">
        <v>11.54</v>
      </c>
      <c r="S216" s="138">
        <v>2.72</v>
      </c>
      <c r="T216" s="138">
        <v>2.65</v>
      </c>
      <c r="U216" s="138">
        <f>级配!F216/S216*E211</f>
        <v>0</v>
      </c>
      <c r="V216" s="138">
        <f>级配!F216/T216*E211</f>
        <v>0</v>
      </c>
      <c r="AC216" s="2"/>
    </row>
    <row r="217" spans="1:32" ht="14.4">
      <c r="A217" s="276"/>
      <c r="B217" s="276"/>
      <c r="C217" s="164" t="s">
        <v>74</v>
      </c>
      <c r="D217" s="157" t="s">
        <v>62</v>
      </c>
      <c r="E217" s="276">
        <v>0.5</v>
      </c>
      <c r="F217" s="129">
        <v>0.5</v>
      </c>
      <c r="G217" s="149">
        <v>100</v>
      </c>
      <c r="H217" s="149">
        <v>100</v>
      </c>
      <c r="I217" s="149">
        <v>98.7</v>
      </c>
      <c r="J217" s="149">
        <v>87.2</v>
      </c>
      <c r="K217" s="149">
        <v>52.7</v>
      </c>
      <c r="L217" s="149">
        <v>22.4</v>
      </c>
      <c r="M217" s="149">
        <v>16.100000000000001</v>
      </c>
      <c r="N217" s="149">
        <v>13.1</v>
      </c>
      <c r="O217" s="149">
        <v>11.4</v>
      </c>
      <c r="P217" s="149">
        <v>8.9</v>
      </c>
      <c r="Q217" s="149">
        <v>6.2</v>
      </c>
      <c r="R217" s="149">
        <v>3.7</v>
      </c>
      <c r="S217" s="138">
        <v>2.8570000000000002</v>
      </c>
      <c r="T217" s="138">
        <v>2.7450000000000001</v>
      </c>
      <c r="U217" s="138">
        <f>级配!F217/S217*E217</f>
        <v>8.7504375218760894E-2</v>
      </c>
      <c r="V217" s="138">
        <f>级配!F217/T217*E217</f>
        <v>9.1074681238615701E-2</v>
      </c>
      <c r="AC217" s="2"/>
      <c r="AE217" s="154">
        <v>4.5695274307441602</v>
      </c>
    </row>
    <row r="218" spans="1:32">
      <c r="A218" s="276"/>
      <c r="B218" s="276"/>
      <c r="C218" s="159" t="s">
        <v>74</v>
      </c>
      <c r="D218" s="168" t="s">
        <v>63</v>
      </c>
      <c r="E218" s="276"/>
      <c r="F218" s="129">
        <v>0.4</v>
      </c>
      <c r="G218" s="149">
        <v>100</v>
      </c>
      <c r="H218" s="149">
        <v>100</v>
      </c>
      <c r="I218" s="149">
        <v>100</v>
      </c>
      <c r="J218" s="149">
        <v>100</v>
      </c>
      <c r="K218" s="149">
        <v>97.5</v>
      </c>
      <c r="L218" s="149">
        <v>42.1</v>
      </c>
      <c r="M218" s="149">
        <v>19.3</v>
      </c>
      <c r="N218" s="149">
        <v>14.7</v>
      </c>
      <c r="O218" s="149">
        <v>12.6</v>
      </c>
      <c r="P218" s="149">
        <v>9.3000000000000007</v>
      </c>
      <c r="Q218" s="149">
        <v>7.1</v>
      </c>
      <c r="R218" s="149">
        <v>4.8</v>
      </c>
      <c r="S218" s="138">
        <v>2.8570000000000002</v>
      </c>
      <c r="T218" s="138">
        <v>2.7450000000000001</v>
      </c>
      <c r="U218" s="138">
        <f>级配!F218/S218*E217</f>
        <v>7.0003500175008795E-2</v>
      </c>
      <c r="V218" s="138">
        <f>级配!F218/T218*E217</f>
        <v>7.2859744990892497E-2</v>
      </c>
      <c r="AC218" s="2"/>
      <c r="AE218" s="154">
        <v>3.4447088031447102</v>
      </c>
    </row>
    <row r="219" spans="1:32">
      <c r="A219" s="276"/>
      <c r="B219" s="276"/>
      <c r="C219" s="159" t="s">
        <v>76</v>
      </c>
      <c r="D219" s="168" t="s">
        <v>65</v>
      </c>
      <c r="E219" s="276"/>
      <c r="F219" s="129">
        <v>0.1</v>
      </c>
      <c r="G219" s="149">
        <v>100</v>
      </c>
      <c r="H219" s="149">
        <v>100</v>
      </c>
      <c r="I219" s="149">
        <v>100</v>
      </c>
      <c r="J219" s="149">
        <v>100</v>
      </c>
      <c r="K219" s="149">
        <v>100</v>
      </c>
      <c r="L219" s="149">
        <v>95.5</v>
      </c>
      <c r="M219" s="149">
        <v>62.3</v>
      </c>
      <c r="N219" s="149">
        <v>44.7</v>
      </c>
      <c r="O219" s="149">
        <v>35.200000000000003</v>
      </c>
      <c r="P219" s="149">
        <v>25.1</v>
      </c>
      <c r="Q219" s="149">
        <v>15.6</v>
      </c>
      <c r="R219" s="149">
        <v>10.7</v>
      </c>
      <c r="S219" s="138">
        <v>2.863</v>
      </c>
      <c r="T219" s="138">
        <v>2.742</v>
      </c>
      <c r="U219" s="138">
        <f>级配!F219/S219*E217</f>
        <v>1.74641983932937E-2</v>
      </c>
      <c r="V219" s="138">
        <f>级配!F219/T219*E217</f>
        <v>1.8234865061998499E-2</v>
      </c>
      <c r="AC219" s="2"/>
      <c r="AE219" s="154">
        <v>9.0512540894220201</v>
      </c>
    </row>
    <row r="220" spans="1:32" ht="14.4">
      <c r="A220" s="276"/>
      <c r="B220" s="276"/>
      <c r="C220"/>
      <c r="D220" s="157"/>
      <c r="F220" s="129" t="s">
        <v>240</v>
      </c>
      <c r="G220" s="149">
        <f>$E$29*($F$29*G211+$F$30*G212+$F$31*G213+$F$32*G214+$F$33*G215+$F$34*G216+$F$35*G217)+$E$36*($F$36*G218+$F$37*G219)</f>
        <v>100</v>
      </c>
      <c r="H220" s="149">
        <f>E211*(F211*H211+F212*H212+F213*H213+F214*H214+F215*H215+F216*H216)+E217*(F218*H218+F219*H219+F217*H217)</f>
        <v>98.212500000000006</v>
      </c>
      <c r="I220" s="149">
        <f>E211*(F211*I211+F212*I212+F213*I213+F214*I214+F215*I215+F216*I216)+E217*(F218*I218+F219*I219+F217*I217)</f>
        <v>90.435000000000002</v>
      </c>
      <c r="J220" s="149">
        <f>E211*(F211*J211+F212*J212+F213*J213+F214*J214+F215*J215+F216*J216)+E217*(F218*J218+F219*J219+F217*J217)</f>
        <v>77.11</v>
      </c>
      <c r="K220" s="149">
        <f>E211*(F211*K211+F212*K212+F213*K213+F214*K214+F215*K215+F216*K216)+E217*(F218*K218+F219*K219+F217*K217)</f>
        <v>60.082500000000003</v>
      </c>
      <c r="L220" s="149">
        <f>E211*(F211*L211+F212*L212+F213*L213+F214*L214+F215*L215+F216*L216)+E217*(F218*L218+F219*L219+F217*L217)</f>
        <v>31.953499999999998</v>
      </c>
      <c r="M220" s="149">
        <f>E211*(F211*M211+F212*M212+F213*M213+F214*M214+F215*M215+F216*M216)+E217*(F218*M218+F219*M219+F217*M217)</f>
        <v>20.564</v>
      </c>
      <c r="N220" s="149">
        <f>E211*(F211*N211+F212*N212+F213*N213+F214*N214+F215*N215+F216*N216)+E217*(F218*N218+F219*N219+F217*N217)</f>
        <v>15.8805</v>
      </c>
      <c r="O220" s="149">
        <f>E211*(F211*O211+F212*O212+F213*O213+F214*O214+F215*O215+F216*O216)+E217*(F218*O218+F219*O219+F217*O217)</f>
        <v>13.634</v>
      </c>
      <c r="P220" s="149">
        <f>E211*(F211*P211+F212*P212+F213*P213+F214*P214+F215*P215+F216*P216)+E217*(F218*P218+F219*P219+F217*P217)</f>
        <v>10.9155</v>
      </c>
      <c r="Q220" s="149">
        <f>E211*(F211*Q211+F212*Q212+F213*Q213+F214*Q214+F215*Q215+F216*Q216)+E217*(F218*Q218+F219*Q219+F217*Q217)</f>
        <v>8.6125000000000007</v>
      </c>
      <c r="R220" s="149">
        <f>E211*(F211*R211+F212*R212+F213*R213+F214*R214+F215*R215+F216*R216)+E217*(F218*R218+F219*R219+F217*R217)</f>
        <v>6.5305</v>
      </c>
      <c r="AC220" s="2"/>
    </row>
    <row r="221" spans="1:32" ht="14.4">
      <c r="A221" s="276"/>
      <c r="B221" s="276"/>
      <c r="C221"/>
      <c r="D221" s="157"/>
      <c r="F221" s="129" t="s">
        <v>241</v>
      </c>
      <c r="G221" s="149">
        <v>100</v>
      </c>
      <c r="H221" s="149">
        <v>100</v>
      </c>
      <c r="I221" s="149">
        <v>92</v>
      </c>
      <c r="J221" s="149">
        <v>80</v>
      </c>
      <c r="K221" s="149">
        <v>72</v>
      </c>
      <c r="L221" s="149">
        <v>56</v>
      </c>
      <c r="M221" s="149">
        <v>44</v>
      </c>
      <c r="N221" s="149">
        <v>33</v>
      </c>
      <c r="O221" s="149">
        <v>24</v>
      </c>
      <c r="P221" s="149">
        <v>17</v>
      </c>
      <c r="Q221" s="149">
        <v>13</v>
      </c>
      <c r="R221" s="149">
        <v>7</v>
      </c>
      <c r="AC221" s="2"/>
    </row>
    <row r="222" spans="1:32" ht="14.4">
      <c r="A222" s="276"/>
      <c r="B222" s="276"/>
      <c r="C222"/>
      <c r="D222" s="157"/>
      <c r="F222" s="129" t="s">
        <v>242</v>
      </c>
      <c r="G222" s="149">
        <f t="shared" ref="G222:R222" si="22">(G221+G223)/2</f>
        <v>100</v>
      </c>
      <c r="H222" s="149">
        <f t="shared" si="22"/>
        <v>95</v>
      </c>
      <c r="I222" s="149">
        <f t="shared" si="22"/>
        <v>85</v>
      </c>
      <c r="J222" s="149">
        <f t="shared" si="22"/>
        <v>71</v>
      </c>
      <c r="K222" s="149">
        <f t="shared" si="22"/>
        <v>61</v>
      </c>
      <c r="L222" s="149">
        <f t="shared" si="22"/>
        <v>41</v>
      </c>
      <c r="M222" s="149">
        <f t="shared" si="22"/>
        <v>30</v>
      </c>
      <c r="N222" s="149">
        <f t="shared" si="22"/>
        <v>22.5</v>
      </c>
      <c r="O222" s="149">
        <f t="shared" si="22"/>
        <v>16</v>
      </c>
      <c r="P222" s="149">
        <f t="shared" si="22"/>
        <v>11</v>
      </c>
      <c r="Q222" s="149">
        <f t="shared" si="22"/>
        <v>8.5</v>
      </c>
      <c r="R222" s="149">
        <f t="shared" si="22"/>
        <v>5</v>
      </c>
      <c r="AC222" s="2"/>
    </row>
    <row r="223" spans="1:32" ht="14.4">
      <c r="A223" s="276"/>
      <c r="B223" s="276"/>
      <c r="C223"/>
      <c r="D223" s="157"/>
      <c r="F223" s="129" t="s">
        <v>243</v>
      </c>
      <c r="G223" s="149">
        <v>100</v>
      </c>
      <c r="H223" s="149">
        <v>90</v>
      </c>
      <c r="I223" s="149">
        <v>78</v>
      </c>
      <c r="J223" s="149">
        <v>62</v>
      </c>
      <c r="K223" s="149">
        <v>50</v>
      </c>
      <c r="L223" s="149">
        <v>26</v>
      </c>
      <c r="M223" s="149">
        <v>16</v>
      </c>
      <c r="N223" s="149">
        <v>12</v>
      </c>
      <c r="O223" s="149">
        <v>8</v>
      </c>
      <c r="P223" s="149">
        <v>5</v>
      </c>
      <c r="Q223" s="149">
        <v>4</v>
      </c>
      <c r="R223" s="149">
        <v>3</v>
      </c>
      <c r="AC223" s="2"/>
    </row>
    <row r="224" spans="1:32">
      <c r="A224" s="276" t="s">
        <v>100</v>
      </c>
      <c r="B224" s="276" t="s">
        <v>218</v>
      </c>
      <c r="C224" s="159" t="s">
        <v>81</v>
      </c>
      <c r="D224" s="157" t="s">
        <v>62</v>
      </c>
      <c r="E224" s="276">
        <v>0.5</v>
      </c>
      <c r="F224" s="129">
        <v>0.2</v>
      </c>
      <c r="G224" s="149">
        <v>100</v>
      </c>
      <c r="H224" s="149">
        <v>100</v>
      </c>
      <c r="I224" s="149">
        <v>100</v>
      </c>
      <c r="J224" s="149">
        <v>72.3948321790091</v>
      </c>
      <c r="K224" s="149">
        <v>5.9698881193393696</v>
      </c>
      <c r="L224" s="149">
        <v>6.6620493695609198E-2</v>
      </c>
      <c r="M224" s="149">
        <v>0</v>
      </c>
      <c r="N224" s="149">
        <v>0</v>
      </c>
      <c r="O224" s="149">
        <v>0</v>
      </c>
      <c r="P224" s="149">
        <v>0</v>
      </c>
      <c r="Q224" s="149">
        <v>0</v>
      </c>
      <c r="R224" s="149">
        <v>0</v>
      </c>
      <c r="S224" s="138">
        <v>2.7160000000000002</v>
      </c>
      <c r="T224" s="138">
        <v>2.6480000000000001</v>
      </c>
      <c r="U224" s="138">
        <f>级配!F224/S224*E224</f>
        <v>3.6818851251840902E-2</v>
      </c>
      <c r="V224" s="138">
        <f>级配!F224/T224*E224</f>
        <v>3.7764350453172203E-2</v>
      </c>
      <c r="W224" s="138">
        <f>1/SUM(U224:U232)</f>
        <v>2.7863086844204901</v>
      </c>
      <c r="X224" s="153">
        <v>0.4</v>
      </c>
      <c r="Y224" s="138">
        <f>0.033*X224*X224-0.2936*X224+0.9336</f>
        <v>0.82143999999999995</v>
      </c>
      <c r="Z224" s="138">
        <f>0.033*Y224*Y224-0.2936*Y224+0.9336</f>
        <v>0.71469241722879995</v>
      </c>
      <c r="AA224" s="158">
        <v>2.5046539685862599</v>
      </c>
      <c r="AB224" s="138">
        <f>1/SUM(V224:V232)</f>
        <v>2.6458717972216701</v>
      </c>
      <c r="AC224" s="139">
        <v>4.8</v>
      </c>
      <c r="AD224" s="138">
        <f>100*AC224/(100+AC224)</f>
        <v>4.5801526717557302</v>
      </c>
      <c r="AE224" s="156"/>
      <c r="AF224" s="156">
        <f>AC224-E230*F231*AE231-E230*F232*AE232</f>
        <v>1.6640992500112</v>
      </c>
    </row>
    <row r="225" spans="1:32">
      <c r="A225" s="276"/>
      <c r="B225" s="276"/>
      <c r="C225" s="159" t="s">
        <v>81</v>
      </c>
      <c r="D225" s="157" t="s">
        <v>63</v>
      </c>
      <c r="E225" s="276"/>
      <c r="F225" s="129">
        <v>0.2</v>
      </c>
      <c r="G225" s="149">
        <v>100</v>
      </c>
      <c r="H225" s="149">
        <v>100</v>
      </c>
      <c r="I225" s="149">
        <v>100</v>
      </c>
      <c r="J225" s="149">
        <v>100</v>
      </c>
      <c r="K225" s="149">
        <v>80.650000000000006</v>
      </c>
      <c r="L225" s="149">
        <v>1.0388888888888901</v>
      </c>
      <c r="M225" s="149">
        <v>0.18222222222222201</v>
      </c>
      <c r="N225" s="149">
        <v>0.18222222222222201</v>
      </c>
      <c r="O225" s="149">
        <v>0.18222222222222201</v>
      </c>
      <c r="P225" s="149">
        <v>0.18222222222222201</v>
      </c>
      <c r="Q225" s="149">
        <v>0.18222222222222201</v>
      </c>
      <c r="R225" s="149">
        <v>0.18222222222222201</v>
      </c>
      <c r="S225" s="138">
        <v>2.706</v>
      </c>
      <c r="T225" s="138">
        <v>2.6640000000000001</v>
      </c>
      <c r="U225" s="138">
        <f>级配!F225/S225*E224</f>
        <v>3.69549150036955E-2</v>
      </c>
      <c r="V225" s="138">
        <f>级配!F225/T225*E224</f>
        <v>3.7537537537537503E-2</v>
      </c>
      <c r="W225" s="138"/>
      <c r="X225" s="138"/>
      <c r="Y225" s="151"/>
      <c r="Z225" s="151"/>
      <c r="AA225" s="158"/>
      <c r="AB225" s="138"/>
      <c r="AC225" s="139"/>
      <c r="AD225" s="138"/>
      <c r="AE225" s="156"/>
      <c r="AF225" s="156"/>
    </row>
    <row r="226" spans="1:32">
      <c r="A226" s="276"/>
      <c r="B226" s="276"/>
      <c r="C226" s="159" t="s">
        <v>81</v>
      </c>
      <c r="D226" s="157" t="s">
        <v>70</v>
      </c>
      <c r="E226" s="276"/>
      <c r="F226" s="129">
        <v>0.4</v>
      </c>
      <c r="G226" s="149">
        <v>100</v>
      </c>
      <c r="H226" s="149">
        <v>100</v>
      </c>
      <c r="I226" s="149">
        <v>100</v>
      </c>
      <c r="J226" s="149">
        <v>100</v>
      </c>
      <c r="K226" s="149">
        <v>100</v>
      </c>
      <c r="L226" s="149">
        <v>14.695071675211899</v>
      </c>
      <c r="M226" s="149">
        <v>0.74879146175579303</v>
      </c>
      <c r="N226" s="149">
        <v>0.47979491472219099</v>
      </c>
      <c r="O226" s="149">
        <v>0.47979491472219099</v>
      </c>
      <c r="P226" s="149">
        <v>0.47979491472219099</v>
      </c>
      <c r="Q226" s="149">
        <v>0.47979491472219099</v>
      </c>
      <c r="R226" s="149">
        <v>0.47979491472219099</v>
      </c>
      <c r="S226" s="138">
        <v>2.7160000000000002</v>
      </c>
      <c r="T226" s="138">
        <v>2.6760000000000002</v>
      </c>
      <c r="U226" s="138">
        <f>级配!F226/S226*E224</f>
        <v>7.3637702503681901E-2</v>
      </c>
      <c r="V226" s="138">
        <f>级配!F226/T226*E224</f>
        <v>7.4738415545590395E-2</v>
      </c>
      <c r="AC226" s="2"/>
    </row>
    <row r="227" spans="1:32">
      <c r="A227" s="276"/>
      <c r="B227" s="276"/>
      <c r="C227" s="159" t="s">
        <v>82</v>
      </c>
      <c r="D227" s="157" t="s">
        <v>71</v>
      </c>
      <c r="E227" s="276"/>
      <c r="F227" s="129">
        <v>0.15</v>
      </c>
      <c r="G227" s="149">
        <v>100</v>
      </c>
      <c r="H227" s="149">
        <v>100</v>
      </c>
      <c r="I227" s="149">
        <v>100</v>
      </c>
      <c r="J227" s="149">
        <v>100</v>
      </c>
      <c r="K227" s="149">
        <v>100</v>
      </c>
      <c r="L227" s="149">
        <v>99.385000000000005</v>
      </c>
      <c r="M227" s="149">
        <v>85.465000000000003</v>
      </c>
      <c r="N227" s="149">
        <v>65.81</v>
      </c>
      <c r="O227" s="149">
        <v>45.96</v>
      </c>
      <c r="P227" s="149">
        <v>21.335000000000001</v>
      </c>
      <c r="Q227" s="149">
        <v>12.355</v>
      </c>
      <c r="R227" s="149">
        <v>9.5249999999999897</v>
      </c>
      <c r="S227" s="138">
        <v>2.7269999999999999</v>
      </c>
      <c r="T227" s="138">
        <v>2.6320000000000001</v>
      </c>
      <c r="U227" s="138">
        <f>级配!F227/S227*E224</f>
        <v>2.75027502750275E-2</v>
      </c>
      <c r="V227" s="138">
        <f>级配!F227/T227*E224</f>
        <v>2.8495440729483301E-2</v>
      </c>
      <c r="AC227" s="2"/>
    </row>
    <row r="228" spans="1:32" ht="14.4">
      <c r="A228" s="276"/>
      <c r="B228" s="276"/>
      <c r="C228" s="164" t="s">
        <v>99</v>
      </c>
      <c r="D228" s="157" t="s">
        <v>73</v>
      </c>
      <c r="E228" s="276"/>
      <c r="F228" s="129">
        <v>0.05</v>
      </c>
      <c r="G228" s="149">
        <v>100</v>
      </c>
      <c r="H228" s="149">
        <v>100</v>
      </c>
      <c r="I228" s="149">
        <v>100</v>
      </c>
      <c r="J228" s="149">
        <v>100</v>
      </c>
      <c r="K228" s="149">
        <v>100</v>
      </c>
      <c r="L228" s="149">
        <v>100</v>
      </c>
      <c r="M228" s="149">
        <v>100</v>
      </c>
      <c r="N228" s="149">
        <v>100</v>
      </c>
      <c r="O228" s="149">
        <v>100</v>
      </c>
      <c r="P228" s="149">
        <v>97.4</v>
      </c>
      <c r="Q228" s="149">
        <v>90.2</v>
      </c>
      <c r="R228" s="149">
        <v>78.2</v>
      </c>
      <c r="S228" s="138">
        <v>2.6789999999999998</v>
      </c>
      <c r="T228" s="138">
        <v>2.6789999999999998</v>
      </c>
      <c r="U228" s="138">
        <f>级配!F228/S228*E224</f>
        <v>9.3318402388951095E-3</v>
      </c>
      <c r="V228" s="138">
        <f>级配!F228/T228*E224</f>
        <v>9.3318402388951095E-3</v>
      </c>
      <c r="AC228" s="2"/>
    </row>
    <row r="229" spans="1:32" ht="14.4">
      <c r="A229" s="276"/>
      <c r="B229" s="276"/>
      <c r="C229" s="164" t="s">
        <v>99</v>
      </c>
      <c r="D229" s="157" t="s">
        <v>73</v>
      </c>
      <c r="E229" s="276"/>
      <c r="F229" s="129">
        <v>0</v>
      </c>
      <c r="G229" s="149">
        <v>100</v>
      </c>
      <c r="H229" s="149">
        <v>100</v>
      </c>
      <c r="I229" s="149">
        <v>100</v>
      </c>
      <c r="J229" s="149">
        <v>100</v>
      </c>
      <c r="K229" s="149">
        <v>100</v>
      </c>
      <c r="L229" s="149">
        <v>100</v>
      </c>
      <c r="M229" s="149">
        <v>81.364999999999995</v>
      </c>
      <c r="N229" s="149">
        <v>59.195</v>
      </c>
      <c r="O229" s="149">
        <v>34.704999999999998</v>
      </c>
      <c r="P229" s="149">
        <v>19.21</v>
      </c>
      <c r="Q229" s="149">
        <v>13.9</v>
      </c>
      <c r="R229" s="149">
        <v>11.54</v>
      </c>
      <c r="S229" s="138">
        <v>2.72</v>
      </c>
      <c r="T229" s="138">
        <v>2.65</v>
      </c>
      <c r="U229" s="138">
        <f>级配!F229/S229*E224</f>
        <v>0</v>
      </c>
      <c r="V229" s="138">
        <f>级配!F229/T229*E224</f>
        <v>0</v>
      </c>
      <c r="AC229" s="2"/>
    </row>
    <row r="230" spans="1:32" ht="14.4">
      <c r="A230" s="276"/>
      <c r="B230" s="276"/>
      <c r="C230" s="164" t="s">
        <v>99</v>
      </c>
      <c r="D230" s="157" t="s">
        <v>73</v>
      </c>
      <c r="E230" s="276">
        <v>0.5</v>
      </c>
      <c r="F230" s="129">
        <v>0</v>
      </c>
      <c r="G230" s="149">
        <v>100</v>
      </c>
      <c r="H230" s="149">
        <v>100</v>
      </c>
      <c r="I230" s="149">
        <v>98.7</v>
      </c>
      <c r="J230" s="149">
        <v>87.2</v>
      </c>
      <c r="K230" s="149">
        <v>52.7</v>
      </c>
      <c r="L230" s="149">
        <v>22.4</v>
      </c>
      <c r="M230" s="149">
        <v>16.100000000000001</v>
      </c>
      <c r="N230" s="149">
        <v>13.1</v>
      </c>
      <c r="O230" s="149">
        <v>11.4</v>
      </c>
      <c r="P230" s="149">
        <v>8.9</v>
      </c>
      <c r="Q230" s="149">
        <v>6.2</v>
      </c>
      <c r="R230" s="149">
        <v>3.7</v>
      </c>
      <c r="S230" s="138">
        <v>2.8570000000000002</v>
      </c>
      <c r="T230" s="138">
        <v>2.7450000000000001</v>
      </c>
      <c r="U230" s="138">
        <f>级配!F230/S230*E230</f>
        <v>0</v>
      </c>
      <c r="V230" s="138">
        <f>级配!F230/T230*E230</f>
        <v>0</v>
      </c>
      <c r="AC230" s="2"/>
    </row>
    <row r="231" spans="1:32">
      <c r="A231" s="276"/>
      <c r="B231" s="276"/>
      <c r="C231" s="159" t="s">
        <v>74</v>
      </c>
      <c r="D231" s="168" t="s">
        <v>96</v>
      </c>
      <c r="E231" s="276"/>
      <c r="F231" s="129">
        <v>0.35</v>
      </c>
      <c r="G231" s="149">
        <v>100</v>
      </c>
      <c r="H231" s="149">
        <v>100</v>
      </c>
      <c r="I231" s="149">
        <v>99.984451432564597</v>
      </c>
      <c r="J231" s="149">
        <v>93.046428384312705</v>
      </c>
      <c r="K231" s="149">
        <v>70.079550745780793</v>
      </c>
      <c r="L231" s="149">
        <v>40.365078548094402</v>
      </c>
      <c r="M231" s="149">
        <v>27.5376533862866</v>
      </c>
      <c r="N231" s="149">
        <v>22.638636150645301</v>
      </c>
      <c r="O231" s="149">
        <v>19.0028719919537</v>
      </c>
      <c r="P231" s="149">
        <v>13.6497007357819</v>
      </c>
      <c r="Q231" s="149">
        <v>9.6914462678494093</v>
      </c>
      <c r="R231" s="149">
        <v>7.9727385830571604</v>
      </c>
      <c r="S231" s="138">
        <v>2.87</v>
      </c>
      <c r="T231" s="138">
        <v>2.6989999999999998</v>
      </c>
      <c r="U231" s="138">
        <f>级配!F231/S231*E230</f>
        <v>6.0975609756097601E-2</v>
      </c>
      <c r="V231" s="138">
        <f>级配!F231/T231*E230</f>
        <v>6.4838829195998496E-2</v>
      </c>
      <c r="AC231" s="2"/>
      <c r="AE231" s="154">
        <v>4.6470342522974102</v>
      </c>
    </row>
    <row r="232" spans="1:32">
      <c r="A232" s="276"/>
      <c r="B232" s="276"/>
      <c r="C232" s="159" t="s">
        <v>76</v>
      </c>
      <c r="D232" s="168" t="s">
        <v>97</v>
      </c>
      <c r="E232" s="276"/>
      <c r="F232" s="129">
        <v>0.65</v>
      </c>
      <c r="G232" s="149">
        <v>100</v>
      </c>
      <c r="H232" s="149">
        <v>100</v>
      </c>
      <c r="I232" s="149">
        <v>100</v>
      </c>
      <c r="J232" s="149">
        <v>100</v>
      </c>
      <c r="K232" s="149">
        <v>97.812322397070304</v>
      </c>
      <c r="L232" s="149">
        <v>60.802882860164601</v>
      </c>
      <c r="M232" s="149">
        <v>39.699422135739098</v>
      </c>
      <c r="N232" s="149">
        <v>30.710328602273599</v>
      </c>
      <c r="O232" s="149">
        <v>24.458293029622101</v>
      </c>
      <c r="P232" s="149">
        <v>18.2956234874346</v>
      </c>
      <c r="Q232" s="149">
        <v>13.558362910297999</v>
      </c>
      <c r="R232" s="149">
        <v>9.9538765583578801</v>
      </c>
      <c r="S232" s="138">
        <v>2.859</v>
      </c>
      <c r="T232" s="138">
        <v>2.5950000000000002</v>
      </c>
      <c r="U232" s="138">
        <f>级配!F232/S232*E230</f>
        <v>0.113676110528157</v>
      </c>
      <c r="V232" s="138">
        <f>级配!F232/T232*E230</f>
        <v>0.1252408477842</v>
      </c>
      <c r="AC232" s="2"/>
      <c r="AE232" s="154">
        <v>7.1466761718053897</v>
      </c>
    </row>
    <row r="233" spans="1:32" ht="14.4">
      <c r="A233" s="276"/>
      <c r="B233" s="276"/>
      <c r="C233"/>
      <c r="D233" s="157"/>
      <c r="F233" s="172" t="s">
        <v>253</v>
      </c>
      <c r="G233" s="170">
        <f>$E$29*($F$29*G224+$F$30*G225+$F$31*G226+$F$32*G227+$F$33*G228+$F$34*G229+$F$35*G230)+$E$36*($F$36*G231+$F$37*G232)</f>
        <v>100</v>
      </c>
      <c r="H233" s="170">
        <f>E224*(F224*H224+F225*H225+F226*H226+F227*H227+F228*H228+F229*H229+F230*H230)+E230*(F231*H231+F232*H232)</f>
        <v>100</v>
      </c>
      <c r="I233" s="170">
        <f>E224*(F224*I224+F225*I225+F226*I226+F227*I227+F228*I228+F229*I229+F230*I230)+E230*(F231*I231+F232*I232)</f>
        <v>99.997279000698796</v>
      </c>
      <c r="J233" s="170">
        <f>E224*(F224*J224+F225*J225+F226*J226+F227*J227+F228*J228+F229*J229+F230*J230)+E230*(F231*J231+F232*J232)</f>
        <v>96.022608185155605</v>
      </c>
      <c r="K233" s="170">
        <f>E224*(F224*K224+F225*K225+F226*K226+F227*K227+F228*K228+F229*K229+F230*K230)+E230*(F231*K231+F232*K232)</f>
        <v>82.7149149714934</v>
      </c>
      <c r="L233" s="170">
        <f>E224*(F224*L224+F225*L225+F226*L226+F227*L227+F228*L228+F229*L229+F230*L230)+E230*(F231*L231+F232*L232)</f>
        <v>39.828265948770799</v>
      </c>
      <c r="M233" s="170">
        <f>E224*(F224*M224+F225*M225+F226*M226+F227*M227+F228*M228+F229*M229+F230*M230)+E230*(F231*M231+F232*M232)</f>
        <v>26.799257051288699</v>
      </c>
      <c r="N233" s="170">
        <f>E224*(F224*N224+F225*N225+F226*N226+F227*N227+F228*N228+F229*N229+F230*N230)+E230*(F231*N231+F232*N232)</f>
        <v>21.492549327268499</v>
      </c>
      <c r="O233" s="170">
        <f>E224*(F224*O224+F225*O225+F226*O226+F227*O227+F228*O228+F229*O229+F230*O230)+E230*(F231*O231+F232*O232)</f>
        <v>17.335629038385701</v>
      </c>
      <c r="P233" s="170">
        <f>E224*(F224*P224+F225*P225+F226*P226+F227*P227+F228*P228+F229*P229+F230*P230)+E230*(F231*P231+F232*P232)</f>
        <v>12.4840814673447</v>
      </c>
      <c r="Q233" s="170">
        <f>E224*(F224*Q224+F225*Q225+F226*Q226+F227*Q227+F228*Q228+F229*Q229+F230*Q230)+E230*(F231*Q231+F232*Q232)</f>
        <v>9.3982772478871599</v>
      </c>
      <c r="R233" s="170">
        <f>E224*(F224*R224+F225*R225+F226*R226+F227*R227+F228*R228+F229*R229+F230*R230)+E230*(F231*R231+F232*R232)</f>
        <v>7.4137953386679696</v>
      </c>
      <c r="AC233" s="2"/>
    </row>
    <row r="234" spans="1:32" ht="14.4">
      <c r="A234" s="276"/>
      <c r="B234" s="276"/>
      <c r="C234"/>
      <c r="D234" s="157"/>
      <c r="F234" s="129" t="s">
        <v>241</v>
      </c>
      <c r="G234" s="149">
        <v>100</v>
      </c>
      <c r="H234" s="149">
        <v>100</v>
      </c>
      <c r="I234" s="129">
        <v>100</v>
      </c>
      <c r="J234" s="129">
        <v>100</v>
      </c>
      <c r="K234" s="129">
        <v>85</v>
      </c>
      <c r="L234" s="129">
        <v>68</v>
      </c>
      <c r="M234" s="129">
        <v>50</v>
      </c>
      <c r="N234" s="129">
        <v>38</v>
      </c>
      <c r="O234" s="129">
        <v>28</v>
      </c>
      <c r="P234" s="129">
        <v>20</v>
      </c>
      <c r="Q234" s="129">
        <v>15</v>
      </c>
      <c r="R234" s="129">
        <v>8</v>
      </c>
      <c r="AC234" s="2"/>
    </row>
    <row r="235" spans="1:32" ht="14.4">
      <c r="A235" s="276"/>
      <c r="B235" s="276"/>
      <c r="C235"/>
      <c r="D235" s="157"/>
      <c r="F235" s="129" t="s">
        <v>242</v>
      </c>
      <c r="G235" s="149">
        <f t="shared" ref="G235" si="23">(G234+G236)/2</f>
        <v>100</v>
      </c>
      <c r="H235" s="149">
        <v>100</v>
      </c>
      <c r="I235" s="129">
        <v>100</v>
      </c>
      <c r="J235" s="129">
        <f t="shared" ref="J235:R235" si="24">(J234+J236)/2</f>
        <v>95</v>
      </c>
      <c r="K235" s="129">
        <f t="shared" si="24"/>
        <v>76.5</v>
      </c>
      <c r="L235" s="129">
        <f t="shared" si="24"/>
        <v>53</v>
      </c>
      <c r="M235" s="129">
        <f t="shared" si="24"/>
        <v>37</v>
      </c>
      <c r="N235" s="129">
        <f t="shared" si="24"/>
        <v>26.5</v>
      </c>
      <c r="O235" s="129">
        <f t="shared" si="24"/>
        <v>19</v>
      </c>
      <c r="P235" s="129">
        <f t="shared" si="24"/>
        <v>13.5</v>
      </c>
      <c r="Q235" s="129">
        <f t="shared" si="24"/>
        <v>10</v>
      </c>
      <c r="R235" s="129">
        <f t="shared" si="24"/>
        <v>6</v>
      </c>
      <c r="AC235" s="2"/>
    </row>
    <row r="236" spans="1:32" ht="14.4">
      <c r="A236" s="276"/>
      <c r="B236" s="276"/>
      <c r="C236"/>
      <c r="D236" s="157"/>
      <c r="F236" s="129" t="s">
        <v>243</v>
      </c>
      <c r="G236" s="149">
        <v>100</v>
      </c>
      <c r="H236" s="149">
        <v>100</v>
      </c>
      <c r="I236" s="129">
        <v>100</v>
      </c>
      <c r="J236" s="129">
        <v>90</v>
      </c>
      <c r="K236" s="129">
        <v>68</v>
      </c>
      <c r="L236" s="129">
        <v>38</v>
      </c>
      <c r="M236" s="129">
        <v>24</v>
      </c>
      <c r="N236" s="129">
        <v>15</v>
      </c>
      <c r="O236" s="129">
        <v>10</v>
      </c>
      <c r="P236" s="129">
        <v>7</v>
      </c>
      <c r="Q236" s="129">
        <v>5</v>
      </c>
      <c r="R236" s="129">
        <v>4</v>
      </c>
      <c r="AC236" s="2"/>
    </row>
    <row r="237" spans="1:32">
      <c r="A237" s="276" t="s">
        <v>101</v>
      </c>
      <c r="B237" s="276" t="s">
        <v>218</v>
      </c>
      <c r="C237" s="159" t="s">
        <v>81</v>
      </c>
      <c r="D237" s="157" t="s">
        <v>62</v>
      </c>
      <c r="E237" s="276">
        <v>0.5</v>
      </c>
      <c r="F237" s="129">
        <v>0.16</v>
      </c>
      <c r="G237" s="149">
        <v>100</v>
      </c>
      <c r="H237" s="149">
        <v>100</v>
      </c>
      <c r="I237" s="149">
        <v>100</v>
      </c>
      <c r="J237" s="149">
        <v>61.4</v>
      </c>
      <c r="K237" s="149">
        <v>15.2</v>
      </c>
      <c r="L237" s="149">
        <v>5.0999999999999996</v>
      </c>
      <c r="M237" s="149">
        <v>0</v>
      </c>
      <c r="N237" s="149">
        <v>0</v>
      </c>
      <c r="O237" s="149">
        <v>0</v>
      </c>
      <c r="P237" s="149">
        <v>0</v>
      </c>
      <c r="Q237" s="149">
        <v>0</v>
      </c>
      <c r="R237" s="149">
        <v>0</v>
      </c>
      <c r="S237" s="138">
        <v>2.7330000000000001</v>
      </c>
      <c r="T237" s="138">
        <v>2.681</v>
      </c>
      <c r="U237" s="138">
        <f>级配!F237/S237*E237</f>
        <v>2.9271862422246601E-2</v>
      </c>
      <c r="V237" s="138">
        <f>级配!F237/T237*E237</f>
        <v>2.9839612085042901E-2</v>
      </c>
      <c r="W237" s="138">
        <f>1/SUM(U237:U245)</f>
        <v>2.80454616806212</v>
      </c>
      <c r="X237" s="153">
        <v>0.4</v>
      </c>
      <c r="Y237" s="138">
        <f>0.033*X237*X237-0.2936*X237+0.9336</f>
        <v>0.82143999999999995</v>
      </c>
      <c r="Z237" s="138">
        <f>0.033*Y237*Y237-0.2936*Y237+0.9336</f>
        <v>0.71469241722879995</v>
      </c>
      <c r="AA237" s="158">
        <v>2.58</v>
      </c>
      <c r="AB237" s="138">
        <f>1/SUM(V237:V245)</f>
        <v>2.7195501013287302</v>
      </c>
      <c r="AC237" s="139">
        <v>4.5999999999999996</v>
      </c>
      <c r="AD237" s="138">
        <f>100*AC237/(100+AC237)</f>
        <v>4.3977055449330802</v>
      </c>
      <c r="AE237" s="156"/>
      <c r="AF237" s="156">
        <f>AC237-E243*F244*AE244-E243*F245*AE245</f>
        <v>2.12109287739497</v>
      </c>
    </row>
    <row r="238" spans="1:32">
      <c r="A238" s="276"/>
      <c r="B238" s="276"/>
      <c r="C238" s="159" t="s">
        <v>81</v>
      </c>
      <c r="D238" s="157" t="s">
        <v>63</v>
      </c>
      <c r="E238" s="276"/>
      <c r="F238" s="129">
        <v>0.32</v>
      </c>
      <c r="G238" s="149">
        <v>100</v>
      </c>
      <c r="H238" s="149">
        <v>100</v>
      </c>
      <c r="I238" s="149">
        <v>100</v>
      </c>
      <c r="J238" s="149">
        <v>100</v>
      </c>
      <c r="K238" s="149">
        <v>68.7</v>
      </c>
      <c r="L238" s="149">
        <v>9.9</v>
      </c>
      <c r="M238" s="149">
        <v>7.8</v>
      </c>
      <c r="N238" s="149">
        <v>0</v>
      </c>
      <c r="O238" s="149">
        <v>0</v>
      </c>
      <c r="P238" s="149">
        <v>0</v>
      </c>
      <c r="Q238" s="149">
        <v>0</v>
      </c>
      <c r="R238" s="149">
        <v>0</v>
      </c>
      <c r="S238" s="138">
        <v>2.847</v>
      </c>
      <c r="T238" s="138">
        <v>2.802</v>
      </c>
      <c r="U238" s="138">
        <f>级配!F238/S238*E237</f>
        <v>5.6199508254302803E-2</v>
      </c>
      <c r="V238" s="138">
        <f>级配!F238/T238*E237</f>
        <v>5.7102069950035701E-2</v>
      </c>
      <c r="W238" s="138"/>
      <c r="X238" s="138"/>
      <c r="Y238" s="151"/>
      <c r="Z238" s="151"/>
      <c r="AA238" s="158">
        <v>2.57</v>
      </c>
      <c r="AB238" s="138">
        <v>2.7195501013287302</v>
      </c>
      <c r="AC238" s="139">
        <v>4.9000000000000004</v>
      </c>
      <c r="AD238" s="138">
        <f t="shared" ref="AD238:AD239" si="25">100*AC238/(100+AC238)</f>
        <v>4.6711153479504297</v>
      </c>
      <c r="AE238" s="156"/>
      <c r="AF238" s="156">
        <f>AC238-E243*F244*AE244-E243*F245*AE245</f>
        <v>2.4210928773949698</v>
      </c>
    </row>
    <row r="239" spans="1:32">
      <c r="A239" s="276"/>
      <c r="B239" s="276"/>
      <c r="C239" s="159" t="s">
        <v>81</v>
      </c>
      <c r="D239" s="157" t="s">
        <v>70</v>
      </c>
      <c r="E239" s="276"/>
      <c r="F239" s="129">
        <v>0.32</v>
      </c>
      <c r="G239" s="149">
        <v>100</v>
      </c>
      <c r="H239" s="149">
        <v>100</v>
      </c>
      <c r="I239" s="149">
        <v>100</v>
      </c>
      <c r="J239" s="149">
        <v>100</v>
      </c>
      <c r="K239" s="149">
        <v>100</v>
      </c>
      <c r="L239" s="149">
        <v>71.7</v>
      </c>
      <c r="M239" s="149">
        <v>16.7</v>
      </c>
      <c r="N239" s="149">
        <v>8.5</v>
      </c>
      <c r="O239" s="149">
        <v>0</v>
      </c>
      <c r="P239" s="149">
        <v>0</v>
      </c>
      <c r="Q239" s="149">
        <v>0</v>
      </c>
      <c r="R239" s="149">
        <v>0</v>
      </c>
      <c r="S239" s="138">
        <v>2.819</v>
      </c>
      <c r="T239" s="138">
        <v>2.7549999999999999</v>
      </c>
      <c r="U239" s="138">
        <f>级配!F239/S239*E237</f>
        <v>5.6757715501951099E-2</v>
      </c>
      <c r="V239" s="138">
        <f>级配!F239/T239*E237</f>
        <v>5.8076225045372097E-2</v>
      </c>
      <c r="AA239" s="174">
        <v>2.59</v>
      </c>
      <c r="AB239" s="153">
        <v>2.7195501013287302</v>
      </c>
      <c r="AC239" s="2">
        <v>4.8</v>
      </c>
      <c r="AD239" s="138">
        <f t="shared" si="25"/>
        <v>4.5801526717557302</v>
      </c>
      <c r="AE239" s="156"/>
      <c r="AF239" s="156">
        <f>AC239-E243*F244*AE244-E243*F245*AE245</f>
        <v>2.3210928773949702</v>
      </c>
    </row>
    <row r="240" spans="1:32">
      <c r="A240" s="276"/>
      <c r="B240" s="276"/>
      <c r="C240" s="159" t="s">
        <v>82</v>
      </c>
      <c r="D240" s="157" t="s">
        <v>71</v>
      </c>
      <c r="E240" s="276"/>
      <c r="F240" s="129">
        <v>0.15</v>
      </c>
      <c r="G240" s="149">
        <v>100</v>
      </c>
      <c r="H240" s="149">
        <v>100</v>
      </c>
      <c r="I240" s="149">
        <v>100</v>
      </c>
      <c r="J240" s="149">
        <v>100</v>
      </c>
      <c r="K240" s="149">
        <v>100</v>
      </c>
      <c r="L240" s="149">
        <v>100</v>
      </c>
      <c r="M240" s="149">
        <v>85.4</v>
      </c>
      <c r="N240" s="149">
        <v>64.2</v>
      </c>
      <c r="O240" s="149">
        <v>50.6</v>
      </c>
      <c r="P240" s="149">
        <v>37.299999999999997</v>
      </c>
      <c r="Q240" s="149">
        <v>32.6</v>
      </c>
      <c r="R240" s="149">
        <v>31.4</v>
      </c>
      <c r="S240" s="138">
        <v>2.7269999999999999</v>
      </c>
      <c r="T240" s="138">
        <v>2.6320000000000001</v>
      </c>
      <c r="U240" s="138">
        <f>级配!F240/S240*E237</f>
        <v>2.75027502750275E-2</v>
      </c>
      <c r="V240" s="138">
        <f>级配!F240/T240*E237</f>
        <v>2.8495440729483301E-2</v>
      </c>
      <c r="AC240" s="2"/>
    </row>
    <row r="241" spans="1:32" ht="14.4">
      <c r="A241" s="276"/>
      <c r="B241" s="276"/>
      <c r="C241" s="164" t="s">
        <v>99</v>
      </c>
      <c r="D241" s="157" t="s">
        <v>73</v>
      </c>
      <c r="E241" s="276"/>
      <c r="F241" s="129">
        <v>0.05</v>
      </c>
      <c r="G241" s="149">
        <v>100</v>
      </c>
      <c r="H241" s="149">
        <v>100</v>
      </c>
      <c r="I241" s="149">
        <v>100</v>
      </c>
      <c r="J241" s="149">
        <v>100</v>
      </c>
      <c r="K241" s="149">
        <v>100</v>
      </c>
      <c r="L241" s="149">
        <v>100</v>
      </c>
      <c r="M241" s="149">
        <v>100</v>
      </c>
      <c r="N241" s="149">
        <v>100</v>
      </c>
      <c r="O241" s="149">
        <v>100</v>
      </c>
      <c r="P241" s="149">
        <v>97.4</v>
      </c>
      <c r="Q241" s="149">
        <v>90.2</v>
      </c>
      <c r="R241" s="149">
        <v>78.2</v>
      </c>
      <c r="S241" s="138">
        <v>2.6789999999999998</v>
      </c>
      <c r="T241" s="138">
        <v>2.6789999999999998</v>
      </c>
      <c r="U241" s="138">
        <f>级配!F241/S241*E237</f>
        <v>9.3318402388951095E-3</v>
      </c>
      <c r="V241" s="138">
        <f>级配!F241/T241*E237</f>
        <v>9.3318402388951095E-3</v>
      </c>
      <c r="AC241" s="2"/>
    </row>
    <row r="242" spans="1:32" ht="14.4">
      <c r="A242" s="276"/>
      <c r="B242" s="276"/>
      <c r="C242" s="164" t="s">
        <v>99</v>
      </c>
      <c r="D242" s="157" t="s">
        <v>73</v>
      </c>
      <c r="E242" s="276"/>
      <c r="F242" s="129">
        <v>0</v>
      </c>
      <c r="G242" s="149">
        <v>100</v>
      </c>
      <c r="H242" s="149">
        <v>100</v>
      </c>
      <c r="I242" s="149">
        <v>100</v>
      </c>
      <c r="J242" s="149">
        <v>100</v>
      </c>
      <c r="K242" s="149">
        <v>100</v>
      </c>
      <c r="L242" s="149">
        <v>100</v>
      </c>
      <c r="M242" s="149">
        <v>81.364999999999995</v>
      </c>
      <c r="N242" s="149">
        <v>59.195</v>
      </c>
      <c r="O242" s="149">
        <v>34.704999999999998</v>
      </c>
      <c r="P242" s="149">
        <v>19.21</v>
      </c>
      <c r="Q242" s="149">
        <v>13.9</v>
      </c>
      <c r="R242" s="149">
        <v>11.54</v>
      </c>
      <c r="S242" s="138">
        <v>2.72</v>
      </c>
      <c r="T242" s="138">
        <v>2.65</v>
      </c>
      <c r="U242" s="138">
        <f>级配!F242/S242*E237</f>
        <v>0</v>
      </c>
      <c r="V242" s="138">
        <f>级配!F242/T242*E237</f>
        <v>0</v>
      </c>
      <c r="AC242" s="2"/>
    </row>
    <row r="243" spans="1:32" ht="14.4">
      <c r="A243" s="276"/>
      <c r="B243" s="276"/>
      <c r="C243" s="164" t="s">
        <v>99</v>
      </c>
      <c r="D243" s="157" t="s">
        <v>73</v>
      </c>
      <c r="E243" s="276">
        <v>0.5</v>
      </c>
      <c r="F243" s="129">
        <v>0</v>
      </c>
      <c r="G243" s="149">
        <v>100</v>
      </c>
      <c r="H243" s="149">
        <v>100</v>
      </c>
      <c r="I243" s="149">
        <v>98.7</v>
      </c>
      <c r="J243" s="149">
        <v>87.2</v>
      </c>
      <c r="K243" s="149">
        <v>52.7</v>
      </c>
      <c r="L243" s="149">
        <v>22.4</v>
      </c>
      <c r="M243" s="149">
        <v>16.100000000000001</v>
      </c>
      <c r="N243" s="149">
        <v>13.1</v>
      </c>
      <c r="O243" s="149">
        <v>11.4</v>
      </c>
      <c r="P243" s="149">
        <v>8.9</v>
      </c>
      <c r="Q243" s="149">
        <v>6.2</v>
      </c>
      <c r="R243" s="149">
        <v>3.7</v>
      </c>
      <c r="S243" s="138">
        <v>2.8570000000000002</v>
      </c>
      <c r="T243" s="138">
        <v>2.7450000000000001</v>
      </c>
      <c r="U243" s="138">
        <f>级配!F243/S243*E243</f>
        <v>0</v>
      </c>
      <c r="V243" s="138">
        <f>级配!F243/T243*E243</f>
        <v>0</v>
      </c>
      <c r="AC243" s="2"/>
    </row>
    <row r="244" spans="1:32">
      <c r="A244" s="276"/>
      <c r="B244" s="276"/>
      <c r="C244" s="159" t="s">
        <v>74</v>
      </c>
      <c r="D244" s="168" t="s">
        <v>96</v>
      </c>
      <c r="E244" s="276"/>
      <c r="F244" s="129">
        <v>0.5</v>
      </c>
      <c r="G244" s="149">
        <v>100</v>
      </c>
      <c r="H244" s="149">
        <v>100</v>
      </c>
      <c r="I244" s="149">
        <v>100</v>
      </c>
      <c r="J244" s="149">
        <v>88.3</v>
      </c>
      <c r="K244" s="149">
        <v>64.599999999999994</v>
      </c>
      <c r="L244" s="149">
        <v>23.7</v>
      </c>
      <c r="M244" s="149">
        <v>13.8</v>
      </c>
      <c r="N244" s="149">
        <v>11.3</v>
      </c>
      <c r="O244" s="149">
        <v>9.6</v>
      </c>
      <c r="P244" s="149">
        <v>7.6</v>
      </c>
      <c r="Q244" s="149">
        <v>5.5</v>
      </c>
      <c r="R244" s="149">
        <v>3.8</v>
      </c>
      <c r="S244" s="138">
        <v>2.8340000000000001</v>
      </c>
      <c r="T244" s="138">
        <v>2.7330000000000001</v>
      </c>
      <c r="U244" s="138">
        <f>级配!F244/S244*E243</f>
        <v>8.8214537755822206E-2</v>
      </c>
      <c r="V244" s="138">
        <f>级配!F244/T244*E243</f>
        <v>9.14745700695207E-2</v>
      </c>
      <c r="AC244" s="2"/>
      <c r="AE244" s="154">
        <v>6.51327433628318</v>
      </c>
    </row>
    <row r="245" spans="1:32">
      <c r="A245" s="276"/>
      <c r="B245" s="276"/>
      <c r="C245" s="159" t="s">
        <v>76</v>
      </c>
      <c r="D245" s="168" t="s">
        <v>97</v>
      </c>
      <c r="E245" s="276"/>
      <c r="F245" s="129">
        <v>0.5</v>
      </c>
      <c r="G245" s="149">
        <v>100</v>
      </c>
      <c r="H245" s="149">
        <v>100</v>
      </c>
      <c r="I245" s="149">
        <v>100</v>
      </c>
      <c r="J245" s="149">
        <v>100</v>
      </c>
      <c r="K245" s="149">
        <v>100</v>
      </c>
      <c r="L245" s="149">
        <v>82.5</v>
      </c>
      <c r="M245" s="149">
        <v>51.7</v>
      </c>
      <c r="N245" s="149">
        <v>36.6</v>
      </c>
      <c r="O245" s="149">
        <v>26.6</v>
      </c>
      <c r="P245" s="149">
        <v>18.399999999999999</v>
      </c>
      <c r="Q245" s="149">
        <v>12.4</v>
      </c>
      <c r="R245" s="149">
        <v>9</v>
      </c>
      <c r="S245" s="138">
        <v>2.8</v>
      </c>
      <c r="T245" s="138">
        <v>2.677</v>
      </c>
      <c r="U245" s="138">
        <f>级配!F245/S245*E243</f>
        <v>8.9285714285714302E-2</v>
      </c>
      <c r="V245" s="138">
        <f>级配!F245/T245*E243</f>
        <v>9.3388121031004898E-2</v>
      </c>
      <c r="AC245" s="2"/>
      <c r="AE245" s="154">
        <v>3.4023541541369502</v>
      </c>
    </row>
    <row r="246" spans="1:32" ht="14.4">
      <c r="A246" s="276"/>
      <c r="B246" s="276"/>
      <c r="C246"/>
      <c r="D246" s="157"/>
      <c r="F246" s="172" t="s">
        <v>253</v>
      </c>
      <c r="G246" s="170">
        <f>$E$29*($F$29*G237+$F$30*G238+$F$31*G239+$F$32*G240+$F$33*G241+$F$34*G242+$F$35*G243)+$E$36*($F$36*G244+$F$37*G245)</f>
        <v>100</v>
      </c>
      <c r="H246" s="170">
        <f>E237*(F237*H237+F238*H238+F239*H239+F240*H240+F241*H241+F242*H242+F243*H243)+E243*(F244*H244+F245*H245)</f>
        <v>100</v>
      </c>
      <c r="I246" s="170">
        <f>E237*(F237*I237+F238*I238+F239*I239+F240*I240+F241*I241+F242*I242+F243*I243)+E243*(F244*I244+F245*I245)</f>
        <v>100</v>
      </c>
      <c r="J246" s="170">
        <f>E237*(F237*J237+F238*J238+F239*J239+F240*J240+F241*J241+F242*J242+F243*J243)+E243*(F244*J244+F245*J245)</f>
        <v>93.986999999999995</v>
      </c>
      <c r="K246" s="170">
        <f>E237*(F237*K237+F238*K238+F239*K239+F240*K240+F241*K241+F242*K242+F243*K243)+E243*(F244*K244+F245*K245)</f>
        <v>79.358000000000004</v>
      </c>
      <c r="L246" s="170">
        <f>E237*(F237*L237+F238*L238+F239*L239+F240*L240+F241*L241+F242*L242+F243*L243)+E243*(F244*L244+F245*L245)</f>
        <v>50.014000000000003</v>
      </c>
      <c r="M246" s="170">
        <f>E237*(F237*M237+F238*M238+F239*M239+F240*M240+F241*M241+F242*M242+F243*M243)+E243*(F244*M244+F245*M245)</f>
        <v>29.2</v>
      </c>
      <c r="N246" s="170">
        <f>E237*(F237*N237+F238*N238+F239*N239+F240*N240+F241*N241+F242*N242+F243*N243)+E243*(F244*N244+F245*N245)</f>
        <v>20.65</v>
      </c>
      <c r="O246" s="170">
        <f>E237*(F237*O237+F238*O238+F239*O239+F240*O240+F241*O241+F242*O242+F243*O243)+E243*(F244*O244+F245*O245)</f>
        <v>15.345000000000001</v>
      </c>
      <c r="P246" s="170">
        <f>E237*(F237*P237+F238*P238+F239*P239+F240*P240+F241*P241+F242*P242+F243*P243)+E243*(F244*P244+F245*P245)</f>
        <v>11.7325</v>
      </c>
      <c r="Q246" s="170">
        <f>E237*(F237*Q237+F238*Q238+F239*Q239+F240*Q240+F241*Q241+F242*Q242+F243*Q243)+E243*(F244*Q244+F245*Q245)</f>
        <v>9.1750000000000007</v>
      </c>
      <c r="R246" s="170">
        <f>E237*(F237*R237+F238*R238+F239*R239+F240*R240+F241*R241+F242*R242+F243*R243)+E243*(F244*R244+F245*R245)</f>
        <v>7.51</v>
      </c>
      <c r="S246" s="138"/>
      <c r="T246" s="138"/>
      <c r="AC246" s="2"/>
    </row>
    <row r="247" spans="1:32" ht="14.4">
      <c r="A247" s="276"/>
      <c r="B247" s="276"/>
      <c r="C247"/>
      <c r="D247" s="157"/>
      <c r="F247" s="129" t="s">
        <v>241</v>
      </c>
      <c r="G247" s="149">
        <v>100</v>
      </c>
      <c r="H247" s="149">
        <v>100</v>
      </c>
      <c r="I247" s="129">
        <v>100</v>
      </c>
      <c r="J247" s="129">
        <v>100</v>
      </c>
      <c r="K247" s="129">
        <v>85</v>
      </c>
      <c r="L247" s="129">
        <v>68</v>
      </c>
      <c r="M247" s="129">
        <v>50</v>
      </c>
      <c r="N247" s="129">
        <v>38</v>
      </c>
      <c r="O247" s="129">
        <v>28</v>
      </c>
      <c r="P247" s="129">
        <v>20</v>
      </c>
      <c r="Q247" s="129">
        <v>15</v>
      </c>
      <c r="R247" s="129">
        <v>8</v>
      </c>
      <c r="S247" s="138"/>
      <c r="T247" s="138"/>
      <c r="AC247" s="2"/>
    </row>
    <row r="248" spans="1:32" ht="14.4">
      <c r="A248" s="276"/>
      <c r="B248" s="276"/>
      <c r="C248"/>
      <c r="D248" s="157"/>
      <c r="F248" s="129" t="s">
        <v>242</v>
      </c>
      <c r="G248" s="149">
        <f t="shared" ref="G248" si="26">(G247+G249)/2</f>
        <v>100</v>
      </c>
      <c r="H248" s="149">
        <v>100</v>
      </c>
      <c r="I248" s="129">
        <v>100</v>
      </c>
      <c r="J248" s="129">
        <f t="shared" ref="J248:R248" si="27">(J247+J249)/2</f>
        <v>95</v>
      </c>
      <c r="K248" s="129">
        <f t="shared" si="27"/>
        <v>76.5</v>
      </c>
      <c r="L248" s="129">
        <f t="shared" si="27"/>
        <v>53</v>
      </c>
      <c r="M248" s="129">
        <f t="shared" si="27"/>
        <v>37</v>
      </c>
      <c r="N248" s="129">
        <f t="shared" si="27"/>
        <v>26.5</v>
      </c>
      <c r="O248" s="129">
        <f t="shared" si="27"/>
        <v>19</v>
      </c>
      <c r="P248" s="129">
        <f t="shared" si="27"/>
        <v>13.5</v>
      </c>
      <c r="Q248" s="129">
        <f t="shared" si="27"/>
        <v>10</v>
      </c>
      <c r="R248" s="129">
        <f t="shared" si="27"/>
        <v>6</v>
      </c>
      <c r="S248" s="138"/>
      <c r="T248" s="138"/>
      <c r="AC248" s="2"/>
    </row>
    <row r="249" spans="1:32" ht="14.4">
      <c r="A249" s="276"/>
      <c r="B249" s="276"/>
      <c r="C249"/>
      <c r="D249" s="157"/>
      <c r="F249" s="129" t="s">
        <v>243</v>
      </c>
      <c r="G249" s="149">
        <v>100</v>
      </c>
      <c r="H249" s="149">
        <v>100</v>
      </c>
      <c r="I249" s="129">
        <v>100</v>
      </c>
      <c r="J249" s="129">
        <v>90</v>
      </c>
      <c r="K249" s="129">
        <v>68</v>
      </c>
      <c r="L249" s="129">
        <v>38</v>
      </c>
      <c r="M249" s="129">
        <v>24</v>
      </c>
      <c r="N249" s="129">
        <v>15</v>
      </c>
      <c r="O249" s="129">
        <v>10</v>
      </c>
      <c r="P249" s="129">
        <v>7</v>
      </c>
      <c r="Q249" s="129">
        <v>5</v>
      </c>
      <c r="R249" s="129">
        <v>4</v>
      </c>
      <c r="S249" s="138"/>
      <c r="T249" s="138"/>
      <c r="AC249" s="2"/>
    </row>
    <row r="250" spans="1:32">
      <c r="A250" s="276" t="s">
        <v>102</v>
      </c>
      <c r="B250" s="276" t="s">
        <v>218</v>
      </c>
      <c r="C250" s="159" t="s">
        <v>81</v>
      </c>
      <c r="D250" s="157" t="s">
        <v>79</v>
      </c>
      <c r="E250" s="276">
        <v>0.5</v>
      </c>
      <c r="F250" s="129">
        <v>0.4</v>
      </c>
      <c r="G250" s="149">
        <v>100</v>
      </c>
      <c r="H250" s="149">
        <v>100</v>
      </c>
      <c r="I250" s="149">
        <v>100</v>
      </c>
      <c r="J250" s="149">
        <v>98.670833333333306</v>
      </c>
      <c r="K250" s="149">
        <v>40.504166666666698</v>
      </c>
      <c r="L250" s="149">
        <v>1.37083333333334</v>
      </c>
      <c r="M250" s="149">
        <v>0.91249999999997999</v>
      </c>
      <c r="N250" s="149">
        <v>0.91249999999997999</v>
      </c>
      <c r="O250" s="149">
        <v>0.91249999999997999</v>
      </c>
      <c r="P250" s="149">
        <v>0.91249999999997999</v>
      </c>
      <c r="Q250" s="149">
        <v>0.91249999999997999</v>
      </c>
      <c r="R250" s="149">
        <v>0.91249999999997999</v>
      </c>
      <c r="S250" s="138">
        <v>2.7269999999999999</v>
      </c>
      <c r="T250" s="138">
        <v>2.653</v>
      </c>
      <c r="U250" s="138">
        <f>级配!F250/S250*E250</f>
        <v>7.3340667400073306E-2</v>
      </c>
      <c r="V250" s="138">
        <f>级配!F250/T250*E250</f>
        <v>7.5386355069732403E-2</v>
      </c>
      <c r="W250" s="138">
        <f>1/SUM(U250:U258)</f>
        <v>2.7534200919768299</v>
      </c>
      <c r="X250" s="153">
        <v>0.4</v>
      </c>
      <c r="Y250" s="138">
        <f>0.033*X250*X250-0.2936*X250+0.9336</f>
        <v>0.82143999999999995</v>
      </c>
      <c r="Z250" s="138">
        <f>0.033*Y250*Y250-0.2936*Y250+0.9336</f>
        <v>0.71469241722879995</v>
      </c>
      <c r="AA250" s="158">
        <v>2.5351559405831101</v>
      </c>
      <c r="AB250" s="138">
        <f>1/SUM(V250:V258)</f>
        <v>2.65340859569447</v>
      </c>
      <c r="AC250" s="139">
        <v>4.8</v>
      </c>
      <c r="AD250" s="138">
        <f>100*AC250/(100+AC250)</f>
        <v>4.5801526717557302</v>
      </c>
      <c r="AE250" s="156"/>
      <c r="AF250" s="156">
        <f>AC250-E256*F257*AE257-E256*F258*AE258</f>
        <v>2.1502956611177999</v>
      </c>
    </row>
    <row r="251" spans="1:32">
      <c r="A251" s="276"/>
      <c r="B251" s="276"/>
      <c r="C251" s="159" t="s">
        <v>81</v>
      </c>
      <c r="D251" s="157" t="s">
        <v>63</v>
      </c>
      <c r="E251" s="276"/>
      <c r="F251" s="129">
        <v>0.38</v>
      </c>
      <c r="G251" s="149">
        <v>100</v>
      </c>
      <c r="H251" s="149">
        <v>100</v>
      </c>
      <c r="I251" s="149">
        <v>100</v>
      </c>
      <c r="J251" s="149">
        <v>100</v>
      </c>
      <c r="K251" s="149">
        <v>97.742857142857105</v>
      </c>
      <c r="L251" s="149">
        <v>24.3857142857143</v>
      </c>
      <c r="M251" s="149">
        <v>7.3</v>
      </c>
      <c r="N251" s="149">
        <v>6.3071428571428498</v>
      </c>
      <c r="O251" s="149">
        <v>6.3071428571428498</v>
      </c>
      <c r="P251" s="149">
        <v>6.3071428571428498</v>
      </c>
      <c r="Q251" s="149">
        <v>6.3071428571428498</v>
      </c>
      <c r="R251" s="149">
        <v>6.3071428571428498</v>
      </c>
      <c r="S251" s="138">
        <v>2.73</v>
      </c>
      <c r="T251" s="138">
        <v>2.6840000000000002</v>
      </c>
      <c r="U251" s="138">
        <f>级配!F251/S251*E250</f>
        <v>6.95970695970696E-2</v>
      </c>
      <c r="V251" s="138">
        <f>级配!F251/T251*E250</f>
        <v>7.0789865871833099E-2</v>
      </c>
      <c r="W251" s="138"/>
      <c r="X251" s="138"/>
      <c r="Y251" s="151"/>
      <c r="Z251" s="151"/>
      <c r="AA251" s="158">
        <v>2.5041191226951902</v>
      </c>
      <c r="AB251" s="138">
        <v>2.65340859569447</v>
      </c>
      <c r="AC251" s="139">
        <v>4.9000000000000004</v>
      </c>
      <c r="AD251" s="138">
        <f t="shared" ref="AD251" si="28">100*AC251/(100+AC251)</f>
        <v>4.6711153479504297</v>
      </c>
      <c r="AE251" s="156"/>
      <c r="AF251" s="156">
        <f>AC251-E256*F257*AE257-E256*F258*AE258</f>
        <v>2.2502956611178</v>
      </c>
    </row>
    <row r="252" spans="1:32">
      <c r="A252" s="276"/>
      <c r="B252" s="276"/>
      <c r="C252" s="159" t="s">
        <v>82</v>
      </c>
      <c r="D252" s="157" t="s">
        <v>65</v>
      </c>
      <c r="E252" s="276"/>
      <c r="F252" s="129">
        <v>0.2</v>
      </c>
      <c r="G252" s="149">
        <v>100</v>
      </c>
      <c r="H252" s="149">
        <v>100</v>
      </c>
      <c r="I252" s="149">
        <v>100</v>
      </c>
      <c r="J252" s="149">
        <v>100</v>
      </c>
      <c r="K252" s="149">
        <v>100</v>
      </c>
      <c r="L252" s="149">
        <v>99.758333333333297</v>
      </c>
      <c r="M252" s="149">
        <v>77.825000000000003</v>
      </c>
      <c r="N252" s="149">
        <v>53.391666666666701</v>
      </c>
      <c r="O252" s="149">
        <v>39.924999999999997</v>
      </c>
      <c r="P252" s="149">
        <v>26</v>
      </c>
      <c r="Q252" s="149">
        <v>19.3</v>
      </c>
      <c r="R252" s="149">
        <v>15</v>
      </c>
      <c r="S252" s="138">
        <v>2.7410000000000001</v>
      </c>
      <c r="T252" s="138">
        <v>2.673</v>
      </c>
      <c r="U252" s="138">
        <f>级配!F252/S252*E250</f>
        <v>3.6483035388544298E-2</v>
      </c>
      <c r="V252" s="138">
        <f>级配!F252/T252*E250</f>
        <v>3.7411148522259602E-2</v>
      </c>
      <c r="AC252" s="2"/>
      <c r="AD252" s="138"/>
      <c r="AE252" s="156"/>
      <c r="AF252" s="156"/>
    </row>
    <row r="253" spans="1:32">
      <c r="A253" s="276"/>
      <c r="B253" s="276"/>
      <c r="C253" s="159" t="s">
        <v>99</v>
      </c>
      <c r="D253" s="157" t="s">
        <v>73</v>
      </c>
      <c r="E253" s="276"/>
      <c r="F253" s="129">
        <v>0.02</v>
      </c>
      <c r="G253" s="149">
        <v>100</v>
      </c>
      <c r="H253" s="149">
        <v>100</v>
      </c>
      <c r="I253" s="149">
        <v>100</v>
      </c>
      <c r="J253" s="149">
        <v>100</v>
      </c>
      <c r="K253" s="149">
        <v>100</v>
      </c>
      <c r="L253" s="149">
        <v>100</v>
      </c>
      <c r="M253" s="149">
        <v>100</v>
      </c>
      <c r="N253" s="149">
        <v>100</v>
      </c>
      <c r="O253" s="149">
        <v>100</v>
      </c>
      <c r="P253" s="149">
        <v>97.4</v>
      </c>
      <c r="Q253" s="149">
        <v>90.2</v>
      </c>
      <c r="R253" s="149">
        <v>78.2</v>
      </c>
      <c r="S253" s="138">
        <v>2.6789999999999998</v>
      </c>
      <c r="T253" s="138">
        <v>2.6789999999999998</v>
      </c>
      <c r="U253" s="138">
        <f>级配!F253/S253*E250</f>
        <v>3.7327360955580402E-3</v>
      </c>
      <c r="V253" s="138">
        <f>级配!F253/T253*E250</f>
        <v>3.7327360955580402E-3</v>
      </c>
      <c r="AC253" s="2"/>
    </row>
    <row r="254" spans="1:32" ht="14.4">
      <c r="A254" s="276"/>
      <c r="B254" s="276"/>
      <c r="C254" s="164" t="s">
        <v>99</v>
      </c>
      <c r="D254" s="157" t="s">
        <v>73</v>
      </c>
      <c r="E254" s="276"/>
      <c r="F254" s="129">
        <v>0</v>
      </c>
      <c r="G254" s="149">
        <v>100</v>
      </c>
      <c r="H254" s="149">
        <v>100</v>
      </c>
      <c r="I254" s="149">
        <v>100</v>
      </c>
      <c r="J254" s="149">
        <v>100</v>
      </c>
      <c r="K254" s="149">
        <v>100</v>
      </c>
      <c r="L254" s="149">
        <v>100</v>
      </c>
      <c r="M254" s="149">
        <v>100</v>
      </c>
      <c r="N254" s="149">
        <v>100</v>
      </c>
      <c r="O254" s="149">
        <v>100</v>
      </c>
      <c r="P254" s="149">
        <v>97.4</v>
      </c>
      <c r="Q254" s="149">
        <v>90.2</v>
      </c>
      <c r="R254" s="149">
        <v>78.2</v>
      </c>
      <c r="S254" s="138">
        <v>2.6789999999999998</v>
      </c>
      <c r="T254" s="138">
        <v>2.6789999999999998</v>
      </c>
      <c r="U254" s="138">
        <f>级配!F254/S254*E250</f>
        <v>0</v>
      </c>
      <c r="V254" s="138">
        <f>级配!F254/T254*E250</f>
        <v>0</v>
      </c>
      <c r="AC254" s="2"/>
    </row>
    <row r="255" spans="1:32" ht="14.4">
      <c r="A255" s="276"/>
      <c r="B255" s="276"/>
      <c r="C255" s="164" t="s">
        <v>99</v>
      </c>
      <c r="D255" s="157" t="s">
        <v>73</v>
      </c>
      <c r="E255" s="276"/>
      <c r="F255" s="129">
        <v>0</v>
      </c>
      <c r="G255" s="149">
        <v>100</v>
      </c>
      <c r="H255" s="149">
        <v>100</v>
      </c>
      <c r="I255" s="149">
        <v>100</v>
      </c>
      <c r="J255" s="149">
        <v>100</v>
      </c>
      <c r="K255" s="149">
        <v>100</v>
      </c>
      <c r="L255" s="149">
        <v>100</v>
      </c>
      <c r="M255" s="149">
        <v>81.364999999999995</v>
      </c>
      <c r="N255" s="149">
        <v>59.195</v>
      </c>
      <c r="O255" s="149">
        <v>34.704999999999998</v>
      </c>
      <c r="P255" s="149">
        <v>19.21</v>
      </c>
      <c r="Q255" s="149">
        <v>13.9</v>
      </c>
      <c r="R255" s="149">
        <v>11.54</v>
      </c>
      <c r="S255" s="138">
        <v>2.72</v>
      </c>
      <c r="T255" s="138">
        <v>2.65</v>
      </c>
      <c r="U255" s="138">
        <f>级配!F255/S255*E250</f>
        <v>0</v>
      </c>
      <c r="V255" s="138">
        <f>级配!F255/T255*E250</f>
        <v>0</v>
      </c>
      <c r="AC255" s="2"/>
    </row>
    <row r="256" spans="1:32" ht="14.4">
      <c r="A256" s="276"/>
      <c r="B256" s="276"/>
      <c r="C256" s="164" t="s">
        <v>99</v>
      </c>
      <c r="D256" s="157" t="s">
        <v>73</v>
      </c>
      <c r="E256" s="276">
        <v>0.5</v>
      </c>
      <c r="F256" s="129">
        <v>0</v>
      </c>
      <c r="G256" s="149">
        <v>100</v>
      </c>
      <c r="H256" s="149">
        <v>100</v>
      </c>
      <c r="I256" s="149">
        <v>98.7</v>
      </c>
      <c r="J256" s="149">
        <v>87.2</v>
      </c>
      <c r="K256" s="149">
        <v>52.7</v>
      </c>
      <c r="L256" s="149">
        <v>22.4</v>
      </c>
      <c r="M256" s="149">
        <v>16.100000000000001</v>
      </c>
      <c r="N256" s="149">
        <v>13.1</v>
      </c>
      <c r="O256" s="149">
        <v>11.4</v>
      </c>
      <c r="P256" s="149">
        <v>8.9</v>
      </c>
      <c r="Q256" s="149">
        <v>6.2</v>
      </c>
      <c r="R256" s="149">
        <v>3.7</v>
      </c>
      <c r="S256" s="138">
        <v>2.8570000000000002</v>
      </c>
      <c r="T256" s="138">
        <v>2.7450000000000001</v>
      </c>
      <c r="U256" s="138">
        <f>级配!F256/S256*E256</f>
        <v>0</v>
      </c>
      <c r="V256" s="138">
        <f>级配!F256/T256*E256</f>
        <v>0</v>
      </c>
      <c r="AC256" s="2"/>
    </row>
    <row r="257" spans="1:32">
      <c r="A257" s="276"/>
      <c r="B257" s="276"/>
      <c r="C257" s="159" t="s">
        <v>74</v>
      </c>
      <c r="D257" s="168" t="s">
        <v>96</v>
      </c>
      <c r="E257" s="276"/>
      <c r="F257" s="129">
        <v>0.55000000000000004</v>
      </c>
      <c r="G257" s="149">
        <v>100</v>
      </c>
      <c r="H257" s="149">
        <v>100</v>
      </c>
      <c r="I257" s="149">
        <v>100</v>
      </c>
      <c r="J257" s="149">
        <v>88.3</v>
      </c>
      <c r="K257" s="149">
        <v>64.599999999999994</v>
      </c>
      <c r="L257" s="149">
        <v>23.7</v>
      </c>
      <c r="M257" s="149">
        <v>13.8</v>
      </c>
      <c r="N257" s="149">
        <v>11.3</v>
      </c>
      <c r="O257" s="149">
        <v>9.6</v>
      </c>
      <c r="P257" s="149">
        <v>7.6</v>
      </c>
      <c r="Q257" s="149">
        <v>5.5</v>
      </c>
      <c r="R257" s="149">
        <v>3.8</v>
      </c>
      <c r="S257" s="138">
        <v>2.78</v>
      </c>
      <c r="T257" s="138">
        <v>2.645</v>
      </c>
      <c r="U257" s="138">
        <f>级配!F257/S257*E256</f>
        <v>9.89208633093525E-2</v>
      </c>
      <c r="V257" s="138">
        <f>级配!F257/T257*E256</f>
        <v>0.103969754253308</v>
      </c>
      <c r="AC257" s="2"/>
      <c r="AE257" s="154">
        <v>4.4365757133930304</v>
      </c>
    </row>
    <row r="258" spans="1:32">
      <c r="A258" s="276"/>
      <c r="B258" s="276"/>
      <c r="C258" s="159" t="s">
        <v>76</v>
      </c>
      <c r="D258" s="168" t="s">
        <v>97</v>
      </c>
      <c r="E258" s="276"/>
      <c r="F258" s="129">
        <v>0.45</v>
      </c>
      <c r="G258" s="149">
        <v>100</v>
      </c>
      <c r="H258" s="149">
        <v>100</v>
      </c>
      <c r="I258" s="149">
        <v>100</v>
      </c>
      <c r="J258" s="149">
        <v>100</v>
      </c>
      <c r="K258" s="149">
        <v>100</v>
      </c>
      <c r="L258" s="149">
        <v>82.5</v>
      </c>
      <c r="M258" s="149">
        <v>51.7</v>
      </c>
      <c r="N258" s="149">
        <v>36.6</v>
      </c>
      <c r="O258" s="149">
        <v>26.6</v>
      </c>
      <c r="P258" s="149">
        <v>18.399999999999999</v>
      </c>
      <c r="Q258" s="149">
        <v>12.4</v>
      </c>
      <c r="R258" s="149">
        <v>9</v>
      </c>
      <c r="S258" s="138">
        <v>2.774</v>
      </c>
      <c r="T258" s="138">
        <v>2.629</v>
      </c>
      <c r="U258" s="138">
        <f>级配!F258/S258*E256</f>
        <v>8.1110310021629398E-2</v>
      </c>
      <c r="V258" s="138">
        <f>级配!F258/T258*E256</f>
        <v>8.5583872194750901E-2</v>
      </c>
      <c r="AC258" s="2"/>
      <c r="AE258" s="154">
        <v>6.3539823008849501</v>
      </c>
    </row>
    <row r="259" spans="1:32" ht="14.4">
      <c r="A259" s="276"/>
      <c r="B259" s="276"/>
      <c r="C259"/>
      <c r="D259" s="157"/>
      <c r="F259" s="172" t="s">
        <v>253</v>
      </c>
      <c r="G259" s="170">
        <f>$E$29*($F$29*G250+$F$30*G251+$F$31*G252+$F$32*G253+$F$33*G254+$F$34*G255+$F$35*G256)+$E$36*($F$36*G257+$F$37*G258)</f>
        <v>100</v>
      </c>
      <c r="H259" s="170">
        <f>E250*(F250*H250+F251*H251+F252*H252+F253*H253+F254*H254+F255*H255+F256*H256)+E256*(F257*H257+F258*H258)</f>
        <v>100</v>
      </c>
      <c r="I259" s="170">
        <f>E250*(F250*I250+F251*I251+F252*I252+F253*I253+F254*I254+F255*I255+F256*I256)+E256*(F257*I257+F258*I258)</f>
        <v>100</v>
      </c>
      <c r="J259" s="170">
        <f>E250*(F250*J250+F251*J251+F252*J252+F253*J253+F254*J254+F255*J255+F256*J256)+E256*(F257*J257+F258*J258)</f>
        <v>96.516666666666694</v>
      </c>
      <c r="K259" s="170">
        <f>E250*(F250*K250+F251*K251+F252*K252+F253*K253+F254*K254+F255*K255+F256*K256)+E256*(F257*K257+F258*K258)</f>
        <v>77.936976190476202</v>
      </c>
      <c r="L259" s="170">
        <f>E250*(F250*L250+F251*L251+F252*L252+F253*L253+F254*L254+F255*L255+F256*L256)+E256*(F257*L257+F258*L258)</f>
        <v>40.963285714285703</v>
      </c>
      <c r="M259" s="170">
        <f>E250*(F250*M250+F251*M251+F252*M252+F253*M253+F254*M254+F255*M255+F256*M256)+E256*(F257*M257+F258*M258)</f>
        <v>25.779499999999999</v>
      </c>
      <c r="N259" s="170">
        <f>E250*(F250*N250+F251*N251+F252*N252+F253*N253+F254*N254+F255*N255+F256*N256)+E256*(F257*N257+F258*N258)</f>
        <v>19.0625238095238</v>
      </c>
      <c r="O259" s="170">
        <f>E250*(F250*O250+F251*O251+F252*O252+F253*O253+F254*O254+F255*O255+F256*O256)+E256*(F257*O257+F258*O258)</f>
        <v>14.998357142857101</v>
      </c>
      <c r="P259" s="170">
        <f>E250*(F250*P250+F251*P251+F252*P252+F253*P253+F254*P254+F255*P255+F256*P256)+E256*(F257*P257+F258*P258)</f>
        <v>11.1848571428571</v>
      </c>
      <c r="Q259" s="170">
        <f>E250*(F250*Q250+F251*Q251+F252*Q252+F253*Q253+F254*Q254+F255*Q255+F256*Q256)+E256*(F257*Q257+F258*Q258)</f>
        <v>8.5153571428571393</v>
      </c>
      <c r="R259" s="170">
        <f>E250*(F250*R250+F251*R251+F252*R252+F253*R253+F254*R254+F255*R255+F256*R256)+E256*(F257*R257+F258*R258)</f>
        <v>6.7328571428571404</v>
      </c>
      <c r="S259" s="138"/>
      <c r="T259" s="138"/>
      <c r="AC259" s="2"/>
    </row>
    <row r="260" spans="1:32" ht="14.4">
      <c r="A260" s="276"/>
      <c r="B260" s="276"/>
      <c r="C260"/>
      <c r="D260" s="157"/>
      <c r="F260" s="129" t="s">
        <v>241</v>
      </c>
      <c r="G260" s="149">
        <v>100</v>
      </c>
      <c r="H260" s="149">
        <v>100</v>
      </c>
      <c r="I260" s="129">
        <v>100</v>
      </c>
      <c r="J260" s="129">
        <v>100</v>
      </c>
      <c r="K260" s="129">
        <v>85</v>
      </c>
      <c r="L260" s="129">
        <v>68</v>
      </c>
      <c r="M260" s="129">
        <v>50</v>
      </c>
      <c r="N260" s="129">
        <v>38</v>
      </c>
      <c r="O260" s="129">
        <v>28</v>
      </c>
      <c r="P260" s="129">
        <v>20</v>
      </c>
      <c r="Q260" s="129">
        <v>15</v>
      </c>
      <c r="R260" s="129">
        <v>8</v>
      </c>
      <c r="S260" s="138"/>
      <c r="T260" s="138"/>
      <c r="AC260" s="2"/>
    </row>
    <row r="261" spans="1:32" ht="14.4">
      <c r="A261" s="276"/>
      <c r="B261" s="276"/>
      <c r="C261"/>
      <c r="D261" s="157"/>
      <c r="F261" s="129" t="s">
        <v>242</v>
      </c>
      <c r="G261" s="149">
        <f t="shared" ref="G261" si="29">(G260+G262)/2</f>
        <v>100</v>
      </c>
      <c r="H261" s="149">
        <v>100</v>
      </c>
      <c r="I261" s="129">
        <v>100</v>
      </c>
      <c r="J261" s="129">
        <f t="shared" ref="J261:R261" si="30">(J260+J262)/2</f>
        <v>95</v>
      </c>
      <c r="K261" s="129">
        <f t="shared" si="30"/>
        <v>76.5</v>
      </c>
      <c r="L261" s="129">
        <f t="shared" si="30"/>
        <v>53</v>
      </c>
      <c r="M261" s="129">
        <f t="shared" si="30"/>
        <v>37</v>
      </c>
      <c r="N261" s="129">
        <f t="shared" si="30"/>
        <v>26.5</v>
      </c>
      <c r="O261" s="129">
        <f t="shared" si="30"/>
        <v>19</v>
      </c>
      <c r="P261" s="129">
        <f t="shared" si="30"/>
        <v>13.5</v>
      </c>
      <c r="Q261" s="129">
        <f t="shared" si="30"/>
        <v>10</v>
      </c>
      <c r="R261" s="129">
        <f t="shared" si="30"/>
        <v>6</v>
      </c>
      <c r="S261" s="138"/>
      <c r="T261" s="138"/>
      <c r="AC261" s="2"/>
    </row>
    <row r="262" spans="1:32" ht="14.4">
      <c r="A262" s="276"/>
      <c r="B262" s="276"/>
      <c r="C262"/>
      <c r="D262" s="157"/>
      <c r="F262" s="129" t="s">
        <v>243</v>
      </c>
      <c r="G262" s="149">
        <v>100</v>
      </c>
      <c r="H262" s="149">
        <v>100</v>
      </c>
      <c r="I262" s="129">
        <v>100</v>
      </c>
      <c r="J262" s="129">
        <v>90</v>
      </c>
      <c r="K262" s="129">
        <v>68</v>
      </c>
      <c r="L262" s="129">
        <v>38</v>
      </c>
      <c r="M262" s="129">
        <v>24</v>
      </c>
      <c r="N262" s="129">
        <v>15</v>
      </c>
      <c r="O262" s="129">
        <v>10</v>
      </c>
      <c r="P262" s="129">
        <v>7</v>
      </c>
      <c r="Q262" s="129">
        <v>5</v>
      </c>
      <c r="R262" s="129">
        <v>4</v>
      </c>
      <c r="S262" s="138"/>
      <c r="T262" s="138"/>
      <c r="AC262" s="2"/>
    </row>
    <row r="263" spans="1:32" ht="13.65" customHeight="1">
      <c r="A263" s="276" t="s">
        <v>103</v>
      </c>
      <c r="B263" s="276" t="s">
        <v>218</v>
      </c>
      <c r="C263" s="159" t="s">
        <v>61</v>
      </c>
      <c r="D263" s="168" t="s">
        <v>79</v>
      </c>
      <c r="E263" s="276">
        <v>0.5</v>
      </c>
      <c r="F263" s="130">
        <v>0.3</v>
      </c>
      <c r="G263" s="149">
        <v>100</v>
      </c>
      <c r="H263" s="149">
        <v>100</v>
      </c>
      <c r="I263" s="149">
        <v>99.813333333333304</v>
      </c>
      <c r="J263" s="149">
        <v>88.043333333333294</v>
      </c>
      <c r="K263" s="149">
        <v>29.4433333333333</v>
      </c>
      <c r="L263" s="149">
        <v>1.77666666666666</v>
      </c>
      <c r="M263" s="149">
        <v>0.66666666666666496</v>
      </c>
      <c r="N263" s="149">
        <v>0.66666666666666496</v>
      </c>
      <c r="O263" s="149">
        <v>0.66666666666666496</v>
      </c>
      <c r="P263" s="149">
        <v>0.66666666666666496</v>
      </c>
      <c r="Q263" s="149">
        <v>0.66666666666666496</v>
      </c>
      <c r="R263" s="149">
        <v>0.66666666666666496</v>
      </c>
      <c r="S263" s="138">
        <v>2.73</v>
      </c>
      <c r="T263" s="138">
        <v>2.6880000000000002</v>
      </c>
      <c r="U263" s="138">
        <f>级配!F263/S263*E263</f>
        <v>5.4945054945054903E-2</v>
      </c>
      <c r="V263" s="138">
        <f>级配!F263/T263*E263</f>
        <v>5.5803571428571397E-2</v>
      </c>
      <c r="W263" s="138">
        <f>1/SUM(U263:U271)</f>
        <v>2.7668659131922602</v>
      </c>
      <c r="X263" s="153">
        <v>0.4</v>
      </c>
      <c r="Y263" s="138">
        <f>0.033*X263*X263-0.2936*X263+0.9336</f>
        <v>0.82143999999999995</v>
      </c>
      <c r="Z263" s="138">
        <f>0.033*Y263*Y263-0.2936*Y263+0.9336</f>
        <v>0.71469241722879995</v>
      </c>
      <c r="AA263" s="158">
        <v>2.6026707551933899</v>
      </c>
      <c r="AB263" s="138">
        <f>1/SUM(V263:V271)</f>
        <v>2.6907751543448102</v>
      </c>
      <c r="AC263" s="160">
        <v>4.9000000000000004</v>
      </c>
      <c r="AD263" s="138">
        <f>100*AC263/(100+AC263)</f>
        <v>4.6711153479504297</v>
      </c>
      <c r="AE263" s="156"/>
      <c r="AF263" s="156">
        <f>AC263-E270*F270*AE270-E270*F271*AE271</f>
        <v>2.55017938840935</v>
      </c>
    </row>
    <row r="264" spans="1:32" ht="13.65" customHeight="1">
      <c r="A264" s="276"/>
      <c r="B264" s="276"/>
      <c r="C264" s="159" t="s">
        <v>61</v>
      </c>
      <c r="D264" s="168" t="s">
        <v>63</v>
      </c>
      <c r="E264" s="276"/>
      <c r="F264" s="130">
        <v>0.2</v>
      </c>
      <c r="G264" s="149">
        <v>100</v>
      </c>
      <c r="H264" s="149">
        <v>100</v>
      </c>
      <c r="I264" s="149">
        <v>100</v>
      </c>
      <c r="J264" s="149">
        <v>100</v>
      </c>
      <c r="K264" s="149">
        <v>95.48</v>
      </c>
      <c r="L264" s="149">
        <v>13.484</v>
      </c>
      <c r="M264" s="149">
        <v>2.3199999999999901</v>
      </c>
      <c r="N264" s="149">
        <v>18.600000000000001</v>
      </c>
      <c r="O264" s="149">
        <v>2.3199999999999901</v>
      </c>
      <c r="P264" s="149">
        <v>2.3199999999999901</v>
      </c>
      <c r="Q264" s="149">
        <v>2.3199999999999901</v>
      </c>
      <c r="R264" s="149">
        <v>2.3199999999999901</v>
      </c>
      <c r="S264" s="138">
        <v>2.7080000000000002</v>
      </c>
      <c r="T264" s="138">
        <v>2.681</v>
      </c>
      <c r="U264" s="138">
        <f>级配!F264/S264*E263</f>
        <v>3.6927621861152102E-2</v>
      </c>
      <c r="V264" s="138">
        <f>级配!F264/T264*E263</f>
        <v>3.7299515106303603E-2</v>
      </c>
      <c r="W264" s="138"/>
      <c r="X264" s="138"/>
      <c r="Y264" s="151"/>
      <c r="Z264" s="151"/>
      <c r="AB264" s="138"/>
      <c r="AC264" s="160">
        <v>4.8</v>
      </c>
      <c r="AD264" s="138">
        <f>100*AC264/(100+AC264)</f>
        <v>4.5801526717557302</v>
      </c>
      <c r="AE264" s="156"/>
      <c r="AF264" s="156">
        <f>AC264-E270*F270*AE270-E270*F271*AE271</f>
        <v>2.4501793884093499</v>
      </c>
    </row>
    <row r="265" spans="1:32" ht="13.65" customHeight="1">
      <c r="A265" s="276"/>
      <c r="B265" s="276"/>
      <c r="C265" s="159" t="s">
        <v>82</v>
      </c>
      <c r="D265" s="168" t="s">
        <v>65</v>
      </c>
      <c r="E265" s="276"/>
      <c r="F265" s="130">
        <v>0.5</v>
      </c>
      <c r="G265" s="149">
        <v>100</v>
      </c>
      <c r="H265" s="149">
        <v>100</v>
      </c>
      <c r="I265" s="149">
        <v>100</v>
      </c>
      <c r="J265" s="149">
        <v>100</v>
      </c>
      <c r="K265" s="149">
        <v>100</v>
      </c>
      <c r="L265" s="149">
        <v>96.808333333333394</v>
      </c>
      <c r="M265" s="149">
        <v>61.933333333333401</v>
      </c>
      <c r="N265" s="149">
        <v>37.891666666666701</v>
      </c>
      <c r="O265" s="149">
        <v>28.316666666666599</v>
      </c>
      <c r="P265" s="149">
        <v>19.116666666666699</v>
      </c>
      <c r="Q265" s="149">
        <v>14.408333333333299</v>
      </c>
      <c r="R265" s="149">
        <v>11.6833333333333</v>
      </c>
      <c r="S265" s="138">
        <v>2.7730000000000001</v>
      </c>
      <c r="T265" s="138">
        <v>2.629</v>
      </c>
      <c r="U265" s="138">
        <f>级配!F265/S265*E263</f>
        <v>9.0155066714749404E-2</v>
      </c>
      <c r="V265" s="138">
        <f>级配!F265/T265*E263</f>
        <v>9.5093191327501006E-2</v>
      </c>
    </row>
    <row r="266" spans="1:32" ht="13.65" customHeight="1">
      <c r="A266" s="276"/>
      <c r="B266" s="276"/>
      <c r="C266" s="171" t="s">
        <v>99</v>
      </c>
      <c r="D266" s="168" t="s">
        <v>91</v>
      </c>
      <c r="E266" s="276"/>
      <c r="F266" s="129">
        <v>0</v>
      </c>
      <c r="G266" s="149">
        <v>100</v>
      </c>
      <c r="H266" s="149">
        <v>100</v>
      </c>
      <c r="I266" s="149">
        <v>100</v>
      </c>
      <c r="J266" s="149">
        <v>100</v>
      </c>
      <c r="K266" s="149">
        <v>100</v>
      </c>
      <c r="L266" s="149">
        <v>100</v>
      </c>
      <c r="M266" s="149">
        <v>100</v>
      </c>
      <c r="N266" s="149">
        <v>100</v>
      </c>
      <c r="O266" s="149">
        <v>100</v>
      </c>
      <c r="P266" s="149">
        <v>97.4</v>
      </c>
      <c r="Q266" s="149">
        <v>90.2</v>
      </c>
      <c r="R266" s="149">
        <v>78.2</v>
      </c>
      <c r="S266" s="138">
        <v>2.6789999999999998</v>
      </c>
      <c r="T266" s="138">
        <v>2.6789999999999998</v>
      </c>
      <c r="U266" s="138">
        <f>级配!F266/S266*E263</f>
        <v>0</v>
      </c>
      <c r="V266" s="138">
        <f>级配!F266/T266*E263</f>
        <v>0</v>
      </c>
    </row>
    <row r="267" spans="1:32" ht="14.4">
      <c r="A267" s="276"/>
      <c r="B267" s="276"/>
      <c r="C267" s="164" t="s">
        <v>99</v>
      </c>
      <c r="D267" s="168" t="s">
        <v>91</v>
      </c>
      <c r="E267" s="276"/>
      <c r="F267" s="129">
        <v>0</v>
      </c>
      <c r="G267" s="149">
        <v>100</v>
      </c>
      <c r="H267" s="149">
        <v>100</v>
      </c>
      <c r="I267" s="149">
        <v>100</v>
      </c>
      <c r="J267" s="149">
        <v>100</v>
      </c>
      <c r="K267" s="149">
        <v>100</v>
      </c>
      <c r="L267" s="149">
        <v>100</v>
      </c>
      <c r="M267" s="149">
        <v>100</v>
      </c>
      <c r="N267" s="149">
        <v>100</v>
      </c>
      <c r="O267" s="149">
        <v>100</v>
      </c>
      <c r="P267" s="149">
        <v>97.4</v>
      </c>
      <c r="Q267" s="149">
        <v>90.2</v>
      </c>
      <c r="R267" s="149">
        <v>78.2</v>
      </c>
      <c r="S267" s="138">
        <v>2.6789999999999998</v>
      </c>
      <c r="T267" s="138">
        <v>2.6789999999999998</v>
      </c>
      <c r="U267" s="138">
        <f>级配!F267/S267*E263</f>
        <v>0</v>
      </c>
      <c r="V267" s="138">
        <f>级配!F267/T267*E263</f>
        <v>0</v>
      </c>
    </row>
    <row r="268" spans="1:32" ht="14.4">
      <c r="A268" s="276"/>
      <c r="B268" s="276"/>
      <c r="C268" s="164" t="s">
        <v>99</v>
      </c>
      <c r="D268" s="168" t="s">
        <v>91</v>
      </c>
      <c r="E268" s="276"/>
      <c r="F268" s="129">
        <v>0</v>
      </c>
      <c r="G268" s="149">
        <v>100</v>
      </c>
      <c r="H268" s="149">
        <v>100</v>
      </c>
      <c r="I268" s="149">
        <v>100</v>
      </c>
      <c r="J268" s="149">
        <v>100</v>
      </c>
      <c r="K268" s="149">
        <v>100</v>
      </c>
      <c r="L268" s="149">
        <v>100</v>
      </c>
      <c r="M268" s="149">
        <v>81.364999999999995</v>
      </c>
      <c r="N268" s="149">
        <v>59.195</v>
      </c>
      <c r="O268" s="149">
        <v>34.704999999999998</v>
      </c>
      <c r="P268" s="149">
        <v>19.21</v>
      </c>
      <c r="Q268" s="149">
        <v>13.9</v>
      </c>
      <c r="R268" s="149">
        <v>11.54</v>
      </c>
      <c r="S268" s="138">
        <v>2.72</v>
      </c>
      <c r="T268" s="138">
        <v>2.65</v>
      </c>
      <c r="U268" s="138">
        <f>级配!F268/S268*E263</f>
        <v>0</v>
      </c>
      <c r="V268" s="138">
        <f>级配!F268/T268*E263</f>
        <v>0</v>
      </c>
    </row>
    <row r="269" spans="1:32" ht="14.4">
      <c r="A269" s="276"/>
      <c r="B269" s="276"/>
      <c r="C269" s="164" t="s">
        <v>99</v>
      </c>
      <c r="D269" s="157" t="s">
        <v>91</v>
      </c>
      <c r="E269" s="276"/>
      <c r="F269" s="129">
        <v>0</v>
      </c>
      <c r="G269" s="149">
        <v>100</v>
      </c>
      <c r="H269" s="149">
        <v>100</v>
      </c>
      <c r="I269" s="149">
        <v>100</v>
      </c>
      <c r="J269" s="149">
        <v>100</v>
      </c>
      <c r="K269" s="149">
        <v>100</v>
      </c>
      <c r="L269" s="149">
        <v>100</v>
      </c>
      <c r="M269" s="149">
        <v>100</v>
      </c>
      <c r="N269" s="149">
        <v>100</v>
      </c>
      <c r="O269" s="149">
        <v>100</v>
      </c>
      <c r="P269" s="149">
        <v>99.6875</v>
      </c>
      <c r="Q269" s="149">
        <v>97.112499999999997</v>
      </c>
      <c r="R269" s="149">
        <v>76.612499999999997</v>
      </c>
      <c r="S269" s="138">
        <v>2.8519999999999999</v>
      </c>
      <c r="T269" s="138">
        <v>2.7229999999999999</v>
      </c>
      <c r="U269" s="138">
        <f>级配!F269/S269*E263</f>
        <v>0</v>
      </c>
      <c r="V269" s="138">
        <f>级配!F269/T269*E263</f>
        <v>0</v>
      </c>
    </row>
    <row r="270" spans="1:32" ht="13.65" customHeight="1">
      <c r="A270" s="276"/>
      <c r="B270" s="276"/>
      <c r="C270" s="159" t="s">
        <v>74</v>
      </c>
      <c r="D270" s="168" t="s">
        <v>96</v>
      </c>
      <c r="E270" s="276">
        <v>0.5</v>
      </c>
      <c r="F270" s="130">
        <v>0.4</v>
      </c>
      <c r="G270" s="149">
        <v>100</v>
      </c>
      <c r="H270" s="149">
        <v>100</v>
      </c>
      <c r="I270" s="149">
        <v>98.573603794311396</v>
      </c>
      <c r="J270" s="149">
        <v>82.174026333127799</v>
      </c>
      <c r="K270" s="149">
        <v>33.1317421613373</v>
      </c>
      <c r="L270" s="149">
        <v>14.974385776309701</v>
      </c>
      <c r="M270" s="149">
        <v>12.3670078383307</v>
      </c>
      <c r="N270" s="149">
        <v>10.6873987726464</v>
      </c>
      <c r="O270" s="149">
        <v>9.6693373373022293</v>
      </c>
      <c r="P270" s="149">
        <v>8.1572740170601001</v>
      </c>
      <c r="Q270" s="149">
        <v>6.2370973457409598</v>
      </c>
      <c r="R270" s="149">
        <v>4.1279880419424799</v>
      </c>
      <c r="S270" s="138">
        <v>2.8290000000000002</v>
      </c>
      <c r="T270" s="138">
        <v>2.7650000000000001</v>
      </c>
      <c r="U270" s="138">
        <f>级配!F270/S270*E270</f>
        <v>7.0696359137504397E-2</v>
      </c>
      <c r="V270" s="138">
        <f>级配!F270/T270*E270</f>
        <v>7.2332730560578706E-2</v>
      </c>
      <c r="AE270" s="154">
        <v>3.45538937596698</v>
      </c>
    </row>
    <row r="271" spans="1:32" ht="13.65" customHeight="1">
      <c r="A271" s="276"/>
      <c r="B271" s="276"/>
      <c r="C271" s="159" t="s">
        <v>76</v>
      </c>
      <c r="D271" s="168" t="s">
        <v>97</v>
      </c>
      <c r="E271" s="276"/>
      <c r="F271" s="130">
        <v>0.6</v>
      </c>
      <c r="G271" s="149">
        <v>100</v>
      </c>
      <c r="H271" s="149">
        <v>100</v>
      </c>
      <c r="I271" s="149">
        <v>100</v>
      </c>
      <c r="J271" s="149">
        <v>99.709455890121504</v>
      </c>
      <c r="K271" s="149">
        <v>93.611005421295204</v>
      </c>
      <c r="L271" s="149">
        <v>62.883664943704403</v>
      </c>
      <c r="M271" s="149">
        <v>41.736211500847702</v>
      </c>
      <c r="N271" s="149">
        <v>29.275015875296301</v>
      </c>
      <c r="O271" s="149">
        <v>22.374005580422299</v>
      </c>
      <c r="P271" s="149">
        <v>14.3321095762082</v>
      </c>
      <c r="Q271" s="149">
        <v>9.6170951500159596</v>
      </c>
      <c r="R271" s="149">
        <v>6.5264817525129803</v>
      </c>
      <c r="S271" s="138">
        <v>2.76</v>
      </c>
      <c r="T271" s="138">
        <v>2.7</v>
      </c>
      <c r="U271" s="138">
        <f>级配!F271/S271*E270</f>
        <v>0.108695652173913</v>
      </c>
      <c r="V271" s="138">
        <f>级配!F271/T271*E270</f>
        <v>0.11111111111111099</v>
      </c>
      <c r="AE271" s="154">
        <v>5.5291424546575101</v>
      </c>
    </row>
    <row r="272" spans="1:32" ht="14.4">
      <c r="A272" s="276"/>
      <c r="B272" s="276"/>
      <c r="C272"/>
      <c r="F272" s="129" t="s">
        <v>240</v>
      </c>
      <c r="G272" s="170">
        <f>$E$29*($F$29*G263+$F$30*G264+$F$31*G265+$F$32*G266+$F$33*G267+$F$34*G268+$F$35*G269)+$E$36*($F$36*G270+$F$37*G271)</f>
        <v>100</v>
      </c>
      <c r="H272" s="170">
        <f>E263*(F263*H263+F264*H264+F265*H265+F266*H266+F267*H267+F268*H268+F269*H269)+E270*(F270*H270+F271*H271)</f>
        <v>100</v>
      </c>
      <c r="I272" s="170">
        <f>E263*(F263*I263+F264*I264+F265*I265+F266*I266+F267*I267+F268*I268+F269*I269)+E270*(F270*I270+F271*I271)</f>
        <v>99.686720758862293</v>
      </c>
      <c r="J272" s="170">
        <f>E263*(F263*J263+F264*J264+F265*J265+F266*J266+F267*J267+F268*J268+F269*J269)+E270*(F270*J270+F271*J271)</f>
        <v>94.554142033662004</v>
      </c>
      <c r="K272" s="170">
        <f>E263*(F263*K263+F264*K264+F265*K265+F266*K266+F267*K267+F268*K268+F269*K269)+E270*(F270*K270+F271*K271)</f>
        <v>73.674150058655997</v>
      </c>
      <c r="L272" s="170">
        <f>E263*(F263*L263+F264*L264+F265*L265+F266*L266+F267*L267+F268*L268+F269*L269)+E270*(F270*L270+F271*L271)</f>
        <v>47.676959971706601</v>
      </c>
      <c r="M272" s="170">
        <f>E263*(F263*M263+F264*M264+F265*M265+F266*M266+F267*M267+F268*M268+F269*M269)+E270*(F270*M270+F271*M271)</f>
        <v>30.809598351253801</v>
      </c>
      <c r="N272" s="170">
        <f>E263*(F263*N263+F264*N264+F265*N265+F266*N266+F267*N267+F268*N268+F269*N269)+E270*(F270*N270+F271*N271)</f>
        <v>22.352901183784802</v>
      </c>
      <c r="O272" s="170">
        <f>E263*(F263*O263+F264*O264+F265*O265+F266*O266+F267*O267+F268*O268+F269*O269)+E270*(F270*O270+F271*O271)</f>
        <v>16.0572358082538</v>
      </c>
      <c r="P272" s="170">
        <f>E263*(F263*P263+F264*P264+F265*P265+F266*P266+F267*P267+F268*P268+F269*P269)+E270*(F270*P270+F271*P271)</f>
        <v>11.042254342941201</v>
      </c>
      <c r="Q272" s="170">
        <f>E263*(F263*Q263+F264*Q264+F265*Q265+F266*Q266+F267*Q267+F268*Q268+F269*Q269)+E270*(F270*Q270+F271*Q271)</f>
        <v>8.0666313474863003</v>
      </c>
      <c r="R272" s="170">
        <f>E263*(F263*R263+F264*R264+F265*R265+F266*R266+F267*R267+F268*R268+F269*R269)+E270*(F270*R270+F271*R271)</f>
        <v>6.0363754674757102</v>
      </c>
    </row>
    <row r="273" spans="1:32" ht="14.4">
      <c r="A273" s="276"/>
      <c r="B273" s="276"/>
      <c r="C273"/>
      <c r="F273" s="129" t="s">
        <v>241</v>
      </c>
      <c r="G273" s="149">
        <v>100</v>
      </c>
      <c r="H273" s="149">
        <v>100</v>
      </c>
      <c r="I273" s="129">
        <v>100</v>
      </c>
      <c r="J273" s="129">
        <v>100</v>
      </c>
      <c r="K273" s="129">
        <v>85</v>
      </c>
      <c r="L273" s="129">
        <v>68</v>
      </c>
      <c r="M273" s="129">
        <v>50</v>
      </c>
      <c r="N273" s="129">
        <v>38</v>
      </c>
      <c r="O273" s="129">
        <v>28</v>
      </c>
      <c r="P273" s="129">
        <v>20</v>
      </c>
      <c r="Q273" s="129">
        <v>15</v>
      </c>
      <c r="R273" s="129">
        <v>8</v>
      </c>
    </row>
    <row r="274" spans="1:32" ht="14.4">
      <c r="A274" s="276"/>
      <c r="B274" s="276"/>
      <c r="C274"/>
      <c r="F274" s="129" t="s">
        <v>242</v>
      </c>
      <c r="G274" s="149">
        <f t="shared" ref="G274" si="31">(G273+G275)/2</f>
        <v>100</v>
      </c>
      <c r="H274" s="149">
        <v>100</v>
      </c>
      <c r="I274" s="129">
        <v>100</v>
      </c>
      <c r="J274" s="129">
        <f t="shared" ref="J274:R274" si="32">(J273+J275)/2</f>
        <v>95</v>
      </c>
      <c r="K274" s="129">
        <f t="shared" si="32"/>
        <v>76.5</v>
      </c>
      <c r="L274" s="129">
        <f t="shared" si="32"/>
        <v>53</v>
      </c>
      <c r="M274" s="129">
        <f t="shared" si="32"/>
        <v>37</v>
      </c>
      <c r="N274" s="129">
        <f t="shared" si="32"/>
        <v>26.5</v>
      </c>
      <c r="O274" s="129">
        <f t="shared" si="32"/>
        <v>19</v>
      </c>
      <c r="P274" s="129">
        <f t="shared" si="32"/>
        <v>13.5</v>
      </c>
      <c r="Q274" s="129">
        <f t="shared" si="32"/>
        <v>10</v>
      </c>
      <c r="R274" s="129">
        <f t="shared" si="32"/>
        <v>6</v>
      </c>
    </row>
    <row r="275" spans="1:32" ht="14.4">
      <c r="A275" s="276"/>
      <c r="B275" s="276"/>
      <c r="C275"/>
      <c r="F275" s="129" t="s">
        <v>243</v>
      </c>
      <c r="G275" s="149">
        <v>100</v>
      </c>
      <c r="H275" s="149">
        <v>100</v>
      </c>
      <c r="I275" s="129">
        <v>100</v>
      </c>
      <c r="J275" s="129">
        <v>90</v>
      </c>
      <c r="K275" s="129">
        <v>68</v>
      </c>
      <c r="L275" s="129">
        <v>38</v>
      </c>
      <c r="M275" s="129">
        <v>24</v>
      </c>
      <c r="N275" s="129">
        <v>15</v>
      </c>
      <c r="O275" s="129">
        <v>10</v>
      </c>
      <c r="P275" s="129">
        <v>7</v>
      </c>
      <c r="Q275" s="129">
        <v>5</v>
      </c>
      <c r="R275" s="129">
        <v>4</v>
      </c>
    </row>
    <row r="276" spans="1:32">
      <c r="A276" s="276" t="s">
        <v>104</v>
      </c>
      <c r="B276" s="276" t="s">
        <v>197</v>
      </c>
      <c r="C276" s="159" t="s">
        <v>81</v>
      </c>
      <c r="D276" s="129" t="s">
        <v>105</v>
      </c>
      <c r="E276" s="276">
        <v>0.5</v>
      </c>
      <c r="F276" s="129">
        <v>0.2</v>
      </c>
      <c r="G276" s="149">
        <v>100</v>
      </c>
      <c r="H276" s="149">
        <v>58.8</v>
      </c>
      <c r="I276" s="149">
        <v>7.4</v>
      </c>
      <c r="J276" s="149">
        <v>1.8</v>
      </c>
      <c r="K276" s="149">
        <v>0.7</v>
      </c>
      <c r="L276" s="149">
        <v>0.4</v>
      </c>
      <c r="M276" s="149">
        <v>0.4</v>
      </c>
      <c r="N276" s="149">
        <v>0.4</v>
      </c>
      <c r="O276" s="149">
        <v>0.4</v>
      </c>
      <c r="P276" s="149">
        <v>0.4</v>
      </c>
      <c r="Q276" s="149">
        <v>0.4</v>
      </c>
      <c r="R276" s="149">
        <v>0.4</v>
      </c>
      <c r="S276" s="138">
        <v>2.7469999999999999</v>
      </c>
      <c r="T276" s="138">
        <v>2.694</v>
      </c>
      <c r="U276" s="138">
        <f>级配!F276/S276*E276</f>
        <v>3.6403349108118002E-2</v>
      </c>
      <c r="V276" s="138">
        <f>级配!F276/T276*E276</f>
        <v>3.7119524870081702E-2</v>
      </c>
      <c r="W276" s="138">
        <f>1/SUM(U276:U284)</f>
        <v>2.7357726309588002</v>
      </c>
      <c r="X276" s="153">
        <v>0.4</v>
      </c>
      <c r="Y276" s="138">
        <f>0.033*X276*X276-0.2936*X276+0.9336</f>
        <v>0.82143999999999995</v>
      </c>
      <c r="Z276" s="138">
        <f>0.033*Y276*Y276-0.2936*Y276+0.9336</f>
        <v>0.71469241722879995</v>
      </c>
      <c r="AA276" s="158">
        <v>2.5267696935283399</v>
      </c>
      <c r="AB276" s="138">
        <f>1/SUM(V276:V284)</f>
        <v>2.6719345077841901</v>
      </c>
      <c r="AC276" s="139">
        <v>4.5999999999999996</v>
      </c>
      <c r="AD276" s="138">
        <f>100*AC276/(100+AC276)</f>
        <v>4.3977055449330802</v>
      </c>
      <c r="AE276" s="156"/>
      <c r="AF276" s="156">
        <f>AC276-E282*F283*AE283-E282*F284*AE284</f>
        <v>2.1650090823598598</v>
      </c>
    </row>
    <row r="277" spans="1:32">
      <c r="A277" s="276"/>
      <c r="B277" s="276"/>
      <c r="C277" s="159" t="s">
        <v>81</v>
      </c>
      <c r="D277" s="157" t="s">
        <v>106</v>
      </c>
      <c r="E277" s="276"/>
      <c r="F277" s="129">
        <v>0.32</v>
      </c>
      <c r="G277" s="149">
        <v>100</v>
      </c>
      <c r="H277" s="149">
        <v>100</v>
      </c>
      <c r="I277" s="149">
        <v>91.2</v>
      </c>
      <c r="J277" s="149">
        <v>45.9</v>
      </c>
      <c r="K277" s="149">
        <v>1.2</v>
      </c>
      <c r="L277" s="149">
        <v>0.4</v>
      </c>
      <c r="M277" s="149">
        <v>0.4</v>
      </c>
      <c r="N277" s="149">
        <v>0.4</v>
      </c>
      <c r="O277" s="149">
        <v>0.4</v>
      </c>
      <c r="P277" s="149">
        <v>0.4</v>
      </c>
      <c r="Q277" s="149">
        <v>0.4</v>
      </c>
      <c r="R277" s="149">
        <v>0.4</v>
      </c>
      <c r="S277" s="138">
        <v>2.742</v>
      </c>
      <c r="T277" s="138">
        <v>2.69</v>
      </c>
      <c r="U277" s="138">
        <f>级配!F277/S277*E276</f>
        <v>5.83515681983953E-2</v>
      </c>
      <c r="V277" s="138">
        <f>级配!F277/T277*E276</f>
        <v>5.9479553903345701E-2</v>
      </c>
      <c r="W277" s="138"/>
      <c r="X277" s="138"/>
      <c r="Y277" s="151"/>
      <c r="Z277" s="151"/>
      <c r="AA277" s="158"/>
      <c r="AB277" s="138"/>
      <c r="AC277" s="139"/>
      <c r="AD277" s="138"/>
      <c r="AE277" s="156"/>
      <c r="AF277" s="156"/>
    </row>
    <row r="278" spans="1:32">
      <c r="A278" s="276"/>
      <c r="B278" s="276"/>
      <c r="C278" s="159" t="s">
        <v>81</v>
      </c>
      <c r="D278" s="157" t="s">
        <v>107</v>
      </c>
      <c r="E278" s="276"/>
      <c r="F278" s="129">
        <v>0.16</v>
      </c>
      <c r="G278" s="149">
        <v>100</v>
      </c>
      <c r="H278" s="149">
        <v>100</v>
      </c>
      <c r="I278" s="149">
        <v>100</v>
      </c>
      <c r="J278" s="149">
        <v>100</v>
      </c>
      <c r="K278" s="149">
        <v>84.4</v>
      </c>
      <c r="L278" s="149">
        <v>6.5</v>
      </c>
      <c r="M278" s="149">
        <v>0.4</v>
      </c>
      <c r="N278" s="149">
        <v>0.4</v>
      </c>
      <c r="O278" s="149">
        <v>0.4</v>
      </c>
      <c r="P278" s="149">
        <v>0.4</v>
      </c>
      <c r="Q278" s="149">
        <v>0.4</v>
      </c>
      <c r="R278" s="149">
        <v>0.4</v>
      </c>
      <c r="S278" s="138">
        <v>2.7429999999999999</v>
      </c>
      <c r="T278" s="138">
        <v>2.6880000000000002</v>
      </c>
      <c r="U278" s="138">
        <f>级配!F278/S278*E276</f>
        <v>2.916514764856E-2</v>
      </c>
      <c r="V278" s="138">
        <f>级配!F278/T278*E276</f>
        <v>2.9761904761904798E-2</v>
      </c>
      <c r="AA278" s="158"/>
      <c r="AB278" s="138"/>
      <c r="AC278" s="139"/>
      <c r="AD278" s="138"/>
      <c r="AE278" s="156"/>
      <c r="AF278" s="156"/>
    </row>
    <row r="279" spans="1:32">
      <c r="A279" s="276"/>
      <c r="B279" s="276"/>
      <c r="C279" s="159" t="s">
        <v>81</v>
      </c>
      <c r="D279" s="157" t="s">
        <v>70</v>
      </c>
      <c r="E279" s="276"/>
      <c r="F279" s="129">
        <v>0.12</v>
      </c>
      <c r="G279" s="149">
        <v>100</v>
      </c>
      <c r="H279" s="149">
        <v>100</v>
      </c>
      <c r="I279" s="149">
        <v>100</v>
      </c>
      <c r="J279" s="149">
        <v>100</v>
      </c>
      <c r="K279" s="149">
        <v>100</v>
      </c>
      <c r="L279" s="149">
        <v>98</v>
      </c>
      <c r="M279" s="149">
        <v>10.7</v>
      </c>
      <c r="N279" s="149">
        <v>2.8</v>
      </c>
      <c r="O279" s="149">
        <v>2.2000000000000002</v>
      </c>
      <c r="P279" s="149">
        <v>2.2000000000000002</v>
      </c>
      <c r="Q279" s="149">
        <v>2.2000000000000002</v>
      </c>
      <c r="R279" s="149">
        <v>2.2000000000000002</v>
      </c>
      <c r="S279" s="138">
        <v>2.7559999999999998</v>
      </c>
      <c r="T279" s="138">
        <v>2.6419999999999999</v>
      </c>
      <c r="U279" s="138">
        <f>级配!F279/S279*E276</f>
        <v>2.17706821480406E-2</v>
      </c>
      <c r="V279" s="138">
        <f>级配!F279/T279*E276</f>
        <v>2.2710068130204399E-2</v>
      </c>
      <c r="AC279" s="2"/>
    </row>
    <row r="280" spans="1:32">
      <c r="A280" s="276"/>
      <c r="B280" s="276"/>
      <c r="C280" s="159" t="s">
        <v>82</v>
      </c>
      <c r="D280" s="157" t="s">
        <v>71</v>
      </c>
      <c r="E280" s="276"/>
      <c r="F280" s="129">
        <v>0.18</v>
      </c>
      <c r="G280" s="149">
        <v>100</v>
      </c>
      <c r="H280" s="149">
        <v>100</v>
      </c>
      <c r="I280" s="149">
        <v>100</v>
      </c>
      <c r="J280" s="149">
        <v>100</v>
      </c>
      <c r="K280" s="149">
        <v>100</v>
      </c>
      <c r="L280" s="149">
        <v>100</v>
      </c>
      <c r="M280" s="149">
        <v>89.4</v>
      </c>
      <c r="N280" s="149">
        <v>56.2</v>
      </c>
      <c r="O280" s="149">
        <v>31.5</v>
      </c>
      <c r="P280" s="149">
        <v>16.8</v>
      </c>
      <c r="Q280" s="149">
        <v>10.199999999999999</v>
      </c>
      <c r="R280" s="149">
        <v>3.9</v>
      </c>
      <c r="S280" s="138">
        <v>2.7349999999999999</v>
      </c>
      <c r="T280" s="138">
        <v>2.6419999999999999</v>
      </c>
      <c r="U280" s="138">
        <f>级配!F280/S280*E276</f>
        <v>3.2906764168190099E-2</v>
      </c>
      <c r="V280" s="138">
        <f>级配!F280/T280*E276</f>
        <v>3.4065102195306597E-2</v>
      </c>
      <c r="AC280" s="2"/>
    </row>
    <row r="281" spans="1:32">
      <c r="A281" s="276"/>
      <c r="B281" s="276"/>
      <c r="C281" s="159" t="s">
        <v>99</v>
      </c>
      <c r="D281" s="168" t="s">
        <v>91</v>
      </c>
      <c r="E281" s="276"/>
      <c r="F281" s="129">
        <v>0.02</v>
      </c>
      <c r="G281" s="149">
        <v>100</v>
      </c>
      <c r="H281" s="149">
        <v>100</v>
      </c>
      <c r="I281" s="149">
        <v>100</v>
      </c>
      <c r="J281" s="149">
        <v>100</v>
      </c>
      <c r="K281" s="149">
        <v>100</v>
      </c>
      <c r="L281" s="149">
        <v>100</v>
      </c>
      <c r="M281" s="149">
        <v>100</v>
      </c>
      <c r="N281" s="149">
        <v>100</v>
      </c>
      <c r="O281" s="149">
        <v>100</v>
      </c>
      <c r="P281" s="149">
        <v>100</v>
      </c>
      <c r="Q281" s="149">
        <v>99.7</v>
      </c>
      <c r="R281" s="149">
        <v>89</v>
      </c>
      <c r="S281" s="138">
        <v>2.6840000000000002</v>
      </c>
      <c r="T281" s="138">
        <v>2.6840000000000002</v>
      </c>
      <c r="U281" s="138">
        <f>级配!F281/S281*E276</f>
        <v>3.7257824143070001E-3</v>
      </c>
      <c r="V281" s="138">
        <f>级配!F281/T281*E276</f>
        <v>3.7257824143070001E-3</v>
      </c>
      <c r="AC281" s="2"/>
    </row>
    <row r="282" spans="1:32" ht="14.4">
      <c r="A282" s="276"/>
      <c r="B282" s="276"/>
      <c r="C282" s="164" t="s">
        <v>74</v>
      </c>
      <c r="D282" s="157" t="s">
        <v>62</v>
      </c>
      <c r="E282" s="276">
        <v>0.5</v>
      </c>
      <c r="F282" s="129">
        <v>0</v>
      </c>
      <c r="G282" s="149">
        <v>100</v>
      </c>
      <c r="H282" s="149">
        <v>100</v>
      </c>
      <c r="I282" s="149">
        <v>98.7</v>
      </c>
      <c r="J282" s="149">
        <v>87.2</v>
      </c>
      <c r="K282" s="149">
        <v>52.7</v>
      </c>
      <c r="L282" s="149">
        <v>22.4</v>
      </c>
      <c r="M282" s="149">
        <v>16.100000000000001</v>
      </c>
      <c r="N282" s="149">
        <v>13.1</v>
      </c>
      <c r="O282" s="149">
        <v>11.4</v>
      </c>
      <c r="P282" s="149">
        <v>8.9</v>
      </c>
      <c r="Q282" s="149">
        <v>6.2</v>
      </c>
      <c r="R282" s="149">
        <v>3.7</v>
      </c>
      <c r="S282" s="138">
        <v>2.8570000000000002</v>
      </c>
      <c r="T282" s="138">
        <v>2.7450000000000001</v>
      </c>
      <c r="U282" s="138">
        <f>级配!F282/S282*E282</f>
        <v>0</v>
      </c>
      <c r="V282" s="138">
        <f>级配!F282/T282*E282</f>
        <v>0</v>
      </c>
      <c r="AC282" s="2"/>
    </row>
    <row r="283" spans="1:32">
      <c r="A283" s="276"/>
      <c r="B283" s="276"/>
      <c r="C283" s="159" t="s">
        <v>74</v>
      </c>
      <c r="D283" s="168" t="s">
        <v>108</v>
      </c>
      <c r="E283" s="276"/>
      <c r="F283" s="129">
        <v>0.6</v>
      </c>
      <c r="G283" s="149">
        <v>100</v>
      </c>
      <c r="H283" s="149">
        <v>99.2</v>
      </c>
      <c r="I283" s="149">
        <v>96.2</v>
      </c>
      <c r="J283" s="149">
        <v>90.2</v>
      </c>
      <c r="K283" s="149">
        <v>61.8</v>
      </c>
      <c r="L283" s="149">
        <v>20.3</v>
      </c>
      <c r="M283" s="149">
        <v>12.8</v>
      </c>
      <c r="N283" s="149">
        <v>10.199999999999999</v>
      </c>
      <c r="O283" s="149">
        <v>8.1999999999999993</v>
      </c>
      <c r="P283" s="149">
        <v>6.6</v>
      </c>
      <c r="Q283" s="149">
        <v>5.8</v>
      </c>
      <c r="R283" s="149">
        <v>4.3</v>
      </c>
      <c r="S283" s="138">
        <v>2.7320000000000002</v>
      </c>
      <c r="T283" s="138">
        <v>2.681</v>
      </c>
      <c r="U283" s="138">
        <f>级配!F283/S283*E282</f>
        <v>0.10980966325036599</v>
      </c>
      <c r="V283" s="138">
        <f>级配!F283/T283*E282</f>
        <v>0.111898545318911</v>
      </c>
      <c r="AC283" s="2"/>
      <c r="AE283" s="154">
        <v>3.7934304681438098</v>
      </c>
    </row>
    <row r="284" spans="1:32">
      <c r="A284" s="276"/>
      <c r="B284" s="276"/>
      <c r="C284" s="159" t="s">
        <v>76</v>
      </c>
      <c r="D284" s="168" t="s">
        <v>68</v>
      </c>
      <c r="E284" s="276"/>
      <c r="F284" s="129">
        <v>0.4</v>
      </c>
      <c r="G284" s="149">
        <v>100</v>
      </c>
      <c r="H284" s="149">
        <v>100</v>
      </c>
      <c r="I284" s="149">
        <v>100</v>
      </c>
      <c r="J284" s="149">
        <v>100</v>
      </c>
      <c r="K284" s="149">
        <v>99.8</v>
      </c>
      <c r="L284" s="149">
        <v>73.900000000000006</v>
      </c>
      <c r="M284" s="149">
        <v>48.2</v>
      </c>
      <c r="N284" s="149">
        <v>35.1</v>
      </c>
      <c r="O284" s="149">
        <v>25.9</v>
      </c>
      <c r="P284" s="149">
        <v>20</v>
      </c>
      <c r="Q284" s="149">
        <v>17.100000000000001</v>
      </c>
      <c r="R284" s="149">
        <v>12.6</v>
      </c>
      <c r="S284" s="138">
        <v>2.7250000000000001</v>
      </c>
      <c r="T284" s="138">
        <v>2.649</v>
      </c>
      <c r="U284" s="138">
        <f>级配!F284/S284*E282</f>
        <v>7.3394495412843999E-2</v>
      </c>
      <c r="V284" s="138">
        <f>级配!F284/T284*E282</f>
        <v>7.5500188750471903E-2</v>
      </c>
      <c r="AC284" s="2"/>
      <c r="AE284" s="154">
        <v>6.4848088859849602</v>
      </c>
    </row>
    <row r="285" spans="1:32" ht="14.4">
      <c r="A285" s="276"/>
      <c r="B285" s="276"/>
      <c r="C285"/>
      <c r="D285" s="157"/>
      <c r="F285" s="129" t="s">
        <v>240</v>
      </c>
      <c r="G285" s="149">
        <f>$E$29*($F$29*G276+$F$30*G277+$F$31*G278+$F$32*G279+$F$33*G280+$F$34*G281+$F$35*G282)+$E$36*($F$36*G283+$F$37*G284)</f>
        <v>100</v>
      </c>
      <c r="H285" s="149">
        <f>E276*(F276*H276+F277*H277+F278*H278+F279*H279+F280*H280+F281*H281)+E282*(F283*H283+F284*H284+F282*H282)</f>
        <v>95.64</v>
      </c>
      <c r="I285" s="149">
        <f>E276*(F276*I276+F277*I277+F278*I278+F279*I279+F280*I280+F281*I281)+E282*(F283*I283+F284*I284+F282*I282)</f>
        <v>88.191999999999993</v>
      </c>
      <c r="J285" s="149">
        <f>E276*(F276*J276+F277*J277+F278*J278+F279*J279+F280*J280+F281*J281)+E282*(F283*J283+F284*J284+F282*J282)</f>
        <v>78.584000000000003</v>
      </c>
      <c r="K285" s="149">
        <f>E276*(F276*K276+F277*K277+F278*K278+F279*K279+F280*K280+F281*K281)+E282*(F283*K283+F284*K284+F282*K282)</f>
        <v>61.514000000000003</v>
      </c>
      <c r="L285" s="149">
        <f>E276*(F276*L276+F277*L277+F278*L278+F279*L279+F280*L280+F281*L281)+E282*(F283*L283+F284*L284+F282*L282)</f>
        <v>37.374000000000002</v>
      </c>
      <c r="M285" s="149">
        <f>E276*(F276*M276+F277*M277+F278*M278+F279*M279+F280*M280+F281*M281)+E282*(F283*M283+F284*M284+F282*M282)</f>
        <v>23.303999999999998</v>
      </c>
      <c r="N285" s="149">
        <f>E276*(F276*N276+F277*N277+F278*N278+F279*N279+F280*N280+F281*N281)+E282*(F283*N283+F284*N284+F282*N282)</f>
        <v>16.442</v>
      </c>
      <c r="O285" s="149">
        <f>E276*(F276*O276+F277*O277+F278*O278+F279*O279+F280*O280+F281*O281)+E282*(F283*O283+F284*O284+F282*O282)</f>
        <v>11.743</v>
      </c>
      <c r="P285" s="149">
        <f>E276*(F276*P276+F277*P277+F278*P278+F279*P279+F280*P280+F281*P281)+E282*(F283*P283+F284*P284+F282*P282)</f>
        <v>8.76</v>
      </c>
      <c r="Q285" s="149">
        <f>E276*(F276*Q276+F277*Q277+F278*Q278+F279*Q279+F280*Q280+F281*Q281)+E282*(F283*Q283+F284*Q284+F282*Q282)</f>
        <v>7.343</v>
      </c>
      <c r="R285" s="149">
        <f>E276*(F276*R276+F277*R277+F278*R278+F279*R279+F280*R280+F281*R281)+E282*(F283*R283+F284*R284+F282*R282)</f>
        <v>5.319</v>
      </c>
      <c r="AC285" s="2"/>
    </row>
    <row r="286" spans="1:32" ht="14.4">
      <c r="A286" s="276"/>
      <c r="B286" s="276"/>
      <c r="C286"/>
      <c r="D286" s="157"/>
      <c r="F286" s="129" t="s">
        <v>241</v>
      </c>
      <c r="G286" s="149">
        <v>100</v>
      </c>
      <c r="H286" s="149">
        <v>100</v>
      </c>
      <c r="I286" s="149">
        <v>92</v>
      </c>
      <c r="J286" s="149">
        <v>80</v>
      </c>
      <c r="K286" s="149">
        <v>72</v>
      </c>
      <c r="L286" s="149">
        <v>56</v>
      </c>
      <c r="M286" s="149">
        <v>44</v>
      </c>
      <c r="N286" s="149">
        <v>33</v>
      </c>
      <c r="O286" s="149">
        <v>24</v>
      </c>
      <c r="P286" s="149">
        <v>17</v>
      </c>
      <c r="Q286" s="149">
        <v>13</v>
      </c>
      <c r="R286" s="149">
        <v>7</v>
      </c>
      <c r="AC286" s="2"/>
    </row>
    <row r="287" spans="1:32" ht="14.4">
      <c r="A287" s="276"/>
      <c r="B287" s="276"/>
      <c r="C287"/>
      <c r="D287" s="157"/>
      <c r="F287" s="129" t="s">
        <v>242</v>
      </c>
      <c r="G287" s="149">
        <f t="shared" ref="G287:R287" si="33">(G286+G288)/2</f>
        <v>100</v>
      </c>
      <c r="H287" s="149">
        <f t="shared" si="33"/>
        <v>95</v>
      </c>
      <c r="I287" s="149">
        <f t="shared" si="33"/>
        <v>85</v>
      </c>
      <c r="J287" s="149">
        <f t="shared" si="33"/>
        <v>71</v>
      </c>
      <c r="K287" s="149">
        <f t="shared" si="33"/>
        <v>61</v>
      </c>
      <c r="L287" s="149">
        <f t="shared" si="33"/>
        <v>41</v>
      </c>
      <c r="M287" s="149">
        <f t="shared" si="33"/>
        <v>30</v>
      </c>
      <c r="N287" s="149">
        <f t="shared" si="33"/>
        <v>22.5</v>
      </c>
      <c r="O287" s="149">
        <f t="shared" si="33"/>
        <v>16</v>
      </c>
      <c r="P287" s="149">
        <f t="shared" si="33"/>
        <v>11</v>
      </c>
      <c r="Q287" s="149">
        <f t="shared" si="33"/>
        <v>8.5</v>
      </c>
      <c r="R287" s="149">
        <f t="shared" si="33"/>
        <v>5</v>
      </c>
      <c r="AC287" s="2"/>
    </row>
    <row r="288" spans="1:32" ht="14.4">
      <c r="A288" s="276"/>
      <c r="B288" s="276"/>
      <c r="C288"/>
      <c r="D288" s="157"/>
      <c r="F288" s="129" t="s">
        <v>243</v>
      </c>
      <c r="G288" s="149">
        <v>100</v>
      </c>
      <c r="H288" s="149">
        <v>90</v>
      </c>
      <c r="I288" s="149">
        <v>78</v>
      </c>
      <c r="J288" s="149">
        <v>62</v>
      </c>
      <c r="K288" s="149">
        <v>50</v>
      </c>
      <c r="L288" s="149">
        <v>26</v>
      </c>
      <c r="M288" s="149">
        <v>16</v>
      </c>
      <c r="N288" s="149">
        <v>12</v>
      </c>
      <c r="O288" s="149">
        <v>8</v>
      </c>
      <c r="P288" s="149">
        <v>5</v>
      </c>
      <c r="Q288" s="149">
        <v>4</v>
      </c>
      <c r="R288" s="149">
        <v>3</v>
      </c>
      <c r="AC288" s="2"/>
    </row>
    <row r="289" spans="1:32">
      <c r="A289" s="276" t="s">
        <v>109</v>
      </c>
      <c r="B289" s="276" t="s">
        <v>254</v>
      </c>
      <c r="C289" s="159" t="s">
        <v>81</v>
      </c>
      <c r="D289" s="168" t="s">
        <v>79</v>
      </c>
      <c r="E289" s="276">
        <v>0.5</v>
      </c>
      <c r="F289" s="129">
        <v>0.32</v>
      </c>
      <c r="G289" s="149">
        <v>100</v>
      </c>
      <c r="H289" s="149">
        <v>100</v>
      </c>
      <c r="I289" s="149">
        <v>98.998433303491495</v>
      </c>
      <c r="J289" s="149">
        <v>58.273054661300598</v>
      </c>
      <c r="K289" s="149">
        <v>8.3310880350595191</v>
      </c>
      <c r="L289" s="149">
        <v>0.39898967374197303</v>
      </c>
      <c r="M289" s="149">
        <v>0.39898967374197303</v>
      </c>
      <c r="N289" s="149">
        <v>0.39898967374197303</v>
      </c>
      <c r="O289" s="149">
        <v>0.39898967374197303</v>
      </c>
      <c r="P289" s="149">
        <v>0.39898967374197303</v>
      </c>
      <c r="Q289" s="149">
        <v>0.39898967374197303</v>
      </c>
      <c r="R289" s="149">
        <v>0.39898967374197303</v>
      </c>
      <c r="S289" s="138">
        <v>2.758</v>
      </c>
      <c r="T289" s="138">
        <v>2.69</v>
      </c>
      <c r="U289" s="138">
        <f>级配!F289/S289*E289</f>
        <v>5.8013052936910801E-2</v>
      </c>
      <c r="V289" s="138">
        <f>级配!F289/T289*E289</f>
        <v>5.9479553903345701E-2</v>
      </c>
      <c r="W289" s="138">
        <f>1/SUM(U289:U297)</f>
        <v>2.76138015878667</v>
      </c>
      <c r="X289" s="153">
        <v>0.4</v>
      </c>
      <c r="Y289" s="138">
        <f>0.033*X289*X289-0.2936*X289+0.9336</f>
        <v>0.82143999999999995</v>
      </c>
      <c r="Z289" s="138">
        <f>0.033*Y289*Y289-0.2936*Y289+0.9336</f>
        <v>0.71469241722879995</v>
      </c>
      <c r="AA289" s="158">
        <v>2.5624234992556798</v>
      </c>
      <c r="AB289" s="138">
        <f>1/SUM(V289:V297)</f>
        <v>2.6815609082754199</v>
      </c>
      <c r="AC289" s="160">
        <v>4.8</v>
      </c>
      <c r="AD289" s="138">
        <f>100*AC289/(100+AC289)</f>
        <v>4.5801526717557302</v>
      </c>
      <c r="AE289" s="156"/>
      <c r="AF289" s="156">
        <f>AC289-E296*F296*AE296-E296*F297*AE297</f>
        <v>1.80046737947352</v>
      </c>
    </row>
    <row r="290" spans="1:32">
      <c r="A290" s="276"/>
      <c r="B290" s="276"/>
      <c r="C290" s="159" t="s">
        <v>81</v>
      </c>
      <c r="D290" s="168" t="s">
        <v>63</v>
      </c>
      <c r="E290" s="276"/>
      <c r="F290" s="129">
        <v>0.35</v>
      </c>
      <c r="G290" s="149">
        <v>100</v>
      </c>
      <c r="H290" s="149">
        <v>100</v>
      </c>
      <c r="I290" s="149">
        <v>100</v>
      </c>
      <c r="J290" s="149">
        <v>100</v>
      </c>
      <c r="K290" s="149">
        <v>94.446666666666701</v>
      </c>
      <c r="L290" s="149">
        <v>5.9733333333333301</v>
      </c>
      <c r="M290" s="149">
        <v>0.35999999999999899</v>
      </c>
      <c r="N290" s="149">
        <v>0.35999999999999899</v>
      </c>
      <c r="O290" s="149">
        <v>0.35999999999999899</v>
      </c>
      <c r="P290" s="149">
        <v>0.35999999999999899</v>
      </c>
      <c r="Q290" s="149">
        <v>0.35999999999999899</v>
      </c>
      <c r="R290" s="149">
        <v>0.35999999999999899</v>
      </c>
      <c r="S290" s="138">
        <v>2.7519999999999998</v>
      </c>
      <c r="T290" s="138">
        <v>2.6819999999999999</v>
      </c>
      <c r="U290" s="138">
        <f>级配!F290/S290*E289</f>
        <v>6.3590116279069797E-2</v>
      </c>
      <c r="V290" s="138">
        <f>级配!F290/T290*E289</f>
        <v>6.5249813571961204E-2</v>
      </c>
      <c r="W290" s="138"/>
      <c r="X290" s="138"/>
      <c r="Y290" s="151"/>
      <c r="Z290" s="151"/>
      <c r="AB290" s="138"/>
      <c r="AC290" s="160"/>
      <c r="AD290" s="138"/>
      <c r="AE290" s="156"/>
      <c r="AF290" s="156"/>
    </row>
    <row r="291" spans="1:32">
      <c r="A291" s="276"/>
      <c r="B291" s="276"/>
      <c r="C291" s="159" t="s">
        <v>82</v>
      </c>
      <c r="D291" s="168" t="s">
        <v>65</v>
      </c>
      <c r="E291" s="276"/>
      <c r="F291" s="129">
        <v>0.3</v>
      </c>
      <c r="G291" s="149">
        <v>100</v>
      </c>
      <c r="H291" s="149">
        <v>100</v>
      </c>
      <c r="I291" s="149">
        <v>100</v>
      </c>
      <c r="J291" s="149">
        <v>100</v>
      </c>
      <c r="K291" s="149">
        <v>100</v>
      </c>
      <c r="L291" s="149">
        <v>98.066666666666706</v>
      </c>
      <c r="M291" s="149">
        <v>62.4</v>
      </c>
      <c r="N291" s="149">
        <v>37.266666666666701</v>
      </c>
      <c r="O291" s="149">
        <v>26.441666666666698</v>
      </c>
      <c r="P291" s="149">
        <v>16.7083333333333</v>
      </c>
      <c r="Q291" s="149">
        <v>11.675000000000001</v>
      </c>
      <c r="R291" s="149">
        <v>8.4500000000000206</v>
      </c>
      <c r="S291" s="138">
        <v>2.7269999999999999</v>
      </c>
      <c r="T291" s="138">
        <v>2.6320000000000001</v>
      </c>
      <c r="U291" s="138">
        <f>级配!F291/S291*E289</f>
        <v>5.5005500550055E-2</v>
      </c>
      <c r="V291" s="138">
        <f>级配!F291/T291*E289</f>
        <v>5.6990881458966601E-2</v>
      </c>
    </row>
    <row r="292" spans="1:32" ht="14.4">
      <c r="A292" s="276"/>
      <c r="B292" s="276"/>
      <c r="C292" s="171" t="s">
        <v>99</v>
      </c>
      <c r="D292" s="168" t="s">
        <v>91</v>
      </c>
      <c r="E292" s="276"/>
      <c r="F292" s="129">
        <v>0.03</v>
      </c>
      <c r="G292" s="149">
        <v>100</v>
      </c>
      <c r="H292" s="149">
        <v>100</v>
      </c>
      <c r="I292" s="149">
        <v>100</v>
      </c>
      <c r="J292" s="149">
        <v>100</v>
      </c>
      <c r="K292" s="149">
        <v>100</v>
      </c>
      <c r="L292" s="149">
        <v>100</v>
      </c>
      <c r="M292" s="149">
        <v>100</v>
      </c>
      <c r="N292" s="149">
        <v>100</v>
      </c>
      <c r="O292" s="149">
        <v>100</v>
      </c>
      <c r="P292" s="149">
        <v>97.4</v>
      </c>
      <c r="Q292" s="149">
        <v>90.2</v>
      </c>
      <c r="R292" s="149">
        <v>78.2</v>
      </c>
      <c r="S292" s="138">
        <v>2.6789999999999998</v>
      </c>
      <c r="T292" s="138">
        <v>2.6789999999999998</v>
      </c>
      <c r="U292" s="138">
        <f>级配!F292/S292*E289</f>
        <v>5.5991041433370702E-3</v>
      </c>
      <c r="V292" s="138">
        <f>级配!F292/T292*E289</f>
        <v>5.5991041433370702E-3</v>
      </c>
    </row>
    <row r="293" spans="1:32" ht="14.4">
      <c r="A293" s="276"/>
      <c r="B293" s="276"/>
      <c r="C293" s="164" t="s">
        <v>99</v>
      </c>
      <c r="D293" s="168" t="s">
        <v>91</v>
      </c>
      <c r="E293" s="276"/>
      <c r="F293" s="129">
        <v>0</v>
      </c>
      <c r="G293" s="149">
        <v>100</v>
      </c>
      <c r="H293" s="149">
        <v>100</v>
      </c>
      <c r="I293" s="149">
        <v>100</v>
      </c>
      <c r="J293" s="149">
        <v>100</v>
      </c>
      <c r="K293" s="149">
        <v>100</v>
      </c>
      <c r="L293" s="149">
        <v>100</v>
      </c>
      <c r="M293" s="149">
        <v>100</v>
      </c>
      <c r="N293" s="149">
        <v>100</v>
      </c>
      <c r="O293" s="149">
        <v>100</v>
      </c>
      <c r="P293" s="149">
        <v>97.4</v>
      </c>
      <c r="Q293" s="149">
        <v>90.2</v>
      </c>
      <c r="R293" s="149">
        <v>78.2</v>
      </c>
      <c r="S293" s="138">
        <v>2.6789999999999998</v>
      </c>
      <c r="T293" s="138">
        <v>2.6789999999999998</v>
      </c>
      <c r="U293" s="138">
        <f>级配!F293/S293*E289</f>
        <v>0</v>
      </c>
      <c r="V293" s="138">
        <f>级配!F293/T293*E289</f>
        <v>0</v>
      </c>
    </row>
    <row r="294" spans="1:32" ht="14.4">
      <c r="A294" s="276"/>
      <c r="B294" s="276"/>
      <c r="C294" s="164" t="s">
        <v>99</v>
      </c>
      <c r="D294" s="168" t="s">
        <v>91</v>
      </c>
      <c r="E294" s="276"/>
      <c r="F294" s="129">
        <v>0</v>
      </c>
      <c r="G294" s="149">
        <v>100</v>
      </c>
      <c r="H294" s="149">
        <v>100</v>
      </c>
      <c r="I294" s="149">
        <v>100</v>
      </c>
      <c r="J294" s="149">
        <v>100</v>
      </c>
      <c r="K294" s="149">
        <v>100</v>
      </c>
      <c r="L294" s="149">
        <v>100</v>
      </c>
      <c r="M294" s="149">
        <v>81.364999999999995</v>
      </c>
      <c r="N294" s="149">
        <v>59.195</v>
      </c>
      <c r="O294" s="149">
        <v>34.704999999999998</v>
      </c>
      <c r="P294" s="149">
        <v>19.21</v>
      </c>
      <c r="Q294" s="149">
        <v>13.9</v>
      </c>
      <c r="R294" s="149">
        <v>11.54</v>
      </c>
      <c r="S294" s="138">
        <v>2.72</v>
      </c>
      <c r="T294" s="138">
        <v>2.65</v>
      </c>
      <c r="U294" s="138">
        <f>级配!F294/S294*E289</f>
        <v>0</v>
      </c>
      <c r="V294" s="138">
        <f>级配!F294/T294*E289</f>
        <v>0</v>
      </c>
    </row>
    <row r="295" spans="1:32" ht="14.4">
      <c r="A295" s="276"/>
      <c r="B295" s="276"/>
      <c r="C295" s="164" t="s">
        <v>99</v>
      </c>
      <c r="D295" s="157" t="s">
        <v>91</v>
      </c>
      <c r="E295" s="276"/>
      <c r="F295" s="129">
        <v>0</v>
      </c>
      <c r="G295" s="149">
        <v>100</v>
      </c>
      <c r="H295" s="149">
        <v>100</v>
      </c>
      <c r="I295" s="149">
        <v>100</v>
      </c>
      <c r="J295" s="149">
        <v>100</v>
      </c>
      <c r="K295" s="149">
        <v>100</v>
      </c>
      <c r="L295" s="149">
        <v>100</v>
      </c>
      <c r="M295" s="149">
        <v>100</v>
      </c>
      <c r="N295" s="149">
        <v>100</v>
      </c>
      <c r="O295" s="149">
        <v>100</v>
      </c>
      <c r="P295" s="149">
        <v>99.6875</v>
      </c>
      <c r="Q295" s="149">
        <v>97.112499999999997</v>
      </c>
      <c r="R295" s="149">
        <v>76.612499999999997</v>
      </c>
      <c r="S295" s="138">
        <v>2.8519999999999999</v>
      </c>
      <c r="T295" s="138">
        <v>2.7229999999999999</v>
      </c>
      <c r="U295" s="138">
        <f>级配!F295/S295*E289</f>
        <v>0</v>
      </c>
      <c r="V295" s="138">
        <f>级配!F295/T295*E289</f>
        <v>0</v>
      </c>
    </row>
    <row r="296" spans="1:32">
      <c r="A296" s="276"/>
      <c r="B296" s="276"/>
      <c r="C296" s="159" t="s">
        <v>74</v>
      </c>
      <c r="D296" s="168" t="s">
        <v>96</v>
      </c>
      <c r="E296" s="276">
        <v>0.5</v>
      </c>
      <c r="F296" s="130">
        <v>0.4</v>
      </c>
      <c r="G296" s="149">
        <v>100</v>
      </c>
      <c r="H296" s="149">
        <v>100</v>
      </c>
      <c r="I296" s="149">
        <v>99.984451432564597</v>
      </c>
      <c r="J296" s="149">
        <v>93.046428384312705</v>
      </c>
      <c r="K296" s="149">
        <v>70.079550745780793</v>
      </c>
      <c r="L296" s="149">
        <v>40.365078548094402</v>
      </c>
      <c r="M296" s="149">
        <v>27.5376533862866</v>
      </c>
      <c r="N296" s="149">
        <v>22.638636150645301</v>
      </c>
      <c r="O296" s="149">
        <v>19.0028719919537</v>
      </c>
      <c r="P296" s="149">
        <v>13.6497007357819</v>
      </c>
      <c r="Q296" s="149">
        <v>9.6914462678494093</v>
      </c>
      <c r="R296" s="149">
        <v>7.9727385830571604</v>
      </c>
      <c r="S296" s="138">
        <v>2.8170000000000002</v>
      </c>
      <c r="T296" s="138">
        <v>2.6970000000000001</v>
      </c>
      <c r="U296" s="138">
        <f>级配!F296/S296*E296</f>
        <v>7.0997515086971996E-2</v>
      </c>
      <c r="V296" s="138">
        <f>级配!F296/T296*E296</f>
        <v>7.4156470152020801E-2</v>
      </c>
      <c r="AE296" s="154">
        <v>5.3938427984229698</v>
      </c>
    </row>
    <row r="297" spans="1:32">
      <c r="A297" s="276"/>
      <c r="B297" s="276"/>
      <c r="C297" s="159" t="s">
        <v>76</v>
      </c>
      <c r="D297" s="168" t="s">
        <v>97</v>
      </c>
      <c r="E297" s="276"/>
      <c r="F297" s="130">
        <v>0.6</v>
      </c>
      <c r="G297" s="149">
        <v>100</v>
      </c>
      <c r="H297" s="149">
        <v>100</v>
      </c>
      <c r="I297" s="149">
        <v>100</v>
      </c>
      <c r="J297" s="149">
        <v>100</v>
      </c>
      <c r="K297" s="149">
        <v>97.812322397070304</v>
      </c>
      <c r="L297" s="149">
        <v>60.802882860164601</v>
      </c>
      <c r="M297" s="149">
        <v>39.699422135739098</v>
      </c>
      <c r="N297" s="149">
        <v>30.710328602273599</v>
      </c>
      <c r="O297" s="149">
        <v>24.458293029622101</v>
      </c>
      <c r="P297" s="149">
        <v>18.2956234874346</v>
      </c>
      <c r="Q297" s="149">
        <v>13.558362910297999</v>
      </c>
      <c r="R297" s="149">
        <v>9.9538765583578801</v>
      </c>
      <c r="S297" s="138">
        <v>2.754</v>
      </c>
      <c r="T297" s="138">
        <v>2.6920000000000002</v>
      </c>
      <c r="U297" s="138">
        <f>级配!F297/S297*E296</f>
        <v>0.108932461873638</v>
      </c>
      <c r="V297" s="138">
        <f>级配!F297/T297*E296</f>
        <v>0.11144130757800901</v>
      </c>
      <c r="AE297" s="154">
        <v>6.4025468694729497</v>
      </c>
    </row>
    <row r="298" spans="1:32" ht="14.4">
      <c r="A298" s="276"/>
      <c r="B298" s="276"/>
      <c r="C298"/>
      <c r="F298" s="129" t="s">
        <v>240</v>
      </c>
      <c r="G298" s="170">
        <f>$E$29*($F$29*G289+$F$30*G290+$F$31*G291+$F$32*G292+$F$33*G293+$F$34*G294+$F$35*G295)+$E$36*($F$36*G296+$F$37*G297)</f>
        <v>100</v>
      </c>
      <c r="H298" s="170">
        <f>E289*(F289*H289+F290*H290+F291*H291+F292*H292+F293*H293+F294*H294+F295*H295)+E296*(F296*H296+F297*H297)</f>
        <v>100</v>
      </c>
      <c r="I298" s="170">
        <f>E289*(F289*I289+F290*I290+F291*I291+F292*I292+F293*I293+F294*I294+F295*I295)+E296*(F296*I296+F297*I297)</f>
        <v>99.836639615071604</v>
      </c>
      <c r="J298" s="170">
        <f>E289*(F289*J289+F290*J290+F291*J291+F292*J292+F293*J293+F294*J294+F295*J295)+E296*(F296*J296+F297*J297)</f>
        <v>91.932974422670597</v>
      </c>
      <c r="K298" s="170">
        <f>E289*(F289*K289+F290*K290+F291*K291+F292*K292+F293*K293+F294*K294+F295*K295)+E296*(F296*K296+F297*K297)</f>
        <v>77.720747620553496</v>
      </c>
      <c r="L298" s="170">
        <f>E289*(F289*L289+F290*L290+F291*L291+F292*L292+F293*L293+F294*L294+F295*L295)+E296*(F296*L296+F297*L297)</f>
        <v>43.633052248800297</v>
      </c>
      <c r="M298" s="170">
        <f>E289*(F289*M289+F290*M290+F291*M291+F292*M292+F293*M293+F294*M294+F295*M295)+E296*(F296*M296+F297*M297)</f>
        <v>28.404195665777799</v>
      </c>
      <c r="N298" s="170">
        <f>E289*(F289*N289+F290*N290+F291*N291+F292*N292+F293*N293+F294*N294+F295*N295)+E296*(F296*N296+F297*N297)</f>
        <v>20.957664158609902</v>
      </c>
      <c r="O298" s="170">
        <f>E289*(F289*O289+F290*O290+F291*O291+F292*O292+F293*O293+F294*O294+F295*O295)+E296*(F296*O296+F297*O297)</f>
        <v>16.7311506550761</v>
      </c>
      <c r="P298" s="170">
        <f>E289*(F289*P289+F290*P290+F291*P291+F292*P292+F293*P293+F294*P294+F295*P295)+E296*(F296*P296+F297*P297)</f>
        <v>12.312715541185501</v>
      </c>
      <c r="Q298" s="170">
        <f>E289*(F289*Q289+F290*Q290+F291*Q291+F292*Q292+F293*Q293+F294*Q294+F295*Q295)+E296*(F296*Q296+F297*Q297)</f>
        <v>9.2368864744580002</v>
      </c>
      <c r="R298" s="170">
        <f>E289*(F289*R289+F290*R290+F291*R291+F292*R292+F293*R293+F294*R294+F295*R295)+E296*(F296*R296+F297*R297)</f>
        <v>7.1480490319175098</v>
      </c>
    </row>
    <row r="299" spans="1:32" ht="14.4">
      <c r="A299" s="276"/>
      <c r="B299" s="276"/>
      <c r="C299"/>
      <c r="F299" s="129" t="s">
        <v>241</v>
      </c>
      <c r="G299" s="149">
        <v>100</v>
      </c>
      <c r="H299" s="149">
        <v>100</v>
      </c>
      <c r="I299" s="129">
        <v>100</v>
      </c>
      <c r="J299" s="129">
        <v>100</v>
      </c>
      <c r="K299" s="129">
        <v>85</v>
      </c>
      <c r="L299" s="129">
        <v>68</v>
      </c>
      <c r="M299" s="129">
        <v>50</v>
      </c>
      <c r="N299" s="129">
        <v>38</v>
      </c>
      <c r="O299" s="129">
        <v>28</v>
      </c>
      <c r="P299" s="129">
        <v>20</v>
      </c>
      <c r="Q299" s="129">
        <v>15</v>
      </c>
      <c r="R299" s="129">
        <v>8</v>
      </c>
    </row>
    <row r="300" spans="1:32" ht="14.4">
      <c r="A300" s="276"/>
      <c r="B300" s="276"/>
      <c r="C300"/>
      <c r="F300" s="129" t="s">
        <v>242</v>
      </c>
      <c r="G300" s="149">
        <f t="shared" ref="G300" si="34">(G299+G301)/2</f>
        <v>100</v>
      </c>
      <c r="H300" s="149">
        <v>100</v>
      </c>
      <c r="I300" s="129">
        <v>100</v>
      </c>
      <c r="J300" s="129">
        <f t="shared" ref="J300:R300" si="35">(J299+J301)/2</f>
        <v>95</v>
      </c>
      <c r="K300" s="129">
        <f t="shared" si="35"/>
        <v>76.5</v>
      </c>
      <c r="L300" s="129">
        <f t="shared" si="35"/>
        <v>53</v>
      </c>
      <c r="M300" s="129">
        <f t="shared" si="35"/>
        <v>37</v>
      </c>
      <c r="N300" s="129">
        <f t="shared" si="35"/>
        <v>26.5</v>
      </c>
      <c r="O300" s="129">
        <f t="shared" si="35"/>
        <v>19</v>
      </c>
      <c r="P300" s="129">
        <f t="shared" si="35"/>
        <v>13.5</v>
      </c>
      <c r="Q300" s="129">
        <f t="shared" si="35"/>
        <v>10</v>
      </c>
      <c r="R300" s="129">
        <f t="shared" si="35"/>
        <v>6</v>
      </c>
    </row>
    <row r="301" spans="1:32" ht="14.4">
      <c r="A301" s="276"/>
      <c r="B301" s="276"/>
      <c r="C301"/>
      <c r="F301" s="129" t="s">
        <v>243</v>
      </c>
      <c r="G301" s="149">
        <v>100</v>
      </c>
      <c r="H301" s="149">
        <v>100</v>
      </c>
      <c r="I301" s="129">
        <v>100</v>
      </c>
      <c r="J301" s="129">
        <v>90</v>
      </c>
      <c r="K301" s="129">
        <v>68</v>
      </c>
      <c r="L301" s="129">
        <v>38</v>
      </c>
      <c r="M301" s="129">
        <v>24</v>
      </c>
      <c r="N301" s="129">
        <v>15</v>
      </c>
      <c r="O301" s="129">
        <v>10</v>
      </c>
      <c r="P301" s="129">
        <v>7</v>
      </c>
      <c r="Q301" s="129">
        <v>5</v>
      </c>
      <c r="R301" s="129">
        <v>4</v>
      </c>
    </row>
    <row r="302" spans="1:32">
      <c r="A302" s="276" t="s">
        <v>109</v>
      </c>
      <c r="B302" s="276" t="s">
        <v>255</v>
      </c>
      <c r="C302" s="159" t="s">
        <v>81</v>
      </c>
      <c r="D302" s="168" t="s">
        <v>79</v>
      </c>
      <c r="E302" s="276">
        <v>0.5</v>
      </c>
      <c r="F302" s="146">
        <v>0.32</v>
      </c>
      <c r="G302" s="149">
        <v>100</v>
      </c>
      <c r="H302" s="149">
        <v>100</v>
      </c>
      <c r="I302" s="149">
        <v>98.998433303491495</v>
      </c>
      <c r="J302" s="149">
        <v>58.273054661300598</v>
      </c>
      <c r="K302" s="149">
        <v>8.3310880350595191</v>
      </c>
      <c r="L302" s="149">
        <v>0.39898967374197303</v>
      </c>
      <c r="M302" s="149">
        <v>0.39898967374197303</v>
      </c>
      <c r="N302" s="149">
        <v>0.39898967374197303</v>
      </c>
      <c r="O302" s="149">
        <v>0.39898967374197303</v>
      </c>
      <c r="P302" s="149">
        <v>0.39898967374197303</v>
      </c>
      <c r="Q302" s="149">
        <v>0.39898967374197303</v>
      </c>
      <c r="R302" s="149">
        <v>0.39898967374197303</v>
      </c>
      <c r="S302" s="138">
        <v>2.758</v>
      </c>
      <c r="T302" s="138">
        <v>2.69</v>
      </c>
      <c r="U302" s="138">
        <f>级配!F302/S302*E302</f>
        <v>5.8013052936910801E-2</v>
      </c>
      <c r="V302" s="138">
        <f>级配!F302/T302*E302</f>
        <v>5.9479553903345701E-2</v>
      </c>
      <c r="W302" s="138">
        <f>1/SUM(U302:U310)</f>
        <v>2.76255118894067</v>
      </c>
      <c r="X302" s="153">
        <v>0.4</v>
      </c>
      <c r="Y302" s="138">
        <f>0.033*X302*X302-0.2936*X302+0.9336</f>
        <v>0.82143999999999995</v>
      </c>
      <c r="Z302" s="138">
        <f>0.033*Y302*Y302-0.2936*Y302+0.9336</f>
        <v>0.71469241722879995</v>
      </c>
      <c r="AA302" s="158">
        <v>2.5435161494668201</v>
      </c>
      <c r="AB302" s="138">
        <f>1/SUM(V302:V310)</f>
        <v>2.6816697032880401</v>
      </c>
      <c r="AC302" s="160">
        <v>4.9000000000000004</v>
      </c>
      <c r="AD302" s="138">
        <f>100*AC302/(100+AC302)</f>
        <v>4.6711153479504297</v>
      </c>
      <c r="AE302" s="156"/>
      <c r="AF302" s="156">
        <f>AC302-E309*F309*AE309-E309*F310*AE310</f>
        <v>1.9256849812497701</v>
      </c>
    </row>
    <row r="303" spans="1:32">
      <c r="A303" s="276"/>
      <c r="B303" s="276"/>
      <c r="C303" s="159" t="s">
        <v>81</v>
      </c>
      <c r="D303" s="168" t="s">
        <v>63</v>
      </c>
      <c r="E303" s="276"/>
      <c r="F303" s="146">
        <v>0.34</v>
      </c>
      <c r="G303" s="149">
        <v>100</v>
      </c>
      <c r="H303" s="149">
        <v>100</v>
      </c>
      <c r="I303" s="149">
        <v>100</v>
      </c>
      <c r="J303" s="149">
        <v>100</v>
      </c>
      <c r="K303" s="149">
        <v>94.446666666666701</v>
      </c>
      <c r="L303" s="149">
        <v>5.9733333333333301</v>
      </c>
      <c r="M303" s="149">
        <v>0.35999999999999899</v>
      </c>
      <c r="N303" s="149">
        <v>0.35999999999999899</v>
      </c>
      <c r="O303" s="149">
        <v>0.35999999999999899</v>
      </c>
      <c r="P303" s="149">
        <v>0.35999999999999899</v>
      </c>
      <c r="Q303" s="149">
        <v>0.35999999999999899</v>
      </c>
      <c r="R303" s="149">
        <v>0.35999999999999899</v>
      </c>
      <c r="S303" s="138">
        <v>2.7519999999999998</v>
      </c>
      <c r="T303" s="138">
        <v>2.6819999999999999</v>
      </c>
      <c r="U303" s="138">
        <f>级配!F303/S303*E302</f>
        <v>6.1773255813953501E-2</v>
      </c>
      <c r="V303" s="138">
        <f>级配!F303/T303*E302</f>
        <v>6.3385533184190906E-2</v>
      </c>
      <c r="W303" s="138"/>
      <c r="X303" s="138"/>
      <c r="Y303" s="151"/>
      <c r="Z303" s="151"/>
      <c r="AA303" s="174">
        <v>2.56541223642115</v>
      </c>
      <c r="AB303" s="138">
        <v>2.6816697032880401</v>
      </c>
      <c r="AC303" s="160">
        <v>4.9000000000000004</v>
      </c>
      <c r="AD303" s="138">
        <v>4.6711153479504297</v>
      </c>
      <c r="AE303" s="156"/>
      <c r="AF303" s="156"/>
    </row>
    <row r="304" spans="1:32">
      <c r="A304" s="276"/>
      <c r="B304" s="276"/>
      <c r="C304" s="159" t="s">
        <v>82</v>
      </c>
      <c r="D304" s="168" t="s">
        <v>65</v>
      </c>
      <c r="E304" s="276"/>
      <c r="F304" s="173">
        <v>0.3</v>
      </c>
      <c r="G304" s="149">
        <v>100</v>
      </c>
      <c r="H304" s="149">
        <v>100</v>
      </c>
      <c r="I304" s="149">
        <v>100</v>
      </c>
      <c r="J304" s="149">
        <v>100</v>
      </c>
      <c r="K304" s="149">
        <v>100</v>
      </c>
      <c r="L304" s="149">
        <v>98.066666666666706</v>
      </c>
      <c r="M304" s="149">
        <v>62.4</v>
      </c>
      <c r="N304" s="149">
        <v>37.266666666666701</v>
      </c>
      <c r="O304" s="149">
        <v>26.441666666666698</v>
      </c>
      <c r="P304" s="149">
        <v>16.7083333333333</v>
      </c>
      <c r="Q304" s="149">
        <v>11.675000000000001</v>
      </c>
      <c r="R304" s="149">
        <v>8.4500000000000206</v>
      </c>
      <c r="S304" s="138">
        <v>2.7269999999999999</v>
      </c>
      <c r="T304" s="138">
        <v>2.6320000000000001</v>
      </c>
      <c r="U304" s="138">
        <f>级配!F304/S304*E302</f>
        <v>5.5005500550055E-2</v>
      </c>
      <c r="V304" s="138">
        <f>级配!F304/T304*E302</f>
        <v>5.6990881458966601E-2</v>
      </c>
    </row>
    <row r="305" spans="1:32" ht="14.4">
      <c r="A305" s="276"/>
      <c r="B305" s="276"/>
      <c r="C305" s="171" t="s">
        <v>99</v>
      </c>
      <c r="D305" s="168" t="s">
        <v>91</v>
      </c>
      <c r="E305" s="276"/>
      <c r="F305" s="146">
        <v>0.04</v>
      </c>
      <c r="G305" s="149">
        <v>100</v>
      </c>
      <c r="H305" s="149">
        <v>100</v>
      </c>
      <c r="I305" s="149">
        <v>100</v>
      </c>
      <c r="J305" s="149">
        <v>100</v>
      </c>
      <c r="K305" s="149">
        <v>100</v>
      </c>
      <c r="L305" s="149">
        <v>100</v>
      </c>
      <c r="M305" s="149">
        <v>100</v>
      </c>
      <c r="N305" s="149">
        <v>100</v>
      </c>
      <c r="O305" s="149">
        <v>100</v>
      </c>
      <c r="P305" s="149">
        <v>97.4</v>
      </c>
      <c r="Q305" s="149">
        <v>90.2</v>
      </c>
      <c r="R305" s="149">
        <v>78.2</v>
      </c>
      <c r="S305" s="138">
        <v>2.6789999999999998</v>
      </c>
      <c r="T305" s="138">
        <v>2.6789999999999998</v>
      </c>
      <c r="U305" s="138">
        <f>级配!F305/S305*E302</f>
        <v>7.4654721911160899E-3</v>
      </c>
      <c r="V305" s="138">
        <f>级配!F305/T305*E302</f>
        <v>7.4654721911160899E-3</v>
      </c>
    </row>
    <row r="306" spans="1:32" ht="14.4">
      <c r="A306" s="276"/>
      <c r="B306" s="276"/>
      <c r="C306" s="164" t="s">
        <v>99</v>
      </c>
      <c r="D306" s="168" t="s">
        <v>91</v>
      </c>
      <c r="E306" s="276"/>
      <c r="F306" s="129">
        <v>0</v>
      </c>
      <c r="G306" s="149">
        <v>100</v>
      </c>
      <c r="H306" s="149">
        <v>100</v>
      </c>
      <c r="I306" s="149">
        <v>100</v>
      </c>
      <c r="J306" s="149">
        <v>100</v>
      </c>
      <c r="K306" s="149">
        <v>100</v>
      </c>
      <c r="L306" s="149">
        <v>100</v>
      </c>
      <c r="M306" s="149">
        <v>100</v>
      </c>
      <c r="N306" s="149">
        <v>100</v>
      </c>
      <c r="O306" s="149">
        <v>100</v>
      </c>
      <c r="P306" s="149">
        <v>97.4</v>
      </c>
      <c r="Q306" s="149">
        <v>90.2</v>
      </c>
      <c r="R306" s="149">
        <v>78.2</v>
      </c>
      <c r="S306" s="138">
        <v>2.6789999999999998</v>
      </c>
      <c r="T306" s="138">
        <v>2.6789999999999998</v>
      </c>
      <c r="U306" s="138">
        <f>级配!F306/S306*E302</f>
        <v>0</v>
      </c>
      <c r="V306" s="138">
        <f>级配!F306/T306*E302</f>
        <v>0</v>
      </c>
    </row>
    <row r="307" spans="1:32" ht="14.4">
      <c r="A307" s="276"/>
      <c r="B307" s="276"/>
      <c r="C307" s="164" t="s">
        <v>99</v>
      </c>
      <c r="D307" s="168" t="s">
        <v>91</v>
      </c>
      <c r="E307" s="276"/>
      <c r="F307" s="129">
        <v>0</v>
      </c>
      <c r="G307" s="149">
        <v>100</v>
      </c>
      <c r="H307" s="149">
        <v>100</v>
      </c>
      <c r="I307" s="149">
        <v>100</v>
      </c>
      <c r="J307" s="149">
        <v>100</v>
      </c>
      <c r="K307" s="149">
        <v>100</v>
      </c>
      <c r="L307" s="149">
        <v>100</v>
      </c>
      <c r="M307" s="149">
        <v>81.364999999999995</v>
      </c>
      <c r="N307" s="149">
        <v>59.195</v>
      </c>
      <c r="O307" s="149">
        <v>34.704999999999998</v>
      </c>
      <c r="P307" s="149">
        <v>19.21</v>
      </c>
      <c r="Q307" s="149">
        <v>13.9</v>
      </c>
      <c r="R307" s="149">
        <v>11.54</v>
      </c>
      <c r="S307" s="138">
        <v>2.72</v>
      </c>
      <c r="T307" s="138">
        <v>2.65</v>
      </c>
      <c r="U307" s="138">
        <f>级配!F307/S307*E302</f>
        <v>0</v>
      </c>
      <c r="V307" s="138">
        <f>级配!F307/T307*E302</f>
        <v>0</v>
      </c>
    </row>
    <row r="308" spans="1:32" ht="14.4">
      <c r="A308" s="276"/>
      <c r="B308" s="276"/>
      <c r="C308" s="164" t="s">
        <v>99</v>
      </c>
      <c r="D308" s="157" t="s">
        <v>91</v>
      </c>
      <c r="E308" s="276"/>
      <c r="F308" s="129">
        <v>0</v>
      </c>
      <c r="G308" s="149">
        <v>100</v>
      </c>
      <c r="H308" s="149">
        <v>100</v>
      </c>
      <c r="I308" s="149">
        <v>100</v>
      </c>
      <c r="J308" s="149">
        <v>100</v>
      </c>
      <c r="K308" s="149">
        <v>100</v>
      </c>
      <c r="L308" s="149">
        <v>100</v>
      </c>
      <c r="M308" s="149">
        <v>100</v>
      </c>
      <c r="N308" s="149">
        <v>100</v>
      </c>
      <c r="O308" s="149">
        <v>100</v>
      </c>
      <c r="P308" s="149">
        <v>99.6875</v>
      </c>
      <c r="Q308" s="149">
        <v>97.112499999999997</v>
      </c>
      <c r="R308" s="149">
        <v>76.612499999999997</v>
      </c>
      <c r="S308" s="138">
        <v>2.8519999999999999</v>
      </c>
      <c r="T308" s="138">
        <v>2.7229999999999999</v>
      </c>
      <c r="U308" s="138">
        <f>级配!F308/S308*E302</f>
        <v>0</v>
      </c>
      <c r="V308" s="138">
        <f>级配!F308/T308*E302</f>
        <v>0</v>
      </c>
    </row>
    <row r="309" spans="1:32">
      <c r="A309" s="276"/>
      <c r="B309" s="276"/>
      <c r="C309" s="159" t="s">
        <v>74</v>
      </c>
      <c r="D309" s="168" t="s">
        <v>96</v>
      </c>
      <c r="E309" s="276">
        <v>0.5</v>
      </c>
      <c r="F309" s="146">
        <v>0.45</v>
      </c>
      <c r="G309" s="149">
        <v>100</v>
      </c>
      <c r="H309" s="149">
        <v>100</v>
      </c>
      <c r="I309" s="149">
        <v>99.984451432564597</v>
      </c>
      <c r="J309" s="149">
        <v>93.046428384312705</v>
      </c>
      <c r="K309" s="149">
        <v>70.079550745780793</v>
      </c>
      <c r="L309" s="149">
        <v>40.365078548094402</v>
      </c>
      <c r="M309" s="149">
        <v>27.5376533862866</v>
      </c>
      <c r="N309" s="149">
        <v>22.638636150645301</v>
      </c>
      <c r="O309" s="149">
        <v>19.0028719919537</v>
      </c>
      <c r="P309" s="149">
        <v>13.6497007357819</v>
      </c>
      <c r="Q309" s="149">
        <v>9.6914462678494093</v>
      </c>
      <c r="R309" s="149">
        <v>7.9727385830571604</v>
      </c>
      <c r="S309" s="138">
        <v>2.8170000000000002</v>
      </c>
      <c r="T309" s="138">
        <v>2.6970000000000001</v>
      </c>
      <c r="U309" s="138">
        <f>级配!F309/S309*E309</f>
        <v>7.9872204472843406E-2</v>
      </c>
      <c r="V309" s="138">
        <f>级配!F309/T309*E309</f>
        <v>8.3426028921023396E-2</v>
      </c>
      <c r="AE309" s="154">
        <v>5.3938427984229698</v>
      </c>
    </row>
    <row r="310" spans="1:32">
      <c r="A310" s="276"/>
      <c r="B310" s="276"/>
      <c r="C310" s="159" t="s">
        <v>76</v>
      </c>
      <c r="D310" s="168" t="s">
        <v>97</v>
      </c>
      <c r="E310" s="276"/>
      <c r="F310" s="146">
        <v>0.55000000000000004</v>
      </c>
      <c r="G310" s="149">
        <v>100</v>
      </c>
      <c r="H310" s="149">
        <v>100</v>
      </c>
      <c r="I310" s="149">
        <v>100</v>
      </c>
      <c r="J310" s="149">
        <v>100</v>
      </c>
      <c r="K310" s="149">
        <v>97.812322397070304</v>
      </c>
      <c r="L310" s="149">
        <v>60.802882860164601</v>
      </c>
      <c r="M310" s="149">
        <v>39.699422135739098</v>
      </c>
      <c r="N310" s="149">
        <v>30.710328602273599</v>
      </c>
      <c r="O310" s="149">
        <v>24.458293029622101</v>
      </c>
      <c r="P310" s="149">
        <v>18.2956234874346</v>
      </c>
      <c r="Q310" s="149">
        <v>13.558362910297999</v>
      </c>
      <c r="R310" s="149">
        <v>9.9538765583578801</v>
      </c>
      <c r="S310" s="138">
        <v>2.754</v>
      </c>
      <c r="T310" s="138">
        <v>2.6920000000000002</v>
      </c>
      <c r="U310" s="138">
        <f>级配!F310/S310*E309</f>
        <v>9.9854756717501797E-2</v>
      </c>
      <c r="V310" s="138">
        <f>级配!F310/T310*E309</f>
        <v>0.102154531946508</v>
      </c>
      <c r="AE310" s="154">
        <v>6.4025468694729497</v>
      </c>
    </row>
    <row r="311" spans="1:32" ht="14.4">
      <c r="A311" s="276"/>
      <c r="B311" s="276"/>
      <c r="C311"/>
      <c r="F311" s="129" t="s">
        <v>240</v>
      </c>
      <c r="G311" s="170">
        <f>$E$29*($F$29*G302+$F$30*G303+$F$31*G304+$F$32*G305+$F$33*G306+$F$34*G307+$F$35*G308)+$E$36*($F$36*G309+$F$37*G310)</f>
        <v>100</v>
      </c>
      <c r="H311" s="170">
        <f>E302*(F302*H302+F303*H303+F304*H304+F305*H305+F306*H306+F307*H307+F308*H308)+E309*(F309*H309+F310*H310)</f>
        <v>100</v>
      </c>
      <c r="I311" s="170">
        <f>E302*(F302*I302+F303*I303+F304*I304+F305*I305+F306*I306+F307*I307+F308*I308)+E309*(F309*I309+F310*I310)</f>
        <v>99.836250900885702</v>
      </c>
      <c r="J311" s="170">
        <f>E302*(F302*J302+F303*J303+F304*J304+F305*J305+F306*J306+F307*J307+F308*J308)+E309*(F309*J309+F310*J310)</f>
        <v>91.759135132278502</v>
      </c>
      <c r="K311" s="170">
        <f>E302*(F302*K302+F303*K303+F304*K304+F305*K305+F306*K306+F307*K307+F308*K308)+E309*(F309*K309+F310*K310)</f>
        <v>77.055194995937896</v>
      </c>
      <c r="L311" s="170">
        <f>E302*(F302*L302+F303*L303+F304*L304+F305*L305+F306*L306+F307*L307+F308*L308)+E309*(F309*L309+F310*L310)</f>
        <v>43.592240474331902</v>
      </c>
      <c r="M311" s="170">
        <f>E302*(F302*M302+F303*M303+F304*M304+F305*M305+F306*M306+F307*M307+F308*M308)+E309*(F309*M309+F310*M310)</f>
        <v>28.598351447041502</v>
      </c>
      <c r="N311" s="170">
        <f>E302*(F302*N302+F303*N303+F304*N304+F305*N305+F306*N306+F307*N307+F308*N308)+E309*(F309*N309+F310*N310)</f>
        <v>21.254071847319199</v>
      </c>
      <c r="O311" s="170">
        <f>E302*(F302*O302+F303*O303+F304*O304+F305*O305+F306*O306+F307*O307+F308*O308)+E309*(F309*O309+F310*O310)</f>
        <v>17.092965129134399</v>
      </c>
      <c r="P311" s="170">
        <f>E302*(F302*P302+F303*P303+F304*P304+F305*P305+F306*P306+F307*P307+F308*P308)+E309*(F309*P309+F310*P310)</f>
        <v>12.681767472394201</v>
      </c>
      <c r="Q311" s="170">
        <f>E302*(F302*Q302+F303*Q303+F304*Q304+F305*Q305+F306*Q306+F307*Q307+F308*Q308)+E309*(F309*Q309+F310*Q310)</f>
        <v>9.5894135583967799</v>
      </c>
      <c r="R311" s="170">
        <f>E302*(F302*R302+F303*R303+F304*R304+F305*R305+F306*R306+F307*R307+F308*R308)+E309*(F309*R309+F310*R310)</f>
        <v>7.4877205825350002</v>
      </c>
    </row>
    <row r="312" spans="1:32" ht="14.4">
      <c r="A312" s="276"/>
      <c r="B312" s="276"/>
      <c r="C312"/>
      <c r="F312" s="129" t="s">
        <v>241</v>
      </c>
      <c r="G312" s="149">
        <v>100</v>
      </c>
      <c r="H312" s="149">
        <v>100</v>
      </c>
      <c r="I312" s="129">
        <v>100</v>
      </c>
      <c r="J312" s="129">
        <v>100</v>
      </c>
      <c r="K312" s="129">
        <v>85</v>
      </c>
      <c r="L312" s="129">
        <v>68</v>
      </c>
      <c r="M312" s="129">
        <v>50</v>
      </c>
      <c r="N312" s="129">
        <v>38</v>
      </c>
      <c r="O312" s="129">
        <v>28</v>
      </c>
      <c r="P312" s="129">
        <v>20</v>
      </c>
      <c r="Q312" s="129">
        <v>15</v>
      </c>
      <c r="R312" s="129">
        <v>8</v>
      </c>
    </row>
    <row r="313" spans="1:32" ht="14.4">
      <c r="A313" s="276"/>
      <c r="B313" s="276"/>
      <c r="C313"/>
      <c r="F313" s="129" t="s">
        <v>242</v>
      </c>
      <c r="G313" s="149">
        <f t="shared" ref="G313" si="36">(G312+G314)/2</f>
        <v>100</v>
      </c>
      <c r="H313" s="149">
        <v>100</v>
      </c>
      <c r="I313" s="129">
        <v>100</v>
      </c>
      <c r="J313" s="129">
        <f t="shared" ref="J313:R313" si="37">(J312+J314)/2</f>
        <v>95</v>
      </c>
      <c r="K313" s="129">
        <f t="shared" si="37"/>
        <v>76.5</v>
      </c>
      <c r="L313" s="129">
        <f t="shared" si="37"/>
        <v>53</v>
      </c>
      <c r="M313" s="129">
        <f t="shared" si="37"/>
        <v>37</v>
      </c>
      <c r="N313" s="129">
        <f t="shared" si="37"/>
        <v>26.5</v>
      </c>
      <c r="O313" s="129">
        <f t="shared" si="37"/>
        <v>19</v>
      </c>
      <c r="P313" s="129">
        <f t="shared" si="37"/>
        <v>13.5</v>
      </c>
      <c r="Q313" s="129">
        <f t="shared" si="37"/>
        <v>10</v>
      </c>
      <c r="R313" s="129">
        <f t="shared" si="37"/>
        <v>6</v>
      </c>
    </row>
    <row r="314" spans="1:32" ht="14.4">
      <c r="A314" s="276"/>
      <c r="B314" s="276"/>
      <c r="C314"/>
      <c r="F314" s="129" t="s">
        <v>243</v>
      </c>
      <c r="G314" s="149">
        <v>100</v>
      </c>
      <c r="H314" s="149">
        <v>100</v>
      </c>
      <c r="I314" s="129">
        <v>100</v>
      </c>
      <c r="J314" s="129">
        <v>90</v>
      </c>
      <c r="K314" s="129">
        <v>68</v>
      </c>
      <c r="L314" s="129">
        <v>38</v>
      </c>
      <c r="M314" s="129">
        <v>24</v>
      </c>
      <c r="N314" s="129">
        <v>15</v>
      </c>
      <c r="O314" s="129">
        <v>10</v>
      </c>
      <c r="P314" s="129">
        <v>7</v>
      </c>
      <c r="Q314" s="129">
        <v>5</v>
      </c>
      <c r="R314" s="129">
        <v>4</v>
      </c>
    </row>
    <row r="315" spans="1:32">
      <c r="A315" s="276" t="s">
        <v>110</v>
      </c>
      <c r="B315" s="276" t="s">
        <v>218</v>
      </c>
      <c r="C315" s="159" t="s">
        <v>81</v>
      </c>
      <c r="D315" s="168" t="s">
        <v>79</v>
      </c>
      <c r="E315" s="276">
        <v>0.5</v>
      </c>
      <c r="F315" s="129">
        <v>0.39</v>
      </c>
      <c r="G315" s="149">
        <v>100</v>
      </c>
      <c r="H315" s="149">
        <v>100</v>
      </c>
      <c r="I315" s="149">
        <v>100</v>
      </c>
      <c r="J315" s="149">
        <v>63.619744058500899</v>
      </c>
      <c r="K315" s="149">
        <v>8.8398842169408898</v>
      </c>
      <c r="L315" s="149">
        <v>0.52940280316880695</v>
      </c>
      <c r="M315" s="149">
        <v>0.52940280316880695</v>
      </c>
      <c r="N315" s="149">
        <v>0.52940280316880695</v>
      </c>
      <c r="O315" s="149">
        <v>0.52940280316880695</v>
      </c>
      <c r="P315" s="149">
        <v>0.52940280316880695</v>
      </c>
      <c r="Q315" s="149">
        <v>0.52940280316880695</v>
      </c>
      <c r="R315" s="149">
        <v>0.52940280316880695</v>
      </c>
      <c r="S315" s="138">
        <v>2.758</v>
      </c>
      <c r="T315" s="138">
        <v>2.69</v>
      </c>
      <c r="U315" s="138">
        <f>级配!F315/S315*E315</f>
        <v>7.0703408266860002E-2</v>
      </c>
      <c r="V315" s="138">
        <f>级配!F315/T315*E315</f>
        <v>7.24907063197026E-2</v>
      </c>
      <c r="W315" s="138">
        <f>1/SUM(U315:U323)</f>
        <v>2.7774642182112799</v>
      </c>
      <c r="X315" s="153">
        <v>0.4</v>
      </c>
      <c r="Y315" s="138">
        <f>0.033*X315*X315-0.2936*X315+0.9336</f>
        <v>0.82143999999999995</v>
      </c>
      <c r="Z315" s="138">
        <f>0.033*Y315*Y315-0.2936*Y315+0.9336</f>
        <v>0.71469241722879995</v>
      </c>
      <c r="AA315" s="158">
        <v>2.5703117215977902</v>
      </c>
      <c r="AB315" s="138">
        <f>1/SUM(V315:V323)</f>
        <v>2.6749547557450102</v>
      </c>
      <c r="AC315" s="160">
        <v>4.9000000000000004</v>
      </c>
      <c r="AD315" s="138">
        <f>100*AC315/(100+AC315)</f>
        <v>4.6711153479504297</v>
      </c>
      <c r="AE315" s="156"/>
      <c r="AF315" s="156">
        <f>AC315-E322*F322*AE322-E322*F323*AE323</f>
        <v>2.1400739501716801</v>
      </c>
    </row>
    <row r="316" spans="1:32">
      <c r="A316" s="276"/>
      <c r="B316" s="276"/>
      <c r="C316" s="159" t="s">
        <v>81</v>
      </c>
      <c r="D316" s="168" t="s">
        <v>63</v>
      </c>
      <c r="E316" s="276"/>
      <c r="F316" s="129">
        <v>0.4</v>
      </c>
      <c r="G316" s="149">
        <v>100</v>
      </c>
      <c r="H316" s="149">
        <v>100</v>
      </c>
      <c r="I316" s="149">
        <v>100</v>
      </c>
      <c r="J316" s="149">
        <v>100</v>
      </c>
      <c r="K316" s="149">
        <v>94.446666666666701</v>
      </c>
      <c r="L316" s="149">
        <v>5.9733333333333301</v>
      </c>
      <c r="M316" s="149">
        <v>0.35999999999999899</v>
      </c>
      <c r="N316" s="149">
        <v>0.35999999999999899</v>
      </c>
      <c r="O316" s="149">
        <v>0.35999999999999899</v>
      </c>
      <c r="P316" s="149">
        <v>0.35999999999999899</v>
      </c>
      <c r="Q316" s="149">
        <v>0.35999999999999899</v>
      </c>
      <c r="R316" s="149">
        <v>0.35999999999999899</v>
      </c>
      <c r="S316" s="138">
        <v>2.7519999999999998</v>
      </c>
      <c r="T316" s="138">
        <v>2.6819999999999999</v>
      </c>
      <c r="U316" s="138">
        <f>级配!F316/S316*E315</f>
        <v>7.2674418604651195E-2</v>
      </c>
      <c r="V316" s="138">
        <f>级配!F316/T316*E315</f>
        <v>7.4571215510812805E-2</v>
      </c>
      <c r="W316" s="138"/>
      <c r="X316" s="138"/>
      <c r="Y316" s="151"/>
      <c r="Z316" s="151"/>
      <c r="AA316" s="174">
        <v>2.5357388225528599</v>
      </c>
      <c r="AB316" s="138">
        <v>2.6749547557450102</v>
      </c>
      <c r="AC316" s="160">
        <v>4.8</v>
      </c>
      <c r="AD316" s="138">
        <f>100*AC316/(100+AC316)</f>
        <v>4.5801526717557302</v>
      </c>
      <c r="AE316" s="156"/>
      <c r="AF316" s="156">
        <f>AC316-E322*F322*AE322-E322*F323*AE323</f>
        <v>2.04007395017168</v>
      </c>
    </row>
    <row r="317" spans="1:32">
      <c r="A317" s="276"/>
      <c r="B317" s="276"/>
      <c r="C317" s="159" t="s">
        <v>82</v>
      </c>
      <c r="D317" s="168" t="s">
        <v>65</v>
      </c>
      <c r="E317" s="276"/>
      <c r="F317" s="129">
        <v>0.2</v>
      </c>
      <c r="G317" s="149">
        <v>100</v>
      </c>
      <c r="H317" s="149">
        <v>100</v>
      </c>
      <c r="I317" s="149">
        <v>100</v>
      </c>
      <c r="J317" s="149">
        <v>100</v>
      </c>
      <c r="K317" s="149">
        <v>100</v>
      </c>
      <c r="L317" s="149">
        <v>98.066666666666706</v>
      </c>
      <c r="M317" s="149">
        <v>62.4</v>
      </c>
      <c r="N317" s="149">
        <v>37.266666666666701</v>
      </c>
      <c r="O317" s="149">
        <v>26.441666666666698</v>
      </c>
      <c r="P317" s="149">
        <v>16.7083333333333</v>
      </c>
      <c r="Q317" s="149">
        <v>11.675000000000001</v>
      </c>
      <c r="R317" s="149">
        <v>8.4500000000000206</v>
      </c>
      <c r="S317" s="138">
        <v>2.7269999999999999</v>
      </c>
      <c r="T317" s="138">
        <v>2.6320000000000001</v>
      </c>
      <c r="U317" s="138">
        <f>级配!F317/S317*E315</f>
        <v>3.6670333700036702E-2</v>
      </c>
      <c r="V317" s="138">
        <f>级配!F317/T317*E315</f>
        <v>3.7993920972644403E-2</v>
      </c>
    </row>
    <row r="318" spans="1:32" ht="14.4">
      <c r="A318" s="276"/>
      <c r="B318" s="276"/>
      <c r="C318" s="171" t="s">
        <v>99</v>
      </c>
      <c r="D318" s="168" t="s">
        <v>91</v>
      </c>
      <c r="E318" s="276"/>
      <c r="F318" s="129">
        <v>0.01</v>
      </c>
      <c r="G318" s="149">
        <v>100</v>
      </c>
      <c r="H318" s="149">
        <v>100</v>
      </c>
      <c r="I318" s="149">
        <v>100</v>
      </c>
      <c r="J318" s="149">
        <v>100</v>
      </c>
      <c r="K318" s="149">
        <v>100</v>
      </c>
      <c r="L318" s="149">
        <v>100</v>
      </c>
      <c r="M318" s="149">
        <v>100</v>
      </c>
      <c r="N318" s="149">
        <v>100</v>
      </c>
      <c r="O318" s="149">
        <v>100</v>
      </c>
      <c r="P318" s="149">
        <v>97.4</v>
      </c>
      <c r="Q318" s="149">
        <v>90.2</v>
      </c>
      <c r="R318" s="149">
        <v>78.2</v>
      </c>
      <c r="S318" s="138">
        <v>2.6789999999999998</v>
      </c>
      <c r="T318" s="138">
        <v>2.6789999999999998</v>
      </c>
      <c r="U318" s="138">
        <f>级配!F318/S318*E315</f>
        <v>1.8663680477790201E-3</v>
      </c>
      <c r="V318" s="138">
        <f>级配!F318/T318*E315</f>
        <v>1.8663680477790201E-3</v>
      </c>
    </row>
    <row r="319" spans="1:32" ht="14.4">
      <c r="A319" s="276"/>
      <c r="B319" s="276"/>
      <c r="C319" s="164" t="s">
        <v>99</v>
      </c>
      <c r="D319" s="168" t="s">
        <v>91</v>
      </c>
      <c r="E319" s="276"/>
      <c r="F319" s="129">
        <v>0</v>
      </c>
      <c r="G319" s="149">
        <v>100</v>
      </c>
      <c r="H319" s="149">
        <v>100</v>
      </c>
      <c r="I319" s="149">
        <v>100</v>
      </c>
      <c r="J319" s="149">
        <v>100</v>
      </c>
      <c r="K319" s="149">
        <v>100</v>
      </c>
      <c r="L319" s="149">
        <v>100</v>
      </c>
      <c r="M319" s="149">
        <v>100</v>
      </c>
      <c r="N319" s="149">
        <v>100</v>
      </c>
      <c r="O319" s="149">
        <v>100</v>
      </c>
      <c r="P319" s="149">
        <v>97.4</v>
      </c>
      <c r="Q319" s="149">
        <v>90.2</v>
      </c>
      <c r="R319" s="149">
        <v>78.2</v>
      </c>
      <c r="S319" s="138">
        <v>2.6789999999999998</v>
      </c>
      <c r="T319" s="138">
        <v>2.6789999999999998</v>
      </c>
      <c r="U319" s="138">
        <f>级配!F319/S319*E315</f>
        <v>0</v>
      </c>
      <c r="V319" s="138">
        <f>级配!F319/T319*E315</f>
        <v>0</v>
      </c>
    </row>
    <row r="320" spans="1:32" ht="14.4">
      <c r="A320" s="276"/>
      <c r="B320" s="276"/>
      <c r="C320" s="164" t="s">
        <v>99</v>
      </c>
      <c r="D320" s="168" t="s">
        <v>91</v>
      </c>
      <c r="E320" s="276"/>
      <c r="F320" s="129">
        <v>0</v>
      </c>
      <c r="G320" s="149">
        <v>100</v>
      </c>
      <c r="H320" s="149">
        <v>100</v>
      </c>
      <c r="I320" s="149">
        <v>100</v>
      </c>
      <c r="J320" s="149">
        <v>100</v>
      </c>
      <c r="K320" s="149">
        <v>100</v>
      </c>
      <c r="L320" s="149">
        <v>100</v>
      </c>
      <c r="M320" s="149">
        <v>81.364999999999995</v>
      </c>
      <c r="N320" s="149">
        <v>59.195</v>
      </c>
      <c r="O320" s="149">
        <v>34.704999999999998</v>
      </c>
      <c r="P320" s="149">
        <v>19.21</v>
      </c>
      <c r="Q320" s="149">
        <v>13.9</v>
      </c>
      <c r="R320" s="149">
        <v>11.54</v>
      </c>
      <c r="S320" s="138">
        <v>2.72</v>
      </c>
      <c r="T320" s="138">
        <v>2.65</v>
      </c>
      <c r="U320" s="138">
        <f>级配!F320/S320*E315</f>
        <v>0</v>
      </c>
      <c r="V320" s="138">
        <f>级配!F320/T320*E315</f>
        <v>0</v>
      </c>
    </row>
    <row r="321" spans="1:32" ht="14.4">
      <c r="A321" s="276"/>
      <c r="B321" s="276"/>
      <c r="C321" s="164" t="s">
        <v>99</v>
      </c>
      <c r="D321" s="157" t="s">
        <v>91</v>
      </c>
      <c r="E321" s="276"/>
      <c r="F321" s="129">
        <v>0</v>
      </c>
      <c r="G321" s="149">
        <v>100</v>
      </c>
      <c r="H321" s="149">
        <v>100</v>
      </c>
      <c r="I321" s="149">
        <v>100</v>
      </c>
      <c r="J321" s="149">
        <v>100</v>
      </c>
      <c r="K321" s="149">
        <v>100</v>
      </c>
      <c r="L321" s="149">
        <v>100</v>
      </c>
      <c r="M321" s="149">
        <v>100</v>
      </c>
      <c r="N321" s="149">
        <v>100</v>
      </c>
      <c r="O321" s="149">
        <v>100</v>
      </c>
      <c r="P321" s="149">
        <v>99.6875</v>
      </c>
      <c r="Q321" s="149">
        <v>97.112499999999997</v>
      </c>
      <c r="R321" s="149">
        <v>76.612499999999997</v>
      </c>
      <c r="S321" s="138">
        <v>2.8519999999999999</v>
      </c>
      <c r="T321" s="138">
        <v>2.7229999999999999</v>
      </c>
      <c r="U321" s="138">
        <f>级配!F321/S321*E315</f>
        <v>0</v>
      </c>
      <c r="V321" s="138">
        <f>级配!F321/T321*E315</f>
        <v>0</v>
      </c>
    </row>
    <row r="322" spans="1:32">
      <c r="A322" s="276"/>
      <c r="B322" s="276"/>
      <c r="C322" s="159" t="s">
        <v>74</v>
      </c>
      <c r="D322" s="168" t="s">
        <v>111</v>
      </c>
      <c r="E322" s="276">
        <v>0.5</v>
      </c>
      <c r="F322" s="146">
        <v>1</v>
      </c>
      <c r="G322" s="149">
        <v>100</v>
      </c>
      <c r="H322" s="149">
        <v>100</v>
      </c>
      <c r="I322" s="149">
        <v>97.924710424710398</v>
      </c>
      <c r="J322" s="149">
        <v>96.227546553279396</v>
      </c>
      <c r="K322" s="149">
        <v>90.243190650356794</v>
      </c>
      <c r="L322" s="149">
        <v>63.936071631511403</v>
      </c>
      <c r="M322" s="149">
        <v>40.314719834263798</v>
      </c>
      <c r="N322" s="149">
        <v>26.7301630493813</v>
      </c>
      <c r="O322" s="149">
        <v>21.108969602454899</v>
      </c>
      <c r="P322" s="149">
        <v>14.956487961373901</v>
      </c>
      <c r="Q322" s="149">
        <v>10.9349614642774</v>
      </c>
      <c r="R322" s="149">
        <v>8.2538818695170395</v>
      </c>
      <c r="S322" s="138">
        <v>2.8069999999999999</v>
      </c>
      <c r="T322" s="138">
        <v>2.6749999999999998</v>
      </c>
      <c r="U322" s="138">
        <f>级配!F322/S322*E322</f>
        <v>0.17812611328820799</v>
      </c>
      <c r="V322" s="138">
        <f>级配!F322/T322*E322</f>
        <v>0.18691588785046701</v>
      </c>
      <c r="AE322" s="154">
        <v>5.5198520996566396</v>
      </c>
    </row>
    <row r="323" spans="1:32">
      <c r="A323" s="276"/>
      <c r="B323" s="276"/>
      <c r="C323" s="159" t="s">
        <v>76</v>
      </c>
      <c r="D323" s="168" t="s">
        <v>97</v>
      </c>
      <c r="E323" s="276"/>
      <c r="F323" s="146">
        <v>0</v>
      </c>
      <c r="G323" s="149">
        <v>100</v>
      </c>
      <c r="H323" s="149">
        <v>100</v>
      </c>
      <c r="I323" s="149">
        <v>100</v>
      </c>
      <c r="J323" s="149">
        <v>100</v>
      </c>
      <c r="K323" s="149">
        <v>97.812322397070304</v>
      </c>
      <c r="L323" s="149">
        <v>60.802882860164601</v>
      </c>
      <c r="M323" s="149">
        <v>39.699422135739098</v>
      </c>
      <c r="N323" s="149">
        <v>30.710328602273599</v>
      </c>
      <c r="O323" s="149">
        <v>24.458293029622101</v>
      </c>
      <c r="P323" s="149">
        <v>18.2956234874346</v>
      </c>
      <c r="Q323" s="149">
        <v>13.558362910297999</v>
      </c>
      <c r="R323" s="149">
        <v>9.9538765583578801</v>
      </c>
      <c r="S323" s="138">
        <v>2.754</v>
      </c>
      <c r="T323" s="138">
        <v>2.6920000000000002</v>
      </c>
      <c r="U323" s="138">
        <f>级配!F323/S323*E322</f>
        <v>0</v>
      </c>
      <c r="V323" s="138">
        <f>级配!F323/T323*E322</f>
        <v>0</v>
      </c>
    </row>
    <row r="324" spans="1:32" ht="14.4">
      <c r="A324" s="276"/>
      <c r="B324" s="276"/>
      <c r="C324"/>
      <c r="F324" s="129" t="s">
        <v>240</v>
      </c>
      <c r="G324" s="170">
        <f>$E$29*($F$29*G315+$F$30*G316+$F$31*G317+$F$32*G318+$F$33*G319+$F$34*G320+$F$35*G321)+$E$36*($F$36*G322+$F$37*G323)</f>
        <v>100</v>
      </c>
      <c r="H324" s="170">
        <f>E315*(F315*H315+F316*H316+F317*H317+F318*H318+F319*H319+F320*H320+F321*H321)+E322*(F322*H322+F323*H323)</f>
        <v>100</v>
      </c>
      <c r="I324" s="170">
        <f>E315*(F315*I315+F316*I316+F317*I317+F318*I318+F319*I319+F320*I320+F321*I321)+E322*(F322*I322+F323*I323)</f>
        <v>98.962355212355206</v>
      </c>
      <c r="J324" s="170">
        <f>E315*(F315*J315+F316*J316+F317*J317+F318*J318+F319*J319+F320*J320+F321*J321)+E322*(F322*J322+F323*J323)</f>
        <v>91.019623368047405</v>
      </c>
      <c r="K324" s="170">
        <f>E315*(F315*K315+F316*K316+F317*K317+F318*K318+F319*K319+F320*K320+F321*K321)+E322*(F322*K322+F323*K323)</f>
        <v>76.234706080815201</v>
      </c>
      <c r="L324" s="170">
        <f>E315*(F315*L315+F316*L316+F317*L317+F318*L318+F319*L319+F320*L320+F321*L321)+E322*(F322*L322+F323*L323)</f>
        <v>43.572602695706998</v>
      </c>
      <c r="M324" s="170">
        <f>E315*(F315*M315+F316*M316+F317*M317+F318*M318+F319*M319+F320*M320+F321*M321)+E322*(F322*M322+F323*M323)</f>
        <v>27.072593463749801</v>
      </c>
      <c r="N324" s="170">
        <f>E315*(F315*N315+F316*N316+F317*N317+F318*N318+F319*N319+F320*N320+F321*N321)+E322*(F322*N322+F323*N323)</f>
        <v>17.7669817379752</v>
      </c>
      <c r="O324" s="170">
        <f>E315*(F315*O315+F316*O316+F317*O317+F318*O318+F319*O319+F320*O320+F321*O321)+E322*(F322*O322+F323*O323)</f>
        <v>13.873885014512</v>
      </c>
      <c r="P324" s="170">
        <f>E315*(F315*P315+F316*P316+F317*P317+F318*P318+F319*P319+F320*P320+F321*P321)+E322*(F322*P322+F323*P323)</f>
        <v>9.8113108606381996</v>
      </c>
      <c r="Q324" s="170">
        <f>E315*(F315*Q315+F316*Q316+F317*Q317+F318*Q318+F319*Q319+F320*Q320+F321*Q321)+E322*(F322*Q322+F323*Q323)</f>
        <v>7.2612142787566203</v>
      </c>
      <c r="R324" s="170">
        <f>E315*(F315*R315+F316*R316+F317*R317+F318*R318+F319*R319+F320*R320+F321*R321)+E322*(F322*R322+F323*R323)</f>
        <v>5.5381744813764398</v>
      </c>
    </row>
    <row r="325" spans="1:32" ht="14.4">
      <c r="A325" s="276"/>
      <c r="B325" s="276"/>
      <c r="C325"/>
      <c r="F325" s="129" t="s">
        <v>241</v>
      </c>
      <c r="G325" s="149">
        <v>100</v>
      </c>
      <c r="H325" s="149">
        <v>100</v>
      </c>
      <c r="I325" s="129">
        <v>100</v>
      </c>
      <c r="J325" s="129">
        <v>100</v>
      </c>
      <c r="K325" s="129">
        <v>85</v>
      </c>
      <c r="L325" s="129">
        <v>68</v>
      </c>
      <c r="M325" s="129">
        <v>50</v>
      </c>
      <c r="N325" s="129">
        <v>38</v>
      </c>
      <c r="O325" s="129">
        <v>28</v>
      </c>
      <c r="P325" s="129">
        <v>20</v>
      </c>
      <c r="Q325" s="129">
        <v>15</v>
      </c>
      <c r="R325" s="129">
        <v>8</v>
      </c>
    </row>
    <row r="326" spans="1:32" ht="14.4">
      <c r="A326" s="276"/>
      <c r="B326" s="276"/>
      <c r="C326"/>
      <c r="F326" s="129" t="s">
        <v>242</v>
      </c>
      <c r="G326" s="149">
        <f t="shared" ref="G326" si="38">(G325+G327)/2</f>
        <v>100</v>
      </c>
      <c r="H326" s="149">
        <v>100</v>
      </c>
      <c r="I326" s="129">
        <v>100</v>
      </c>
      <c r="J326" s="129">
        <f t="shared" ref="J326:R326" si="39">(J325+J327)/2</f>
        <v>95</v>
      </c>
      <c r="K326" s="129">
        <f t="shared" si="39"/>
        <v>76.5</v>
      </c>
      <c r="L326" s="129">
        <f t="shared" si="39"/>
        <v>53</v>
      </c>
      <c r="M326" s="129">
        <f t="shared" si="39"/>
        <v>37</v>
      </c>
      <c r="N326" s="129">
        <f t="shared" si="39"/>
        <v>26.5</v>
      </c>
      <c r="O326" s="129">
        <f t="shared" si="39"/>
        <v>19</v>
      </c>
      <c r="P326" s="129">
        <f t="shared" si="39"/>
        <v>13.5</v>
      </c>
      <c r="Q326" s="129">
        <f t="shared" si="39"/>
        <v>10</v>
      </c>
      <c r="R326" s="129">
        <f t="shared" si="39"/>
        <v>6</v>
      </c>
    </row>
    <row r="327" spans="1:32" ht="14.4">
      <c r="A327" s="276"/>
      <c r="B327" s="276"/>
      <c r="C327"/>
      <c r="F327" s="129" t="s">
        <v>243</v>
      </c>
      <c r="G327" s="149">
        <v>100</v>
      </c>
      <c r="H327" s="149">
        <v>100</v>
      </c>
      <c r="I327" s="129">
        <v>100</v>
      </c>
      <c r="J327" s="129">
        <v>90</v>
      </c>
      <c r="K327" s="129">
        <v>68</v>
      </c>
      <c r="L327" s="129">
        <v>38</v>
      </c>
      <c r="M327" s="129">
        <v>24</v>
      </c>
      <c r="N327" s="129">
        <v>15</v>
      </c>
      <c r="O327" s="129">
        <v>10</v>
      </c>
      <c r="P327" s="129">
        <v>7</v>
      </c>
      <c r="Q327" s="129">
        <v>5</v>
      </c>
      <c r="R327" s="129">
        <v>4</v>
      </c>
    </row>
    <row r="328" spans="1:32">
      <c r="A328" s="276" t="s">
        <v>112</v>
      </c>
      <c r="B328" s="276" t="s">
        <v>218</v>
      </c>
      <c r="C328" s="159" t="s">
        <v>81</v>
      </c>
      <c r="D328" s="168" t="s">
        <v>79</v>
      </c>
      <c r="E328" s="276">
        <v>0.5</v>
      </c>
      <c r="F328" s="146">
        <v>0.42</v>
      </c>
      <c r="G328" s="149">
        <v>100</v>
      </c>
      <c r="H328" s="149">
        <v>100</v>
      </c>
      <c r="I328" s="149">
        <v>100</v>
      </c>
      <c r="J328" s="149">
        <v>63.619744058500899</v>
      </c>
      <c r="K328" s="149">
        <v>8.8398842169408898</v>
      </c>
      <c r="L328" s="149">
        <v>0.52940280316880695</v>
      </c>
      <c r="M328" s="149">
        <v>0.52940280316880695</v>
      </c>
      <c r="N328" s="149">
        <v>0.52940280316880695</v>
      </c>
      <c r="O328" s="149">
        <v>0.52940280316880695</v>
      </c>
      <c r="P328" s="149">
        <v>0.52940280316880695</v>
      </c>
      <c r="Q328" s="149">
        <v>0.52940280316880695</v>
      </c>
      <c r="R328" s="149">
        <v>0.52940280316880695</v>
      </c>
      <c r="S328" s="138">
        <v>2.758</v>
      </c>
      <c r="T328" s="138">
        <v>2.69</v>
      </c>
      <c r="U328" s="138">
        <f>级配!F328/S328*E328</f>
        <v>7.6142131979695396E-2</v>
      </c>
      <c r="V328" s="138">
        <f>级配!F328/T328*E328</f>
        <v>7.8066914498141293E-2</v>
      </c>
      <c r="W328" s="138">
        <f>1/SUM(U328:U336)</f>
        <v>2.76603965405236</v>
      </c>
      <c r="X328" s="153">
        <v>0.4</v>
      </c>
      <c r="Y328" s="138">
        <f>0.033*X328*X328-0.2936*X328+0.9336</f>
        <v>0.82143999999999995</v>
      </c>
      <c r="Z328" s="138">
        <f>0.033*Y328*Y328-0.2936*Y328+0.9336</f>
        <v>0.71469241722879995</v>
      </c>
      <c r="AA328" s="158">
        <v>2.52860172625225</v>
      </c>
      <c r="AB328" s="138">
        <f>1/SUM(V328:V336)</f>
        <v>2.6630089547454201</v>
      </c>
      <c r="AC328" s="160">
        <v>4.9000000000000004</v>
      </c>
      <c r="AD328" s="138">
        <f>100*AC328/(100+AC328)</f>
        <v>4.6711153479504297</v>
      </c>
      <c r="AE328" s="156"/>
      <c r="AF328" s="156">
        <f>AC328-E335*F335*AE335-E335*F336*AE336</f>
        <v>2.4368521160247298</v>
      </c>
    </row>
    <row r="329" spans="1:32">
      <c r="A329" s="276"/>
      <c r="B329" s="276"/>
      <c r="C329" s="159" t="s">
        <v>81</v>
      </c>
      <c r="D329" s="168" t="s">
        <v>63</v>
      </c>
      <c r="E329" s="276"/>
      <c r="F329" s="146">
        <v>0.18</v>
      </c>
      <c r="G329" s="149">
        <v>100</v>
      </c>
      <c r="H329" s="149">
        <v>100</v>
      </c>
      <c r="I329" s="149">
        <v>100</v>
      </c>
      <c r="J329" s="149">
        <v>100</v>
      </c>
      <c r="K329" s="149">
        <v>94.446666666666701</v>
      </c>
      <c r="L329" s="149">
        <v>5.9733333333333301</v>
      </c>
      <c r="M329" s="149">
        <v>0.35999999999999899</v>
      </c>
      <c r="N329" s="149">
        <v>0.35999999999999899</v>
      </c>
      <c r="O329" s="149">
        <v>0.35999999999999899</v>
      </c>
      <c r="P329" s="149">
        <v>0.35999999999999899</v>
      </c>
      <c r="Q329" s="149">
        <v>0.35999999999999899</v>
      </c>
      <c r="R329" s="149">
        <v>0.35999999999999899</v>
      </c>
      <c r="S329" s="138">
        <v>2.7519999999999998</v>
      </c>
      <c r="T329" s="138">
        <v>2.6819999999999999</v>
      </c>
      <c r="U329" s="138">
        <f>级配!F329/S329*E328</f>
        <v>3.2703488372092998E-2</v>
      </c>
      <c r="V329" s="138">
        <f>级配!F329/T329*E328</f>
        <v>3.35570469798658E-2</v>
      </c>
      <c r="W329" s="138"/>
      <c r="X329" s="138"/>
      <c r="Y329" s="151"/>
      <c r="Z329" s="151"/>
      <c r="AA329" s="174">
        <v>2.5395291732671801</v>
      </c>
      <c r="AB329" s="138">
        <v>2.6630089547454201</v>
      </c>
      <c r="AC329" s="160">
        <v>4.8</v>
      </c>
      <c r="AD329" s="138">
        <f>100*AC329/(100+AC329)</f>
        <v>4.5801526717557302</v>
      </c>
      <c r="AF329" s="156">
        <f>AC329-E335*F335*AE335-E335*F336*AE336</f>
        <v>2.3368521160247302</v>
      </c>
    </row>
    <row r="330" spans="1:32">
      <c r="A330" s="276"/>
      <c r="B330" s="276"/>
      <c r="C330" s="159" t="s">
        <v>82</v>
      </c>
      <c r="D330" s="168" t="s">
        <v>65</v>
      </c>
      <c r="E330" s="276"/>
      <c r="F330" s="146">
        <v>0.38</v>
      </c>
      <c r="G330" s="149">
        <v>100</v>
      </c>
      <c r="H330" s="149">
        <v>100</v>
      </c>
      <c r="I330" s="149">
        <v>100</v>
      </c>
      <c r="J330" s="149">
        <v>100</v>
      </c>
      <c r="K330" s="149">
        <v>100</v>
      </c>
      <c r="L330" s="149">
        <v>98.066666666666706</v>
      </c>
      <c r="M330" s="149">
        <v>62.4</v>
      </c>
      <c r="N330" s="149">
        <v>37.266666666666701</v>
      </c>
      <c r="O330" s="149">
        <v>26.441666666666698</v>
      </c>
      <c r="P330" s="149">
        <v>16.7083333333333</v>
      </c>
      <c r="Q330" s="149">
        <v>11.675000000000001</v>
      </c>
      <c r="R330" s="149">
        <v>8.4500000000000206</v>
      </c>
      <c r="S330" s="138">
        <v>2.7269999999999999</v>
      </c>
      <c r="T330" s="138">
        <v>2.6320000000000001</v>
      </c>
      <c r="U330" s="138">
        <f>级配!F330/S330*E328</f>
        <v>6.9673634030069695E-2</v>
      </c>
      <c r="V330" s="138">
        <f>级配!F330/T330*E328</f>
        <v>7.2188449848024305E-2</v>
      </c>
      <c r="AE330" s="156"/>
      <c r="AF330" s="156"/>
    </row>
    <row r="331" spans="1:32" ht="14.4">
      <c r="A331" s="276"/>
      <c r="B331" s="276"/>
      <c r="C331" s="171" t="s">
        <v>99</v>
      </c>
      <c r="D331" s="168" t="s">
        <v>91</v>
      </c>
      <c r="E331" s="276"/>
      <c r="F331" s="146">
        <v>0.02</v>
      </c>
      <c r="G331" s="149">
        <v>100</v>
      </c>
      <c r="H331" s="149">
        <v>100</v>
      </c>
      <c r="I331" s="149">
        <v>100</v>
      </c>
      <c r="J331" s="149">
        <v>100</v>
      </c>
      <c r="K331" s="149">
        <v>100</v>
      </c>
      <c r="L331" s="149">
        <v>100</v>
      </c>
      <c r="M331" s="149">
        <v>100</v>
      </c>
      <c r="N331" s="149">
        <v>100</v>
      </c>
      <c r="O331" s="149">
        <v>100</v>
      </c>
      <c r="P331" s="149">
        <v>97.4</v>
      </c>
      <c r="Q331" s="149">
        <v>90.2</v>
      </c>
      <c r="R331" s="149">
        <v>78.2</v>
      </c>
      <c r="S331" s="138">
        <v>2.6789999999999998</v>
      </c>
      <c r="T331" s="138">
        <v>2.6789999999999998</v>
      </c>
      <c r="U331" s="138">
        <f>级配!F331/S331*E328</f>
        <v>3.7327360955580402E-3</v>
      </c>
      <c r="V331" s="138">
        <f>级配!F331/T331*E328</f>
        <v>3.7327360955580402E-3</v>
      </c>
    </row>
    <row r="332" spans="1:32" ht="14.4">
      <c r="A332" s="276"/>
      <c r="B332" s="276"/>
      <c r="C332" s="164" t="s">
        <v>99</v>
      </c>
      <c r="D332" s="168" t="s">
        <v>91</v>
      </c>
      <c r="E332" s="276"/>
      <c r="F332" s="129">
        <v>0</v>
      </c>
      <c r="G332" s="149">
        <v>100</v>
      </c>
      <c r="H332" s="149">
        <v>100</v>
      </c>
      <c r="I332" s="149">
        <v>100</v>
      </c>
      <c r="J332" s="149">
        <v>100</v>
      </c>
      <c r="K332" s="149">
        <v>100</v>
      </c>
      <c r="L332" s="149">
        <v>100</v>
      </c>
      <c r="M332" s="149">
        <v>100</v>
      </c>
      <c r="N332" s="149">
        <v>100</v>
      </c>
      <c r="O332" s="149">
        <v>100</v>
      </c>
      <c r="P332" s="149">
        <v>97.4</v>
      </c>
      <c r="Q332" s="149">
        <v>90.2</v>
      </c>
      <c r="R332" s="149">
        <v>78.2</v>
      </c>
      <c r="S332" s="138">
        <v>2.6789999999999998</v>
      </c>
      <c r="T332" s="138">
        <v>2.6789999999999998</v>
      </c>
      <c r="U332" s="138">
        <f>级配!F332/S332*E328</f>
        <v>0</v>
      </c>
      <c r="V332" s="138">
        <f>级配!F332/T332*E328</f>
        <v>0</v>
      </c>
    </row>
    <row r="333" spans="1:32" ht="14.4">
      <c r="A333" s="276"/>
      <c r="B333" s="276"/>
      <c r="C333" s="164" t="s">
        <v>99</v>
      </c>
      <c r="D333" s="168" t="s">
        <v>91</v>
      </c>
      <c r="E333" s="276"/>
      <c r="F333" s="129">
        <v>0</v>
      </c>
      <c r="G333" s="149">
        <v>100</v>
      </c>
      <c r="H333" s="149">
        <v>100</v>
      </c>
      <c r="I333" s="149">
        <v>100</v>
      </c>
      <c r="J333" s="149">
        <v>100</v>
      </c>
      <c r="K333" s="149">
        <v>100</v>
      </c>
      <c r="L333" s="149">
        <v>100</v>
      </c>
      <c r="M333" s="149">
        <v>81.364999999999995</v>
      </c>
      <c r="N333" s="149">
        <v>59.195</v>
      </c>
      <c r="O333" s="149">
        <v>34.704999999999998</v>
      </c>
      <c r="P333" s="149">
        <v>19.21</v>
      </c>
      <c r="Q333" s="149">
        <v>13.9</v>
      </c>
      <c r="R333" s="149">
        <v>11.54</v>
      </c>
      <c r="S333" s="138">
        <v>2.72</v>
      </c>
      <c r="T333" s="138">
        <v>2.65</v>
      </c>
      <c r="U333" s="138">
        <f>级配!F333/S333*E328</f>
        <v>0</v>
      </c>
      <c r="V333" s="138">
        <f>级配!F333/T333*E328</f>
        <v>0</v>
      </c>
    </row>
    <row r="334" spans="1:32" ht="14.4">
      <c r="A334" s="276"/>
      <c r="B334" s="276"/>
      <c r="C334" s="164" t="s">
        <v>99</v>
      </c>
      <c r="D334" s="157" t="s">
        <v>91</v>
      </c>
      <c r="E334" s="276"/>
      <c r="F334" s="129">
        <v>0</v>
      </c>
      <c r="G334" s="149">
        <v>100</v>
      </c>
      <c r="H334" s="149">
        <v>100</v>
      </c>
      <c r="I334" s="149">
        <v>100</v>
      </c>
      <c r="J334" s="149">
        <v>100</v>
      </c>
      <c r="K334" s="149">
        <v>100</v>
      </c>
      <c r="L334" s="149">
        <v>100</v>
      </c>
      <c r="M334" s="149">
        <v>100</v>
      </c>
      <c r="N334" s="149">
        <v>100</v>
      </c>
      <c r="O334" s="149">
        <v>100</v>
      </c>
      <c r="P334" s="149">
        <v>99.6875</v>
      </c>
      <c r="Q334" s="149">
        <v>97.112499999999997</v>
      </c>
      <c r="R334" s="149">
        <v>76.612499999999997</v>
      </c>
      <c r="S334" s="138">
        <v>2.8519999999999999</v>
      </c>
      <c r="T334" s="138">
        <v>2.7229999999999999</v>
      </c>
      <c r="U334" s="138">
        <f>级配!F334/S334*E328</f>
        <v>0</v>
      </c>
      <c r="V334" s="138">
        <f>级配!F334/T334*E328</f>
        <v>0</v>
      </c>
    </row>
    <row r="335" spans="1:32">
      <c r="A335" s="276"/>
      <c r="B335" s="276"/>
      <c r="C335" s="159" t="s">
        <v>74</v>
      </c>
      <c r="D335" s="168" t="s">
        <v>68</v>
      </c>
      <c r="E335" s="276">
        <v>0.5</v>
      </c>
      <c r="F335" s="146">
        <v>1</v>
      </c>
      <c r="G335" s="149">
        <v>100</v>
      </c>
      <c r="H335" s="149">
        <v>100</v>
      </c>
      <c r="I335" s="149">
        <v>100</v>
      </c>
      <c r="J335" s="149">
        <v>98.974898015366605</v>
      </c>
      <c r="K335" s="149">
        <v>86.565125077025399</v>
      </c>
      <c r="L335" s="149">
        <v>39.000574265984604</v>
      </c>
      <c r="M335" s="149">
        <v>22.306486229453402</v>
      </c>
      <c r="N335" s="149">
        <v>15.7753639216211</v>
      </c>
      <c r="O335" s="149">
        <v>13.0111491474958</v>
      </c>
      <c r="P335" s="149">
        <v>9.3354004203167094</v>
      </c>
      <c r="Q335" s="149">
        <v>6.1066051410671802</v>
      </c>
      <c r="R335" s="149">
        <v>4.1882185511587098</v>
      </c>
      <c r="S335" s="138">
        <v>2.7890000000000001</v>
      </c>
      <c r="T335" s="138">
        <v>2.66</v>
      </c>
      <c r="U335" s="138">
        <f>级配!F335/S335*E335</f>
        <v>0.17927572606669101</v>
      </c>
      <c r="V335" s="138">
        <f>级配!F335/T335*E335</f>
        <v>0.18796992481203001</v>
      </c>
      <c r="AE335" s="154">
        <v>4.9262957679505401</v>
      </c>
    </row>
    <row r="336" spans="1:32">
      <c r="A336" s="276"/>
      <c r="B336" s="276"/>
      <c r="C336" s="159" t="s">
        <v>76</v>
      </c>
      <c r="D336" s="168" t="s">
        <v>97</v>
      </c>
      <c r="E336" s="276"/>
      <c r="F336" s="146">
        <v>0</v>
      </c>
      <c r="G336" s="149">
        <v>100</v>
      </c>
      <c r="H336" s="149">
        <v>100</v>
      </c>
      <c r="I336" s="149">
        <v>100</v>
      </c>
      <c r="J336" s="149">
        <v>100</v>
      </c>
      <c r="K336" s="149">
        <v>97.812322397070304</v>
      </c>
      <c r="L336" s="149">
        <v>60.802882860164601</v>
      </c>
      <c r="M336" s="149">
        <v>39.699422135739098</v>
      </c>
      <c r="N336" s="149">
        <v>30.710328602273599</v>
      </c>
      <c r="O336" s="149">
        <v>24.458293029622101</v>
      </c>
      <c r="P336" s="149">
        <v>18.2956234874346</v>
      </c>
      <c r="Q336" s="149">
        <v>13.558362910297999</v>
      </c>
      <c r="R336" s="149">
        <v>9.9538765583578801</v>
      </c>
      <c r="S336" s="138">
        <v>2.754</v>
      </c>
      <c r="T336" s="138">
        <v>2.6920000000000002</v>
      </c>
      <c r="U336" s="138">
        <f>级配!F336/S336*E335</f>
        <v>0</v>
      </c>
      <c r="V336" s="138">
        <f>级配!F336/T336*E335</f>
        <v>0</v>
      </c>
    </row>
    <row r="337" spans="1:32" ht="14.4">
      <c r="A337" s="276"/>
      <c r="B337" s="276"/>
      <c r="C337"/>
      <c r="F337" s="129" t="s">
        <v>240</v>
      </c>
      <c r="G337" s="170">
        <f>$E$29*($F$29*G328+$F$30*G329+$F$31*G330+$F$32*G331+$F$33*G332+$F$34*G333+$F$35*G334)+$E$36*($F$36*G335+$F$37*G336)</f>
        <v>100</v>
      </c>
      <c r="H337" s="170">
        <f>E328*(F328*H328+F329*H329+F330*H330+F331*H331+F332*H332+F333*H333+F334*H334)+E335*(F335*H335+F336*H336)</f>
        <v>100</v>
      </c>
      <c r="I337" s="170">
        <f>E328*(F328*I328+F329*I329+F330*I330+F331*I331+F332*I332+F333*I333+F334*I334)+E335*(F335*I335+F336*I336)</f>
        <v>100</v>
      </c>
      <c r="J337" s="170">
        <f>E328*(F328*J328+F329*J329+F330*J330+F331*J331+F332*J332+F333*J333+F334*J334)+E335*(F335*J335+F336*J336)</f>
        <v>91.8475952599685</v>
      </c>
      <c r="K337" s="170">
        <f>E328*(F328*K328+F329*K329+F330*K330+F331*K331+F332*K332+F333*K333+F334*K334)+E335*(F335*K335+F336*K336)</f>
        <v>73.639138224070294</v>
      </c>
      <c r="L337" s="170">
        <f>E328*(F328*L328+F329*L329+F330*L330+F331*L331+F332*L332+F333*L333+F334*L334)+E335*(F335*L335+F336*L336)</f>
        <v>39.781728388324403</v>
      </c>
      <c r="M337" s="170">
        <f>E328*(F328*M328+F329*M329+F330*M330+F331*M331+F332*M332+F333*M333+F334*M334)+E335*(F335*M335+F336*M336)</f>
        <v>24.152817703392198</v>
      </c>
      <c r="N337" s="170">
        <f>E328*(F328*N328+F329*N329+F330*N330+F331*N331+F332*N332+F333*N333+F334*N334)+E335*(F335*N335+F336*N336)</f>
        <v>16.111923216142699</v>
      </c>
      <c r="O337" s="170">
        <f>E328*(F328*O328+F329*O329+F330*O330+F331*O331+F332*O332+F333*O333+F334*O334)+E335*(F335*O335+F336*O336)</f>
        <v>12.67306582908</v>
      </c>
      <c r="P337" s="170">
        <f>E328*(F328*P328+F329*P329+F330*P330+F331*P331+F332*P332+F333*P333+F334*P334)+E335*(F335*P335+F336*P336)</f>
        <v>8.9598581321571302</v>
      </c>
      <c r="Q337" s="170">
        <f>E328*(F328*Q328+F329*Q329+F330*Q330+F331*Q331+F332*Q332+F333*Q333+F334*Q334)+E335*(F335*Q335+F336*Q336)</f>
        <v>6.3171271591990399</v>
      </c>
      <c r="R337" s="170">
        <f>E328*(F328*R328+F329*R329+F330*R330+F331*R331+F332*R332+F333*R333+F334*R334)+E335*(F335*R335+F336*R336)</f>
        <v>4.6251838642448098</v>
      </c>
    </row>
    <row r="338" spans="1:32" ht="14.4">
      <c r="A338" s="276"/>
      <c r="B338" s="276"/>
      <c r="C338"/>
      <c r="F338" s="129" t="s">
        <v>241</v>
      </c>
      <c r="G338" s="149">
        <v>100</v>
      </c>
      <c r="H338" s="149">
        <v>100</v>
      </c>
      <c r="I338" s="129">
        <v>100</v>
      </c>
      <c r="J338" s="129">
        <v>100</v>
      </c>
      <c r="K338" s="129">
        <v>85</v>
      </c>
      <c r="L338" s="129">
        <v>68</v>
      </c>
      <c r="M338" s="129">
        <v>50</v>
      </c>
      <c r="N338" s="129">
        <v>38</v>
      </c>
      <c r="O338" s="129">
        <v>28</v>
      </c>
      <c r="P338" s="129">
        <v>20</v>
      </c>
      <c r="Q338" s="129">
        <v>15</v>
      </c>
      <c r="R338" s="129">
        <v>8</v>
      </c>
    </row>
    <row r="339" spans="1:32" ht="14.4">
      <c r="A339" s="276"/>
      <c r="B339" s="276"/>
      <c r="C339"/>
      <c r="F339" s="129" t="s">
        <v>242</v>
      </c>
      <c r="G339" s="149">
        <f t="shared" ref="G339" si="40">(G338+G340)/2</f>
        <v>100</v>
      </c>
      <c r="H339" s="149">
        <v>100</v>
      </c>
      <c r="I339" s="129">
        <v>100</v>
      </c>
      <c r="J339" s="129">
        <f t="shared" ref="J339:R339" si="41">(J338+J340)/2</f>
        <v>95</v>
      </c>
      <c r="K339" s="129">
        <f t="shared" si="41"/>
        <v>76.5</v>
      </c>
      <c r="L339" s="129">
        <f t="shared" si="41"/>
        <v>53</v>
      </c>
      <c r="M339" s="129">
        <f t="shared" si="41"/>
        <v>37</v>
      </c>
      <c r="N339" s="129">
        <f t="shared" si="41"/>
        <v>26.5</v>
      </c>
      <c r="O339" s="129">
        <f t="shared" si="41"/>
        <v>19</v>
      </c>
      <c r="P339" s="129">
        <f t="shared" si="41"/>
        <v>13.5</v>
      </c>
      <c r="Q339" s="129">
        <f t="shared" si="41"/>
        <v>10</v>
      </c>
      <c r="R339" s="129">
        <f t="shared" si="41"/>
        <v>6</v>
      </c>
    </row>
    <row r="340" spans="1:32" ht="14.4">
      <c r="A340" s="276"/>
      <c r="B340" s="276"/>
      <c r="C340"/>
      <c r="F340" s="129" t="s">
        <v>243</v>
      </c>
      <c r="G340" s="149">
        <v>100</v>
      </c>
      <c r="H340" s="149">
        <v>100</v>
      </c>
      <c r="I340" s="129">
        <v>100</v>
      </c>
      <c r="J340" s="129">
        <v>90</v>
      </c>
      <c r="K340" s="129">
        <v>68</v>
      </c>
      <c r="L340" s="129">
        <v>38</v>
      </c>
      <c r="M340" s="129">
        <v>24</v>
      </c>
      <c r="N340" s="129">
        <v>15</v>
      </c>
      <c r="O340" s="129">
        <v>10</v>
      </c>
      <c r="P340" s="129">
        <v>7</v>
      </c>
      <c r="Q340" s="129">
        <v>5</v>
      </c>
      <c r="R340" s="129">
        <v>4</v>
      </c>
    </row>
    <row r="341" spans="1:32" ht="14.4">
      <c r="A341" s="276" t="s">
        <v>256</v>
      </c>
      <c r="B341" s="280" t="s">
        <v>254</v>
      </c>
      <c r="C341" s="159" t="s">
        <v>61</v>
      </c>
      <c r="D341" s="168" t="s">
        <v>79</v>
      </c>
      <c r="E341" s="276">
        <v>0.4</v>
      </c>
      <c r="F341" s="130">
        <v>0.4</v>
      </c>
      <c r="G341" s="149">
        <v>100</v>
      </c>
      <c r="H341" s="149">
        <v>100</v>
      </c>
      <c r="I341" s="149">
        <v>99.813333333333304</v>
      </c>
      <c r="J341" s="149">
        <v>88.043333333333294</v>
      </c>
      <c r="K341" s="149">
        <v>29.4433333333333</v>
      </c>
      <c r="L341" s="149">
        <v>1.77666666666666</v>
      </c>
      <c r="M341" s="149">
        <v>0.66666666666666496</v>
      </c>
      <c r="N341" s="149">
        <v>0.66666666666666496</v>
      </c>
      <c r="O341" s="149">
        <v>0.66666666666666496</v>
      </c>
      <c r="P341" s="149">
        <v>0.66666666666666496</v>
      </c>
      <c r="Q341" s="149">
        <v>0.66666666666666496</v>
      </c>
      <c r="R341" s="149">
        <v>0.66666666666666496</v>
      </c>
      <c r="S341" s="138">
        <v>2.73</v>
      </c>
      <c r="T341" s="138">
        <v>2.6880000000000002</v>
      </c>
      <c r="U341" s="138">
        <f>级配!F341/S341*E341</f>
        <v>5.8608058608058601E-2</v>
      </c>
      <c r="V341" s="138">
        <f>级配!F341/T341*E341</f>
        <v>5.95238095238095E-2</v>
      </c>
      <c r="W341" s="138">
        <f>1/SUM(U341:U349)</f>
        <v>2.7665115403995899</v>
      </c>
      <c r="X341" s="153">
        <v>0.4</v>
      </c>
      <c r="Y341" s="138">
        <f>0.033*X341*X341-0.2936*X341+0.9336</f>
        <v>0.82143999999999995</v>
      </c>
      <c r="Z341" s="138">
        <f>0.033*Y341*Y341-0.2936*Y341+0.9336</f>
        <v>0.71469241722879995</v>
      </c>
      <c r="AA341" s="169">
        <v>2.5392202951485698</v>
      </c>
      <c r="AB341" s="138">
        <f>1/SUM(V341:V349)</f>
        <v>2.7022603390729198</v>
      </c>
      <c r="AC341" s="160">
        <v>4.9000000000000004</v>
      </c>
      <c r="AD341" s="138">
        <f>100*AC341/(100+AC341)</f>
        <v>4.6711153479504297</v>
      </c>
      <c r="AE341" s="137"/>
      <c r="AF341" s="156">
        <f>AC341-E348*F348*AE348-E348*F349*AE349</f>
        <v>2.0802152660912201</v>
      </c>
    </row>
    <row r="342" spans="1:32" ht="14.4">
      <c r="A342" s="276"/>
      <c r="B342" s="276"/>
      <c r="C342" s="159" t="s">
        <v>61</v>
      </c>
      <c r="D342" s="168" t="s">
        <v>63</v>
      </c>
      <c r="E342" s="276"/>
      <c r="F342" s="130">
        <v>0.3</v>
      </c>
      <c r="G342" s="149">
        <v>100</v>
      </c>
      <c r="H342" s="149">
        <v>100</v>
      </c>
      <c r="I342" s="149">
        <v>100</v>
      </c>
      <c r="J342" s="149">
        <v>100</v>
      </c>
      <c r="K342" s="149">
        <v>95.48</v>
      </c>
      <c r="L342" s="149">
        <v>13.484</v>
      </c>
      <c r="M342" s="149">
        <v>2.3199999999999901</v>
      </c>
      <c r="N342" s="149">
        <v>18.600000000000001</v>
      </c>
      <c r="O342" s="149">
        <v>2.3199999999999901</v>
      </c>
      <c r="P342" s="149">
        <v>2.3199999999999901</v>
      </c>
      <c r="Q342" s="149">
        <v>2.3199999999999901</v>
      </c>
      <c r="R342" s="149">
        <v>2.3199999999999901</v>
      </c>
      <c r="S342" s="138">
        <v>2.7080000000000002</v>
      </c>
      <c r="T342" s="138">
        <v>2.681</v>
      </c>
      <c r="U342" s="138">
        <f>级配!F342/S342*E341</f>
        <v>4.4313146233382603E-2</v>
      </c>
      <c r="V342" s="138">
        <f>级配!F342/T342*E341</f>
        <v>4.4759418127564302E-2</v>
      </c>
      <c r="W342" s="138"/>
      <c r="X342" s="138"/>
      <c r="Y342" s="151"/>
      <c r="Z342" s="151"/>
      <c r="AA342" s="169"/>
      <c r="AB342" s="138"/>
      <c r="AC342" s="160"/>
      <c r="AD342" s="138"/>
      <c r="AE342" s="137"/>
      <c r="AF342" s="156"/>
    </row>
    <row r="343" spans="1:32">
      <c r="A343" s="276"/>
      <c r="B343" s="276"/>
      <c r="C343" s="159" t="s">
        <v>82</v>
      </c>
      <c r="D343" s="168" t="s">
        <v>65</v>
      </c>
      <c r="E343" s="276"/>
      <c r="F343" s="130">
        <v>0.3</v>
      </c>
      <c r="G343" s="149">
        <v>100</v>
      </c>
      <c r="H343" s="149">
        <v>100</v>
      </c>
      <c r="I343" s="149">
        <v>100</v>
      </c>
      <c r="J343" s="149">
        <v>100</v>
      </c>
      <c r="K343" s="149">
        <v>100</v>
      </c>
      <c r="L343" s="149">
        <v>96.808333333333394</v>
      </c>
      <c r="M343" s="149">
        <v>61.933333333333401</v>
      </c>
      <c r="N343" s="149">
        <v>37.891666666666701</v>
      </c>
      <c r="O343" s="149">
        <v>28.316666666666599</v>
      </c>
      <c r="P343" s="149">
        <v>19.116666666666699</v>
      </c>
      <c r="Q343" s="149">
        <v>14.408333333333299</v>
      </c>
      <c r="R343" s="149">
        <v>11.6833333333333</v>
      </c>
      <c r="S343" s="138">
        <v>2.7730000000000001</v>
      </c>
      <c r="T343" s="138">
        <v>2.629</v>
      </c>
      <c r="U343" s="138">
        <f>级配!F343/S343*E341</f>
        <v>4.3274432023079699E-2</v>
      </c>
      <c r="V343" s="138">
        <f>级配!F343/T343*E341</f>
        <v>4.5644731837200497E-2</v>
      </c>
      <c r="AA343" s="169"/>
      <c r="AB343" s="138"/>
      <c r="AC343" s="160"/>
      <c r="AD343" s="138"/>
      <c r="AE343" s="137"/>
      <c r="AF343" s="156"/>
    </row>
    <row r="344" spans="1:32" ht="14.4">
      <c r="A344" s="276"/>
      <c r="B344" s="276"/>
      <c r="C344" s="171" t="s">
        <v>99</v>
      </c>
      <c r="D344" s="168" t="s">
        <v>91</v>
      </c>
      <c r="E344" s="276"/>
      <c r="F344" s="129">
        <v>0</v>
      </c>
      <c r="G344" s="149">
        <v>100</v>
      </c>
      <c r="H344" s="149">
        <v>100</v>
      </c>
      <c r="I344" s="149">
        <v>100</v>
      </c>
      <c r="J344" s="149">
        <v>100</v>
      </c>
      <c r="K344" s="149">
        <v>100</v>
      </c>
      <c r="L344" s="149">
        <v>100</v>
      </c>
      <c r="M344" s="149">
        <v>100</v>
      </c>
      <c r="N344" s="149">
        <v>100</v>
      </c>
      <c r="O344" s="149">
        <v>100</v>
      </c>
      <c r="P344" s="149">
        <v>97.4</v>
      </c>
      <c r="Q344" s="149">
        <v>90.2</v>
      </c>
      <c r="R344" s="149">
        <v>78.2</v>
      </c>
      <c r="S344" s="138">
        <v>2.6789999999999998</v>
      </c>
      <c r="T344" s="138">
        <v>2.6789999999999998</v>
      </c>
      <c r="U344" s="138">
        <f>级配!F344/S344*E341</f>
        <v>0</v>
      </c>
      <c r="V344" s="138">
        <f>级配!F344/T344*E341</f>
        <v>0</v>
      </c>
      <c r="AE344" s="137"/>
      <c r="AF344" s="137"/>
    </row>
    <row r="345" spans="1:32" ht="14.4">
      <c r="A345" s="276"/>
      <c r="B345" s="276"/>
      <c r="C345" s="164" t="s">
        <v>99</v>
      </c>
      <c r="D345" s="168" t="s">
        <v>91</v>
      </c>
      <c r="E345" s="276"/>
      <c r="F345" s="129">
        <v>0</v>
      </c>
      <c r="G345" s="149">
        <v>100</v>
      </c>
      <c r="H345" s="149">
        <v>100</v>
      </c>
      <c r="I345" s="149">
        <v>100</v>
      </c>
      <c r="J345" s="149">
        <v>100</v>
      </c>
      <c r="K345" s="149">
        <v>100</v>
      </c>
      <c r="L345" s="149">
        <v>100</v>
      </c>
      <c r="M345" s="149">
        <v>100</v>
      </c>
      <c r="N345" s="149">
        <v>100</v>
      </c>
      <c r="O345" s="149">
        <v>100</v>
      </c>
      <c r="P345" s="149">
        <v>97.4</v>
      </c>
      <c r="Q345" s="149">
        <v>90.2</v>
      </c>
      <c r="R345" s="149">
        <v>78.2</v>
      </c>
      <c r="S345" s="138">
        <v>2.6789999999999998</v>
      </c>
      <c r="T345" s="138">
        <v>2.6789999999999998</v>
      </c>
      <c r="U345" s="138">
        <f>级配!F345/S345*E341</f>
        <v>0</v>
      </c>
      <c r="V345" s="138">
        <f>级配!F345/T345*E341</f>
        <v>0</v>
      </c>
      <c r="AE345" s="137"/>
      <c r="AF345" s="137"/>
    </row>
    <row r="346" spans="1:32" ht="14.4">
      <c r="A346" s="276"/>
      <c r="B346" s="276"/>
      <c r="C346" s="164" t="s">
        <v>99</v>
      </c>
      <c r="D346" s="168" t="s">
        <v>91</v>
      </c>
      <c r="E346" s="276"/>
      <c r="F346" s="129">
        <v>0</v>
      </c>
      <c r="G346" s="149">
        <v>100</v>
      </c>
      <c r="H346" s="149">
        <v>100</v>
      </c>
      <c r="I346" s="149">
        <v>100</v>
      </c>
      <c r="J346" s="149">
        <v>100</v>
      </c>
      <c r="K346" s="149">
        <v>100</v>
      </c>
      <c r="L346" s="149">
        <v>100</v>
      </c>
      <c r="M346" s="149">
        <v>81.364999999999995</v>
      </c>
      <c r="N346" s="149">
        <v>59.195</v>
      </c>
      <c r="O346" s="149">
        <v>34.704999999999998</v>
      </c>
      <c r="P346" s="149">
        <v>19.21</v>
      </c>
      <c r="Q346" s="149">
        <v>13.9</v>
      </c>
      <c r="R346" s="149">
        <v>11.54</v>
      </c>
      <c r="S346" s="138">
        <v>2.72</v>
      </c>
      <c r="T346" s="138">
        <v>2.65</v>
      </c>
      <c r="U346" s="138">
        <f>级配!F346/S346*E341</f>
        <v>0</v>
      </c>
      <c r="V346" s="138">
        <f>级配!F346/T346*E341</f>
        <v>0</v>
      </c>
      <c r="AE346" s="137"/>
      <c r="AF346" s="137"/>
    </row>
    <row r="347" spans="1:32" ht="14.4">
      <c r="A347" s="276"/>
      <c r="B347" s="276"/>
      <c r="C347" s="164" t="s">
        <v>99</v>
      </c>
      <c r="D347" s="157" t="s">
        <v>91</v>
      </c>
      <c r="E347" s="276"/>
      <c r="F347" s="129">
        <v>0</v>
      </c>
      <c r="G347" s="149">
        <v>100</v>
      </c>
      <c r="H347" s="149">
        <v>100</v>
      </c>
      <c r="I347" s="149">
        <v>100</v>
      </c>
      <c r="J347" s="149">
        <v>100</v>
      </c>
      <c r="K347" s="149">
        <v>100</v>
      </c>
      <c r="L347" s="149">
        <v>100</v>
      </c>
      <c r="M347" s="149">
        <v>100</v>
      </c>
      <c r="N347" s="149">
        <v>100</v>
      </c>
      <c r="O347" s="149">
        <v>100</v>
      </c>
      <c r="P347" s="149">
        <v>99.6875</v>
      </c>
      <c r="Q347" s="149">
        <v>97.112499999999997</v>
      </c>
      <c r="R347" s="149">
        <v>76.612499999999997</v>
      </c>
      <c r="S347" s="138">
        <v>2.8519999999999999</v>
      </c>
      <c r="T347" s="138">
        <v>2.7229999999999999</v>
      </c>
      <c r="U347" s="138">
        <f>级配!F347/S347*E341</f>
        <v>0</v>
      </c>
      <c r="V347" s="138">
        <f>级配!F347/T347*E341</f>
        <v>0</v>
      </c>
      <c r="AE347" s="137"/>
      <c r="AF347" s="137"/>
    </row>
    <row r="348" spans="1:32">
      <c r="A348" s="276"/>
      <c r="B348" s="276"/>
      <c r="C348" s="159" t="s">
        <v>74</v>
      </c>
      <c r="D348" s="168" t="s">
        <v>96</v>
      </c>
      <c r="E348" s="276">
        <v>0.6</v>
      </c>
      <c r="F348" s="130">
        <v>0.4</v>
      </c>
      <c r="G348" s="149">
        <v>100</v>
      </c>
      <c r="H348" s="149">
        <v>100</v>
      </c>
      <c r="I348" s="149">
        <v>98.573603794311396</v>
      </c>
      <c r="J348" s="149">
        <v>82.174026333127799</v>
      </c>
      <c r="K348" s="149">
        <v>33.1317421613373</v>
      </c>
      <c r="L348" s="149">
        <v>14.974385776309701</v>
      </c>
      <c r="M348" s="149">
        <v>12.3670078383307</v>
      </c>
      <c r="N348" s="149">
        <v>10.6873987726464</v>
      </c>
      <c r="O348" s="149">
        <v>9.6693373373022293</v>
      </c>
      <c r="P348" s="149">
        <v>8.1572740170601001</v>
      </c>
      <c r="Q348" s="149">
        <v>6.2370973457409598</v>
      </c>
      <c r="R348" s="149">
        <v>4.1279880419424799</v>
      </c>
      <c r="S348" s="138">
        <v>2.8290000000000002</v>
      </c>
      <c r="T348" s="138">
        <v>2.7650000000000001</v>
      </c>
      <c r="U348" s="138">
        <f>级配!F348/S348*E348</f>
        <v>8.4835630965005293E-2</v>
      </c>
      <c r="V348" s="138">
        <f>级配!F348/T348*E348</f>
        <v>8.6799276672694395E-2</v>
      </c>
      <c r="AE348" s="154">
        <v>3.45538937596698</v>
      </c>
      <c r="AF348" s="137"/>
    </row>
    <row r="349" spans="1:32">
      <c r="A349" s="276"/>
      <c r="B349" s="276"/>
      <c r="C349" s="159" t="s">
        <v>76</v>
      </c>
      <c r="D349" s="168" t="s">
        <v>97</v>
      </c>
      <c r="E349" s="276"/>
      <c r="F349" s="130">
        <v>0.6</v>
      </c>
      <c r="G349" s="149">
        <v>100</v>
      </c>
      <c r="H349" s="149">
        <v>100</v>
      </c>
      <c r="I349" s="149">
        <v>100</v>
      </c>
      <c r="J349" s="149">
        <v>99.709455890121504</v>
      </c>
      <c r="K349" s="149">
        <v>93.611005421295204</v>
      </c>
      <c r="L349" s="149">
        <v>62.883664943704403</v>
      </c>
      <c r="M349" s="149">
        <v>41.736211500847702</v>
      </c>
      <c r="N349" s="149">
        <v>29.275015875296301</v>
      </c>
      <c r="O349" s="149">
        <v>22.374005580422299</v>
      </c>
      <c r="P349" s="149">
        <v>14.3321095762082</v>
      </c>
      <c r="Q349" s="149">
        <v>9.6170951500159596</v>
      </c>
      <c r="R349" s="149">
        <v>6.5264817525129803</v>
      </c>
      <c r="S349" s="138">
        <v>2.76</v>
      </c>
      <c r="T349" s="138">
        <v>2.7</v>
      </c>
      <c r="U349" s="138">
        <f>级配!F349/S349*E348</f>
        <v>0.13043478260869601</v>
      </c>
      <c r="V349" s="138">
        <f>级配!F349/T349*E348</f>
        <v>0.133333333333333</v>
      </c>
      <c r="AE349" s="154">
        <v>5.5291424546575101</v>
      </c>
      <c r="AF349" s="137"/>
    </row>
    <row r="350" spans="1:32" ht="14.4">
      <c r="A350" s="276"/>
      <c r="B350" s="276"/>
      <c r="C350"/>
      <c r="F350" s="129" t="s">
        <v>240</v>
      </c>
      <c r="G350" s="170">
        <f>$E$29*($F$29*G341+$F$30*G342+$F$31*G343+$F$32*G344+$F$33*G345+$F$34*G346+$F$35*G347)+$E$36*($F$36*G348+$F$37*G349)</f>
        <v>100</v>
      </c>
      <c r="H350" s="170">
        <f>E341*(F341*H341+F342*H342+F343*H343+F344*H344+F345*H345+F346*H346+F347*H347)+E348*(F348*H348+F349*H349)</f>
        <v>100</v>
      </c>
      <c r="I350" s="170">
        <f>E341*(F341*I341+F342*I342+F343*I343+F344*I344+F345*I345+F346*I346+F347*I347)+E348*(F348*I348+F349*I349)</f>
        <v>99.627798243968101</v>
      </c>
      <c r="J350" s="170">
        <f>E341*(F341*J341+F342*J342+F343*J343+F344*J344+F345*J345+F346*J346+F347*J347)+E348*(F348*J348+F349*J349)</f>
        <v>93.704103773727795</v>
      </c>
      <c r="K350" s="170">
        <f>E341*(F341*K341+F342*K342+F343*K343+F344*K344+F345*K345+F346*K346+F347*K347)+E348*(F348*K348+F349*K349)</f>
        <v>69.820113403720597</v>
      </c>
      <c r="L350" s="170">
        <f>E341*(F341*L341+F342*L342+F343*L343+F344*L344+F345*L345+F346*L346+F347*L347)+E348*(F348*L348+F349*L349)</f>
        <v>39.7513186327146</v>
      </c>
      <c r="M350" s="170">
        <f>E341*(F341*M341+F342*M342+F343*M343+F344*M344+F345*M345+F346*M346+F347*M347)+E348*(F348*M348+F349*M349)</f>
        <v>25.810184688171201</v>
      </c>
      <c r="N350" s="170">
        <f>E341*(F341*N341+F342*N342+F343*N343+F344*N344+F345*N345+F346*N346+F347*N347)+E348*(F348*N348+F349*N349)</f>
        <v>19.989648087208501</v>
      </c>
      <c r="O350" s="170">
        <f>E341*(F341*O341+F342*O342+F343*O343+F344*O344+F345*O345+F346*O346+F347*O347)+E348*(F348*O348+F349*O349)</f>
        <v>14.1583496365712</v>
      </c>
      <c r="P350" s="170">
        <f>E341*(F341*P341+F342*P342+F343*P343+F344*P344+F345*P345+F346*P346+F347*P347)+E348*(F348*P348+F349*P349)</f>
        <v>9.7963718781960392</v>
      </c>
      <c r="Q350" s="170">
        <f>E341*(F341*Q341+F342*Q342+F343*Q343+F344*Q344+F345*Q345+F346*Q346+F347*Q347)+E348*(F348*Q348+F349*Q349)</f>
        <v>7.0731242836502402</v>
      </c>
      <c r="R350" s="170">
        <f>E341*(F341*R341+F342*R342+F343*R343+F344*R344+F345*R345+F346*R346+F347*R347)+E348*(F348*R348+F349*R349)</f>
        <v>5.1273172276375298</v>
      </c>
      <c r="AE350" s="137"/>
      <c r="AF350" s="137"/>
    </row>
    <row r="351" spans="1:32" ht="14.4">
      <c r="A351" s="276"/>
      <c r="B351" s="276"/>
      <c r="C351"/>
      <c r="F351" s="129" t="s">
        <v>241</v>
      </c>
      <c r="G351" s="149">
        <v>100</v>
      </c>
      <c r="H351" s="149">
        <v>100</v>
      </c>
      <c r="I351" s="129">
        <v>100</v>
      </c>
      <c r="J351" s="129">
        <v>100</v>
      </c>
      <c r="K351" s="129">
        <v>85</v>
      </c>
      <c r="L351" s="129">
        <v>68</v>
      </c>
      <c r="M351" s="129">
        <v>50</v>
      </c>
      <c r="N351" s="129">
        <v>38</v>
      </c>
      <c r="O351" s="129">
        <v>28</v>
      </c>
      <c r="P351" s="129">
        <v>20</v>
      </c>
      <c r="Q351" s="129">
        <v>15</v>
      </c>
      <c r="R351" s="129">
        <v>8</v>
      </c>
      <c r="AE351" s="137"/>
      <c r="AF351" s="137"/>
    </row>
    <row r="352" spans="1:32" ht="14.4">
      <c r="A352" s="276"/>
      <c r="B352" s="276"/>
      <c r="C352"/>
      <c r="F352" s="129" t="s">
        <v>242</v>
      </c>
      <c r="G352" s="149">
        <f t="shared" ref="G352" si="42">(G351+G353)/2</f>
        <v>100</v>
      </c>
      <c r="H352" s="149">
        <v>100</v>
      </c>
      <c r="I352" s="129">
        <v>100</v>
      </c>
      <c r="J352" s="129">
        <f t="shared" ref="J352:R352" si="43">(J351+J353)/2</f>
        <v>95</v>
      </c>
      <c r="K352" s="129">
        <f t="shared" si="43"/>
        <v>76.5</v>
      </c>
      <c r="L352" s="129">
        <f t="shared" si="43"/>
        <v>53</v>
      </c>
      <c r="M352" s="129">
        <f t="shared" si="43"/>
        <v>37</v>
      </c>
      <c r="N352" s="129">
        <f t="shared" si="43"/>
        <v>26.5</v>
      </c>
      <c r="O352" s="129">
        <f t="shared" si="43"/>
        <v>19</v>
      </c>
      <c r="P352" s="129">
        <f t="shared" si="43"/>
        <v>13.5</v>
      </c>
      <c r="Q352" s="129">
        <f t="shared" si="43"/>
        <v>10</v>
      </c>
      <c r="R352" s="129">
        <f t="shared" si="43"/>
        <v>6</v>
      </c>
      <c r="AE352" s="137"/>
      <c r="AF352" s="137"/>
    </row>
    <row r="353" spans="1:32" ht="14.4">
      <c r="A353" s="276"/>
      <c r="B353" s="276"/>
      <c r="C353"/>
      <c r="F353" s="129" t="s">
        <v>243</v>
      </c>
      <c r="G353" s="149">
        <v>100</v>
      </c>
      <c r="H353" s="149">
        <v>100</v>
      </c>
      <c r="I353" s="129">
        <v>100</v>
      </c>
      <c r="J353" s="129">
        <v>90</v>
      </c>
      <c r="K353" s="129">
        <v>68</v>
      </c>
      <c r="L353" s="129">
        <v>38</v>
      </c>
      <c r="M353" s="129">
        <v>24</v>
      </c>
      <c r="N353" s="129">
        <v>15</v>
      </c>
      <c r="O353" s="129">
        <v>10</v>
      </c>
      <c r="P353" s="129">
        <v>7</v>
      </c>
      <c r="Q353" s="129">
        <v>5</v>
      </c>
      <c r="R353" s="129">
        <v>4</v>
      </c>
      <c r="AE353" s="137"/>
      <c r="AF353" s="137"/>
    </row>
    <row r="354" spans="1:32" ht="14.4">
      <c r="A354" s="276" t="s">
        <v>256</v>
      </c>
      <c r="B354" s="280" t="s">
        <v>255</v>
      </c>
      <c r="C354" s="159" t="s">
        <v>61</v>
      </c>
      <c r="D354" s="168" t="s">
        <v>79</v>
      </c>
      <c r="E354" s="276">
        <v>0.4</v>
      </c>
      <c r="F354" s="130">
        <v>0.45</v>
      </c>
      <c r="G354" s="149">
        <v>100</v>
      </c>
      <c r="H354" s="149">
        <v>100</v>
      </c>
      <c r="I354" s="149">
        <v>99.813333333333304</v>
      </c>
      <c r="J354" s="149">
        <v>88.043333333333294</v>
      </c>
      <c r="K354" s="149">
        <v>29.4433333333333</v>
      </c>
      <c r="L354" s="149">
        <v>1.77666666666666</v>
      </c>
      <c r="M354" s="149">
        <v>0.66666666666666496</v>
      </c>
      <c r="N354" s="149">
        <v>0.66666666666666496</v>
      </c>
      <c r="O354" s="149">
        <v>0.66666666666666496</v>
      </c>
      <c r="P354" s="149">
        <v>0.66666666666666496</v>
      </c>
      <c r="Q354" s="149">
        <v>0.66666666666666496</v>
      </c>
      <c r="R354" s="149">
        <v>0.66666666666666496</v>
      </c>
      <c r="S354" s="138">
        <v>2.73</v>
      </c>
      <c r="T354" s="138">
        <v>2.6880000000000002</v>
      </c>
      <c r="U354" s="138">
        <f>级配!F354/S354*E354</f>
        <v>6.5934065934065894E-2</v>
      </c>
      <c r="V354" s="138">
        <f>级配!F354/T354*E354</f>
        <v>6.6964285714285698E-2</v>
      </c>
      <c r="W354" s="138">
        <f>1/SUM(U354:U362)</f>
        <v>2.7751099104100798</v>
      </c>
      <c r="X354" s="153">
        <v>0.4</v>
      </c>
      <c r="Y354" s="138">
        <f>0.033*X354*X354-0.2936*X354+0.9336</f>
        <v>0.82143999999999995</v>
      </c>
      <c r="Z354" s="138">
        <f>0.033*Y354*Y354-0.2936*Y354+0.9336</f>
        <v>0.71469241722879995</v>
      </c>
      <c r="AA354" s="169">
        <v>2.5603924034451899</v>
      </c>
      <c r="AB354" s="138">
        <f>1/SUM(V354:V362)</f>
        <v>2.7100540057773599</v>
      </c>
      <c r="AC354" s="160">
        <v>4.9000000000000004</v>
      </c>
      <c r="AD354" s="138">
        <f t="shared" ref="AD354" si="44">100*AC354/(100+AC354)</f>
        <v>4.6711153479504297</v>
      </c>
      <c r="AE354" s="137"/>
      <c r="AF354" s="156">
        <f>AC354-E361*F361*AE361-E361*F362*AE362</f>
        <v>2.3290656355340902</v>
      </c>
    </row>
    <row r="355" spans="1:32" ht="14.4">
      <c r="A355" s="276"/>
      <c r="B355" s="276"/>
      <c r="C355" s="159" t="s">
        <v>61</v>
      </c>
      <c r="D355" s="168" t="s">
        <v>63</v>
      </c>
      <c r="E355" s="276"/>
      <c r="F355" s="130">
        <v>0.25</v>
      </c>
      <c r="G355" s="149">
        <v>100</v>
      </c>
      <c r="H355" s="149">
        <v>100</v>
      </c>
      <c r="I355" s="149">
        <v>100</v>
      </c>
      <c r="J355" s="149">
        <v>100</v>
      </c>
      <c r="K355" s="149">
        <v>95.48</v>
      </c>
      <c r="L355" s="149">
        <v>13.484</v>
      </c>
      <c r="M355" s="149">
        <v>2.3199999999999901</v>
      </c>
      <c r="N355" s="149">
        <v>18.600000000000001</v>
      </c>
      <c r="O355" s="149">
        <v>2.3199999999999901</v>
      </c>
      <c r="P355" s="149">
        <v>2.3199999999999901</v>
      </c>
      <c r="Q355" s="149">
        <v>2.3199999999999901</v>
      </c>
      <c r="R355" s="149">
        <v>2.3199999999999901</v>
      </c>
      <c r="S355" s="138">
        <v>2.7080000000000002</v>
      </c>
      <c r="T355" s="138">
        <v>2.681</v>
      </c>
      <c r="U355" s="138">
        <f>级配!F355/S355*E354</f>
        <v>3.6927621861152102E-2</v>
      </c>
      <c r="V355" s="138">
        <f>级配!F355/T355*E354</f>
        <v>3.7299515106303603E-2</v>
      </c>
      <c r="W355" s="138"/>
      <c r="X355" s="138"/>
      <c r="Y355" s="151"/>
      <c r="Z355" s="151"/>
      <c r="AA355" s="169"/>
      <c r="AB355" s="138"/>
      <c r="AC355" s="160"/>
      <c r="AD355" s="138"/>
      <c r="AE355" s="137"/>
      <c r="AF355" s="156"/>
    </row>
    <row r="356" spans="1:32">
      <c r="A356" s="276"/>
      <c r="B356" s="276"/>
      <c r="C356" s="159" t="s">
        <v>82</v>
      </c>
      <c r="D356" s="168" t="s">
        <v>65</v>
      </c>
      <c r="E356" s="276"/>
      <c r="F356" s="130">
        <v>0.3</v>
      </c>
      <c r="G356" s="149">
        <v>100</v>
      </c>
      <c r="H356" s="149">
        <v>100</v>
      </c>
      <c r="I356" s="149">
        <v>100</v>
      </c>
      <c r="J356" s="149">
        <v>100</v>
      </c>
      <c r="K356" s="149">
        <v>100</v>
      </c>
      <c r="L356" s="149">
        <v>96.808333333333394</v>
      </c>
      <c r="M356" s="149">
        <v>61.933333333333401</v>
      </c>
      <c r="N356" s="149">
        <v>37.891666666666701</v>
      </c>
      <c r="O356" s="149">
        <v>28.316666666666599</v>
      </c>
      <c r="P356" s="149">
        <v>19.116666666666699</v>
      </c>
      <c r="Q356" s="149">
        <v>14.408333333333299</v>
      </c>
      <c r="R356" s="149">
        <v>11.6833333333333</v>
      </c>
      <c r="S356" s="138">
        <v>2.7730000000000001</v>
      </c>
      <c r="T356" s="138">
        <v>2.629</v>
      </c>
      <c r="U356" s="138">
        <f>级配!F356/S356*E354</f>
        <v>4.3274432023079699E-2</v>
      </c>
      <c r="V356" s="138">
        <f>级配!F356/T356*E354</f>
        <v>4.5644731837200497E-2</v>
      </c>
      <c r="AA356" s="169"/>
      <c r="AB356" s="138"/>
      <c r="AC356" s="160"/>
      <c r="AD356" s="138"/>
      <c r="AE356" s="137"/>
      <c r="AF356" s="156"/>
    </row>
    <row r="357" spans="1:32" ht="14.4">
      <c r="A357" s="276"/>
      <c r="B357" s="276"/>
      <c r="C357" s="171" t="s">
        <v>99</v>
      </c>
      <c r="D357" s="168" t="s">
        <v>91</v>
      </c>
      <c r="E357" s="276"/>
      <c r="F357" s="129">
        <v>0</v>
      </c>
      <c r="G357" s="149">
        <v>100</v>
      </c>
      <c r="H357" s="149">
        <v>100</v>
      </c>
      <c r="I357" s="149">
        <v>100</v>
      </c>
      <c r="J357" s="149">
        <v>100</v>
      </c>
      <c r="K357" s="149">
        <v>100</v>
      </c>
      <c r="L357" s="149">
        <v>100</v>
      </c>
      <c r="M357" s="149">
        <v>100</v>
      </c>
      <c r="N357" s="149">
        <v>100</v>
      </c>
      <c r="O357" s="149">
        <v>100</v>
      </c>
      <c r="P357" s="149">
        <v>97.4</v>
      </c>
      <c r="Q357" s="149">
        <v>90.2</v>
      </c>
      <c r="R357" s="149">
        <v>78.2</v>
      </c>
      <c r="S357" s="138">
        <v>2.6789999999999998</v>
      </c>
      <c r="T357" s="138">
        <v>2.6789999999999998</v>
      </c>
      <c r="U357" s="138">
        <f>级配!F357/S357*E354</f>
        <v>0</v>
      </c>
      <c r="V357" s="138">
        <f>级配!F357/T357*E354</f>
        <v>0</v>
      </c>
      <c r="AE357" s="137"/>
      <c r="AF357" s="137"/>
    </row>
    <row r="358" spans="1:32" ht="14.4">
      <c r="A358" s="276"/>
      <c r="B358" s="276"/>
      <c r="C358" s="164" t="s">
        <v>99</v>
      </c>
      <c r="D358" s="168" t="s">
        <v>91</v>
      </c>
      <c r="E358" s="276"/>
      <c r="F358" s="129">
        <v>0</v>
      </c>
      <c r="G358" s="149">
        <v>100</v>
      </c>
      <c r="H358" s="149">
        <v>100</v>
      </c>
      <c r="I358" s="149">
        <v>100</v>
      </c>
      <c r="J358" s="149">
        <v>100</v>
      </c>
      <c r="K358" s="149">
        <v>100</v>
      </c>
      <c r="L358" s="149">
        <v>100</v>
      </c>
      <c r="M358" s="149">
        <v>100</v>
      </c>
      <c r="N358" s="149">
        <v>100</v>
      </c>
      <c r="O358" s="149">
        <v>100</v>
      </c>
      <c r="P358" s="149">
        <v>97.4</v>
      </c>
      <c r="Q358" s="149">
        <v>90.2</v>
      </c>
      <c r="R358" s="149">
        <v>78.2</v>
      </c>
      <c r="S358" s="138">
        <v>2.6789999999999998</v>
      </c>
      <c r="T358" s="138">
        <v>2.6789999999999998</v>
      </c>
      <c r="U358" s="138">
        <f>级配!F358/S358*E354</f>
        <v>0</v>
      </c>
      <c r="V358" s="138">
        <f>级配!F358/T358*E354</f>
        <v>0</v>
      </c>
      <c r="AE358" s="137"/>
      <c r="AF358" s="137"/>
    </row>
    <row r="359" spans="1:32" ht="14.4">
      <c r="A359" s="276"/>
      <c r="B359" s="276"/>
      <c r="C359" s="164" t="s">
        <v>99</v>
      </c>
      <c r="D359" s="168" t="s">
        <v>91</v>
      </c>
      <c r="E359" s="276"/>
      <c r="F359" s="129">
        <v>0</v>
      </c>
      <c r="G359" s="149">
        <v>100</v>
      </c>
      <c r="H359" s="149">
        <v>100</v>
      </c>
      <c r="I359" s="149">
        <v>100</v>
      </c>
      <c r="J359" s="149">
        <v>100</v>
      </c>
      <c r="K359" s="149">
        <v>100</v>
      </c>
      <c r="L359" s="149">
        <v>100</v>
      </c>
      <c r="M359" s="149">
        <v>81.364999999999995</v>
      </c>
      <c r="N359" s="149">
        <v>59.195</v>
      </c>
      <c r="O359" s="149">
        <v>34.704999999999998</v>
      </c>
      <c r="P359" s="149">
        <v>19.21</v>
      </c>
      <c r="Q359" s="149">
        <v>13.9</v>
      </c>
      <c r="R359" s="149">
        <v>11.54</v>
      </c>
      <c r="S359" s="138">
        <v>2.72</v>
      </c>
      <c r="T359" s="138">
        <v>2.65</v>
      </c>
      <c r="U359" s="138">
        <f>级配!F359/S359*E354</f>
        <v>0</v>
      </c>
      <c r="V359" s="138">
        <f>级配!F359/T359*E354</f>
        <v>0</v>
      </c>
      <c r="AE359" s="137"/>
      <c r="AF359" s="137"/>
    </row>
    <row r="360" spans="1:32" ht="14.4">
      <c r="A360" s="276"/>
      <c r="B360" s="276"/>
      <c r="C360" s="164" t="s">
        <v>99</v>
      </c>
      <c r="D360" s="157" t="s">
        <v>91</v>
      </c>
      <c r="E360" s="276"/>
      <c r="F360" s="129">
        <v>0</v>
      </c>
      <c r="G360" s="149">
        <v>100</v>
      </c>
      <c r="H360" s="149">
        <v>100</v>
      </c>
      <c r="I360" s="149">
        <v>100</v>
      </c>
      <c r="J360" s="149">
        <v>100</v>
      </c>
      <c r="K360" s="149">
        <v>100</v>
      </c>
      <c r="L360" s="149">
        <v>100</v>
      </c>
      <c r="M360" s="149">
        <v>100</v>
      </c>
      <c r="N360" s="149">
        <v>100</v>
      </c>
      <c r="O360" s="149">
        <v>100</v>
      </c>
      <c r="P360" s="149">
        <v>99.6875</v>
      </c>
      <c r="Q360" s="149">
        <v>97.112499999999997</v>
      </c>
      <c r="R360" s="149">
        <v>76.612499999999997</v>
      </c>
      <c r="S360" s="138">
        <v>2.8519999999999999</v>
      </c>
      <c r="T360" s="138">
        <v>2.7229999999999999</v>
      </c>
      <c r="U360" s="138">
        <f>级配!F360/S360*E354</f>
        <v>0</v>
      </c>
      <c r="V360" s="138">
        <f>级配!F360/T360*E354</f>
        <v>0</v>
      </c>
      <c r="AE360" s="137"/>
      <c r="AF360" s="137"/>
    </row>
    <row r="361" spans="1:32">
      <c r="A361" s="276"/>
      <c r="B361" s="276"/>
      <c r="C361" s="159" t="s">
        <v>74</v>
      </c>
      <c r="D361" s="168" t="s">
        <v>96</v>
      </c>
      <c r="E361" s="276">
        <v>0.6</v>
      </c>
      <c r="F361" s="130">
        <v>0.6</v>
      </c>
      <c r="G361" s="149">
        <v>100</v>
      </c>
      <c r="H361" s="149">
        <v>100</v>
      </c>
      <c r="I361" s="149">
        <v>98.573603794311396</v>
      </c>
      <c r="J361" s="149">
        <v>82.174026333127799</v>
      </c>
      <c r="K361" s="149">
        <v>33.1317421613373</v>
      </c>
      <c r="L361" s="149">
        <v>14.974385776309701</v>
      </c>
      <c r="M361" s="149">
        <v>12.3670078383307</v>
      </c>
      <c r="N361" s="149">
        <v>10.6873987726464</v>
      </c>
      <c r="O361" s="149">
        <v>9.6693373373022293</v>
      </c>
      <c r="P361" s="149">
        <v>8.1572740170601001</v>
      </c>
      <c r="Q361" s="149">
        <v>6.2370973457409598</v>
      </c>
      <c r="R361" s="149">
        <v>4.1279880419424799</v>
      </c>
      <c r="S361" s="138">
        <v>2.8290000000000002</v>
      </c>
      <c r="T361" s="138">
        <v>2.7650000000000001</v>
      </c>
      <c r="U361" s="138">
        <f>级配!F361/S361*E361</f>
        <v>0.127253446447508</v>
      </c>
      <c r="V361" s="138">
        <f>级配!F361/T361*E361</f>
        <v>0.13019891500904199</v>
      </c>
      <c r="AE361" s="154">
        <v>3.45538937596698</v>
      </c>
      <c r="AF361" s="137"/>
    </row>
    <row r="362" spans="1:32">
      <c r="A362" s="276"/>
      <c r="B362" s="276"/>
      <c r="C362" s="159" t="s">
        <v>76</v>
      </c>
      <c r="D362" s="168" t="s">
        <v>97</v>
      </c>
      <c r="E362" s="276"/>
      <c r="F362" s="130">
        <v>0.4</v>
      </c>
      <c r="G362" s="149">
        <v>100</v>
      </c>
      <c r="H362" s="149">
        <v>100</v>
      </c>
      <c r="I362" s="149">
        <v>100</v>
      </c>
      <c r="J362" s="149">
        <v>99.709455890121504</v>
      </c>
      <c r="K362" s="149">
        <v>93.611005421295204</v>
      </c>
      <c r="L362" s="149">
        <v>62.883664943704403</v>
      </c>
      <c r="M362" s="149">
        <v>41.736211500847702</v>
      </c>
      <c r="N362" s="149">
        <v>29.275015875296301</v>
      </c>
      <c r="O362" s="149">
        <v>22.374005580422299</v>
      </c>
      <c r="P362" s="149">
        <v>14.3321095762082</v>
      </c>
      <c r="Q362" s="149">
        <v>9.6170951500159596</v>
      </c>
      <c r="R362" s="149">
        <v>6.5264817525129803</v>
      </c>
      <c r="S362" s="138">
        <v>2.76</v>
      </c>
      <c r="T362" s="138">
        <v>2.7</v>
      </c>
      <c r="U362" s="138">
        <f>级配!F362/S362*E361</f>
        <v>8.6956521739130405E-2</v>
      </c>
      <c r="V362" s="138">
        <f>级配!F362/T362*E361</f>
        <v>8.8888888888888906E-2</v>
      </c>
      <c r="AE362" s="154">
        <v>5.5291424546575101</v>
      </c>
      <c r="AF362" s="137"/>
    </row>
    <row r="363" spans="1:32" ht="14.4">
      <c r="A363" s="276"/>
      <c r="B363" s="276"/>
      <c r="C363"/>
      <c r="F363" s="129" t="s">
        <v>240</v>
      </c>
      <c r="G363" s="170">
        <f>$E$29*($F$29*G354+$F$30*G355+$F$31*G356+$F$32*G357+$F$33*G358+$F$34*G359+$F$35*G360)+$E$36*($F$36*G361+$F$37*G362)</f>
        <v>100</v>
      </c>
      <c r="H363" s="170">
        <f>E354*(F354*H354+F355*H355+F356*H356+F357*H357+F358*H358+F359*H359+F360*H360)+E361*(F361*H361+F362*H362)</f>
        <v>100</v>
      </c>
      <c r="I363" s="170">
        <f>E354*(F354*I354+F355*I355+F356*I356+F357*I357+F358*I358+F359*I359+F360*I360)+E361*(F361*I361+F362*I362)</f>
        <v>99.452897365952097</v>
      </c>
      <c r="J363" s="170">
        <f>E354*(F354*J354+F355*J355+F356*J356+F357*J357+F358*J358+F359*J359+F360*J360)+E361*(F361*J361+F362*J362)</f>
        <v>91.360718893555202</v>
      </c>
      <c r="K363" s="170">
        <f>E354*(F354*K354+F355*K355+F356*K356+F357*K357+F358*K358+F359*K359+F360*K360)+E361*(F361*K361+F362*K362)</f>
        <v>61.241868479192298</v>
      </c>
      <c r="L363" s="170">
        <f>E354*(F354*L354+F355*L355+F356*L356+F357*L357+F358*L358+F359*L359+F360*L360)+E361*(F361*L361+F362*L362)</f>
        <v>33.7680584659606</v>
      </c>
      <c r="M363" s="170">
        <f>E354*(F354*M354+F355*M355+F356*M356+F357*M357+F358*M358+F359*M359+F360*M360)+E361*(F361*M361+F362*M362)</f>
        <v>22.252813582002499</v>
      </c>
      <c r="N363" s="170">
        <f>E354*(F354*N354+F355*N355+F356*N356+F357*N357+F358*N358+F359*N359+F360*N360)+E361*(F361*N361+F362*N362)</f>
        <v>17.400467368223801</v>
      </c>
      <c r="O363" s="170">
        <f>E354*(F354*O354+F355*O355+F356*O356+F357*O357+F358*O358+F359*O359+F360*O360)+E361*(F361*O361+F362*O362)</f>
        <v>12.6007227807301</v>
      </c>
      <c r="P363" s="170">
        <f>E354*(F354*P354+F355*P355+F356*P356+F357*P357+F358*P358+F359*P359+F360*P360)+E361*(F361*P361+F362*P362)</f>
        <v>9.0223249444316096</v>
      </c>
      <c r="Q363" s="170">
        <f>E354*(F354*Q354+F355*Q355+F356*Q356+F357*Q357+F358*Q358+F359*Q359+F360*Q360)+E361*(F361*Q361+F362*Q362)</f>
        <v>6.6344578804705696</v>
      </c>
      <c r="R363" s="170">
        <f>E354*(F354*R354+F355*R355+F356*R356+F357*R357+F358*R358+F359*R359+F360*R360)+E361*(F361*R361+F362*R362)</f>
        <v>4.8064313157024001</v>
      </c>
      <c r="AE363" s="137"/>
      <c r="AF363" s="137"/>
    </row>
    <row r="364" spans="1:32" ht="14.4">
      <c r="A364" s="276"/>
      <c r="B364" s="276"/>
      <c r="C364"/>
      <c r="F364" s="129" t="s">
        <v>241</v>
      </c>
      <c r="G364" s="149">
        <v>100</v>
      </c>
      <c r="H364" s="149">
        <v>100</v>
      </c>
      <c r="I364" s="129">
        <v>100</v>
      </c>
      <c r="J364" s="129">
        <v>100</v>
      </c>
      <c r="K364" s="129">
        <v>85</v>
      </c>
      <c r="L364" s="129">
        <v>68</v>
      </c>
      <c r="M364" s="129">
        <v>50</v>
      </c>
      <c r="N364" s="129">
        <v>38</v>
      </c>
      <c r="O364" s="129">
        <v>28</v>
      </c>
      <c r="P364" s="129">
        <v>20</v>
      </c>
      <c r="Q364" s="129">
        <v>15</v>
      </c>
      <c r="R364" s="129">
        <v>8</v>
      </c>
      <c r="AE364" s="137"/>
      <c r="AF364" s="137"/>
    </row>
    <row r="365" spans="1:32" ht="14.4">
      <c r="A365" s="276"/>
      <c r="B365" s="276"/>
      <c r="C365"/>
      <c r="F365" s="129" t="s">
        <v>242</v>
      </c>
      <c r="G365" s="149">
        <f t="shared" ref="G365:R365" si="45">(G364+G366)/2</f>
        <v>100</v>
      </c>
      <c r="H365" s="149">
        <v>100</v>
      </c>
      <c r="I365" s="129">
        <v>100</v>
      </c>
      <c r="J365" s="129">
        <f t="shared" si="45"/>
        <v>95</v>
      </c>
      <c r="K365" s="129">
        <f t="shared" si="45"/>
        <v>76.5</v>
      </c>
      <c r="L365" s="129">
        <f t="shared" si="45"/>
        <v>53</v>
      </c>
      <c r="M365" s="129">
        <f t="shared" si="45"/>
        <v>37</v>
      </c>
      <c r="N365" s="129">
        <f t="shared" si="45"/>
        <v>26.5</v>
      </c>
      <c r="O365" s="129">
        <f t="shared" si="45"/>
        <v>19</v>
      </c>
      <c r="P365" s="129">
        <f t="shared" si="45"/>
        <v>13.5</v>
      </c>
      <c r="Q365" s="129">
        <f t="shared" si="45"/>
        <v>10</v>
      </c>
      <c r="R365" s="129">
        <f t="shared" si="45"/>
        <v>6</v>
      </c>
      <c r="AE365" s="137"/>
      <c r="AF365" s="137"/>
    </row>
    <row r="366" spans="1:32" ht="14.4">
      <c r="A366" s="276"/>
      <c r="B366" s="276"/>
      <c r="C366"/>
      <c r="F366" s="129" t="s">
        <v>243</v>
      </c>
      <c r="G366" s="149">
        <v>100</v>
      </c>
      <c r="H366" s="149">
        <v>100</v>
      </c>
      <c r="I366" s="129">
        <v>100</v>
      </c>
      <c r="J366" s="129">
        <v>90</v>
      </c>
      <c r="K366" s="129">
        <v>68</v>
      </c>
      <c r="L366" s="129">
        <v>38</v>
      </c>
      <c r="M366" s="129">
        <v>24</v>
      </c>
      <c r="N366" s="129">
        <v>15</v>
      </c>
      <c r="O366" s="129">
        <v>10</v>
      </c>
      <c r="P366" s="129">
        <v>7</v>
      </c>
      <c r="Q366" s="129">
        <v>5</v>
      </c>
      <c r="R366" s="129">
        <v>4</v>
      </c>
      <c r="AE366" s="137"/>
      <c r="AF366" s="137"/>
    </row>
    <row r="367" spans="1:32" ht="14.4">
      <c r="A367" s="276" t="s">
        <v>256</v>
      </c>
      <c r="B367" s="280" t="s">
        <v>257</v>
      </c>
      <c r="C367" s="159" t="s">
        <v>61</v>
      </c>
      <c r="D367" s="168" t="s">
        <v>79</v>
      </c>
      <c r="E367" s="276">
        <v>0.4</v>
      </c>
      <c r="F367" s="130">
        <v>0.45</v>
      </c>
      <c r="G367" s="149">
        <v>100</v>
      </c>
      <c r="H367" s="149">
        <v>100</v>
      </c>
      <c r="I367" s="149">
        <v>99.813333333333304</v>
      </c>
      <c r="J367" s="149">
        <v>88.043333333333294</v>
      </c>
      <c r="K367" s="149">
        <v>29.4433333333333</v>
      </c>
      <c r="L367" s="149">
        <v>1.77666666666666</v>
      </c>
      <c r="M367" s="149">
        <v>0.66666666666666496</v>
      </c>
      <c r="N367" s="149">
        <v>0.66666666666666496</v>
      </c>
      <c r="O367" s="149">
        <v>0.66666666666666496</v>
      </c>
      <c r="P367" s="149">
        <v>0.66666666666666496</v>
      </c>
      <c r="Q367" s="149">
        <v>0.66666666666666496</v>
      </c>
      <c r="R367" s="149">
        <v>0.66666666666666496</v>
      </c>
      <c r="S367" s="138">
        <v>2.73</v>
      </c>
      <c r="T367" s="138">
        <v>2.6880000000000002</v>
      </c>
      <c r="U367" s="138">
        <f>级配!F367/S367*E367</f>
        <v>6.5934065934065894E-2</v>
      </c>
      <c r="V367" s="138">
        <f>级配!F367/T367*E367</f>
        <v>6.6964285714285698E-2</v>
      </c>
      <c r="W367" s="138">
        <f>1/SUM(U367:U375)</f>
        <v>2.7771530983968402</v>
      </c>
      <c r="X367" s="153">
        <v>0.4</v>
      </c>
      <c r="Y367" s="138">
        <f>0.033*X367*X367-0.2936*X367+0.9336</f>
        <v>0.82143999999999995</v>
      </c>
      <c r="Z367" s="138">
        <f>0.033*Y367*Y367-0.2936*Y367+0.9336</f>
        <v>0.71469241722879995</v>
      </c>
      <c r="AA367" s="169">
        <v>2.5379999999999998</v>
      </c>
      <c r="AB367" s="138">
        <f>1/SUM(V367:V375)</f>
        <v>2.71197373128595</v>
      </c>
      <c r="AC367" s="160">
        <v>4.9000000000000004</v>
      </c>
      <c r="AD367" s="138">
        <f t="shared" ref="AD367" si="46">100*AC367/(100+AC367)</f>
        <v>4.6711153479504297</v>
      </c>
      <c r="AE367" s="137"/>
      <c r="AF367" s="156">
        <f>AC367-E374*F374*AE374-E374*F375*AE375</f>
        <v>2.3912782278948002</v>
      </c>
    </row>
    <row r="368" spans="1:32" ht="14.4">
      <c r="A368" s="276"/>
      <c r="B368" s="276"/>
      <c r="C368" s="159" t="s">
        <v>61</v>
      </c>
      <c r="D368" s="168" t="s">
        <v>63</v>
      </c>
      <c r="E368" s="276"/>
      <c r="F368" s="130">
        <v>0.25</v>
      </c>
      <c r="G368" s="149">
        <v>100</v>
      </c>
      <c r="H368" s="149">
        <v>100</v>
      </c>
      <c r="I368" s="149">
        <v>100</v>
      </c>
      <c r="J368" s="149">
        <v>100</v>
      </c>
      <c r="K368" s="149">
        <v>95.48</v>
      </c>
      <c r="L368" s="149">
        <v>13.484</v>
      </c>
      <c r="M368" s="149">
        <v>2.3199999999999901</v>
      </c>
      <c r="N368" s="149">
        <v>18.600000000000001</v>
      </c>
      <c r="O368" s="149">
        <v>2.3199999999999901</v>
      </c>
      <c r="P368" s="149">
        <v>2.3199999999999901</v>
      </c>
      <c r="Q368" s="149">
        <v>2.3199999999999901</v>
      </c>
      <c r="R368" s="149">
        <v>2.3199999999999901</v>
      </c>
      <c r="S368" s="138">
        <v>2.7080000000000002</v>
      </c>
      <c r="T368" s="138">
        <v>2.681</v>
      </c>
      <c r="U368" s="138">
        <f>级配!F368/S368*E367</f>
        <v>3.6927621861152102E-2</v>
      </c>
      <c r="V368" s="138">
        <f>级配!F368/T368*E367</f>
        <v>3.7299515106303603E-2</v>
      </c>
      <c r="W368" s="138"/>
      <c r="X368" s="138"/>
      <c r="Y368" s="151"/>
      <c r="Z368" s="151"/>
      <c r="AA368" s="169"/>
      <c r="AB368" s="138"/>
      <c r="AC368" s="160"/>
      <c r="AD368" s="138"/>
      <c r="AE368" s="137"/>
      <c r="AF368" s="156"/>
    </row>
    <row r="369" spans="1:32">
      <c r="A369" s="276"/>
      <c r="B369" s="276"/>
      <c r="C369" s="159" t="s">
        <v>82</v>
      </c>
      <c r="D369" s="168" t="s">
        <v>65</v>
      </c>
      <c r="E369" s="276"/>
      <c r="F369" s="130">
        <v>0.3</v>
      </c>
      <c r="G369" s="149">
        <v>100</v>
      </c>
      <c r="H369" s="149">
        <v>100</v>
      </c>
      <c r="I369" s="149">
        <v>100</v>
      </c>
      <c r="J369" s="149">
        <v>100</v>
      </c>
      <c r="K369" s="149">
        <v>100</v>
      </c>
      <c r="L369" s="149">
        <v>96.808333333333394</v>
      </c>
      <c r="M369" s="149">
        <v>61.933333333333401</v>
      </c>
      <c r="N369" s="149">
        <v>37.891666666666701</v>
      </c>
      <c r="O369" s="149">
        <v>28.316666666666599</v>
      </c>
      <c r="P369" s="149">
        <v>19.116666666666699</v>
      </c>
      <c r="Q369" s="149">
        <v>14.408333333333299</v>
      </c>
      <c r="R369" s="149">
        <v>11.6833333333333</v>
      </c>
      <c r="S369" s="138">
        <v>2.7730000000000001</v>
      </c>
      <c r="T369" s="138">
        <v>2.629</v>
      </c>
      <c r="U369" s="138">
        <f>级配!F369/S369*E367</f>
        <v>4.3274432023079699E-2</v>
      </c>
      <c r="V369" s="138">
        <f>级配!F369/T369*E367</f>
        <v>4.5644731837200497E-2</v>
      </c>
      <c r="AA369" s="169"/>
      <c r="AB369" s="138"/>
      <c r="AC369" s="160"/>
      <c r="AD369" s="138"/>
      <c r="AE369" s="137"/>
      <c r="AF369" s="156"/>
    </row>
    <row r="370" spans="1:32" ht="14.4">
      <c r="A370" s="276"/>
      <c r="B370" s="276"/>
      <c r="C370" s="171" t="s">
        <v>99</v>
      </c>
      <c r="D370" s="168" t="s">
        <v>91</v>
      </c>
      <c r="E370" s="276"/>
      <c r="F370" s="129">
        <v>0</v>
      </c>
      <c r="G370" s="149">
        <v>100</v>
      </c>
      <c r="H370" s="149">
        <v>100</v>
      </c>
      <c r="I370" s="149">
        <v>100</v>
      </c>
      <c r="J370" s="149">
        <v>100</v>
      </c>
      <c r="K370" s="149">
        <v>100</v>
      </c>
      <c r="L370" s="149">
        <v>100</v>
      </c>
      <c r="M370" s="149">
        <v>100</v>
      </c>
      <c r="N370" s="149">
        <v>100</v>
      </c>
      <c r="O370" s="149">
        <v>100</v>
      </c>
      <c r="P370" s="149">
        <v>97.4</v>
      </c>
      <c r="Q370" s="149">
        <v>90.2</v>
      </c>
      <c r="R370" s="149">
        <v>78.2</v>
      </c>
      <c r="S370" s="138">
        <v>2.6789999999999998</v>
      </c>
      <c r="T370" s="138">
        <v>2.6789999999999998</v>
      </c>
      <c r="U370" s="138">
        <f>级配!F370/S370*E367</f>
        <v>0</v>
      </c>
      <c r="V370" s="138">
        <f>级配!F370/T370*E367</f>
        <v>0</v>
      </c>
      <c r="AE370" s="137"/>
      <c r="AF370" s="137"/>
    </row>
    <row r="371" spans="1:32" ht="14.4">
      <c r="A371" s="276"/>
      <c r="B371" s="276"/>
      <c r="C371" s="164" t="s">
        <v>99</v>
      </c>
      <c r="D371" s="168" t="s">
        <v>91</v>
      </c>
      <c r="E371" s="276"/>
      <c r="F371" s="129">
        <v>0</v>
      </c>
      <c r="G371" s="149">
        <v>100</v>
      </c>
      <c r="H371" s="149">
        <v>100</v>
      </c>
      <c r="I371" s="149">
        <v>100</v>
      </c>
      <c r="J371" s="149">
        <v>100</v>
      </c>
      <c r="K371" s="149">
        <v>100</v>
      </c>
      <c r="L371" s="149">
        <v>100</v>
      </c>
      <c r="M371" s="149">
        <v>100</v>
      </c>
      <c r="N371" s="149">
        <v>100</v>
      </c>
      <c r="O371" s="149">
        <v>100</v>
      </c>
      <c r="P371" s="149">
        <v>97.4</v>
      </c>
      <c r="Q371" s="149">
        <v>90.2</v>
      </c>
      <c r="R371" s="149">
        <v>78.2</v>
      </c>
      <c r="S371" s="138">
        <v>2.6789999999999998</v>
      </c>
      <c r="T371" s="138">
        <v>2.6789999999999998</v>
      </c>
      <c r="U371" s="138">
        <f>级配!F371/S371*E367</f>
        <v>0</v>
      </c>
      <c r="V371" s="138">
        <f>级配!F371/T371*E367</f>
        <v>0</v>
      </c>
      <c r="AE371" s="137"/>
      <c r="AF371" s="137"/>
    </row>
    <row r="372" spans="1:32" ht="14.4">
      <c r="A372" s="276"/>
      <c r="B372" s="276"/>
      <c r="C372" s="164" t="s">
        <v>99</v>
      </c>
      <c r="D372" s="168" t="s">
        <v>91</v>
      </c>
      <c r="E372" s="276"/>
      <c r="F372" s="129">
        <v>0</v>
      </c>
      <c r="G372" s="149">
        <v>100</v>
      </c>
      <c r="H372" s="149">
        <v>100</v>
      </c>
      <c r="I372" s="149">
        <v>100</v>
      </c>
      <c r="J372" s="149">
        <v>100</v>
      </c>
      <c r="K372" s="149">
        <v>100</v>
      </c>
      <c r="L372" s="149">
        <v>100</v>
      </c>
      <c r="M372" s="149">
        <v>81.364999999999995</v>
      </c>
      <c r="N372" s="149">
        <v>59.195</v>
      </c>
      <c r="O372" s="149">
        <v>34.704999999999998</v>
      </c>
      <c r="P372" s="149">
        <v>19.21</v>
      </c>
      <c r="Q372" s="149">
        <v>13.9</v>
      </c>
      <c r="R372" s="149">
        <v>11.54</v>
      </c>
      <c r="S372" s="138">
        <v>2.72</v>
      </c>
      <c r="T372" s="138">
        <v>2.65</v>
      </c>
      <c r="U372" s="138">
        <f>级配!F372/S372*E367</f>
        <v>0</v>
      </c>
      <c r="V372" s="138">
        <f>级配!F372/T372*E367</f>
        <v>0</v>
      </c>
      <c r="AE372" s="137"/>
      <c r="AF372" s="137"/>
    </row>
    <row r="373" spans="1:32" ht="14.4">
      <c r="A373" s="276"/>
      <c r="B373" s="276"/>
      <c r="C373" s="164" t="s">
        <v>99</v>
      </c>
      <c r="D373" s="157" t="s">
        <v>91</v>
      </c>
      <c r="E373" s="276"/>
      <c r="F373" s="129">
        <v>0</v>
      </c>
      <c r="G373" s="149">
        <v>100</v>
      </c>
      <c r="H373" s="149">
        <v>100</v>
      </c>
      <c r="I373" s="149">
        <v>100</v>
      </c>
      <c r="J373" s="149">
        <v>100</v>
      </c>
      <c r="K373" s="149">
        <v>100</v>
      </c>
      <c r="L373" s="149">
        <v>100</v>
      </c>
      <c r="M373" s="149">
        <v>100</v>
      </c>
      <c r="N373" s="149">
        <v>100</v>
      </c>
      <c r="O373" s="149">
        <v>100</v>
      </c>
      <c r="P373" s="149">
        <v>99.6875</v>
      </c>
      <c r="Q373" s="149">
        <v>97.112499999999997</v>
      </c>
      <c r="R373" s="149">
        <v>76.612499999999997</v>
      </c>
      <c r="S373" s="138">
        <v>2.8519999999999999</v>
      </c>
      <c r="T373" s="138">
        <v>2.7229999999999999</v>
      </c>
      <c r="U373" s="138">
        <f>级配!F373/S373*E367</f>
        <v>0</v>
      </c>
      <c r="V373" s="138">
        <f>级配!F373/T373*E367</f>
        <v>0</v>
      </c>
      <c r="AE373" s="137"/>
      <c r="AF373" s="137"/>
    </row>
    <row r="374" spans="1:32">
      <c r="A374" s="276"/>
      <c r="B374" s="276"/>
      <c r="C374" s="159" t="s">
        <v>74</v>
      </c>
      <c r="D374" s="168" t="s">
        <v>96</v>
      </c>
      <c r="E374" s="276">
        <v>0.6</v>
      </c>
      <c r="F374" s="130">
        <v>0.65</v>
      </c>
      <c r="G374" s="149">
        <v>100</v>
      </c>
      <c r="H374" s="149">
        <v>100</v>
      </c>
      <c r="I374" s="149">
        <v>98.573603794311396</v>
      </c>
      <c r="J374" s="149">
        <v>82.174026333127799</v>
      </c>
      <c r="K374" s="149">
        <v>33.1317421613373</v>
      </c>
      <c r="L374" s="149">
        <v>14.974385776309701</v>
      </c>
      <c r="M374" s="149">
        <v>12.3670078383307</v>
      </c>
      <c r="N374" s="149">
        <v>10.6873987726464</v>
      </c>
      <c r="O374" s="149">
        <v>9.6693373373022293</v>
      </c>
      <c r="P374" s="149">
        <v>8.1572740170601001</v>
      </c>
      <c r="Q374" s="149">
        <v>6.2370973457409598</v>
      </c>
      <c r="R374" s="149">
        <v>4.1279880419424799</v>
      </c>
      <c r="S374" s="138">
        <v>2.8290000000000002</v>
      </c>
      <c r="T374" s="138">
        <v>2.7650000000000001</v>
      </c>
      <c r="U374" s="138">
        <f>级配!F374/S374*E374</f>
        <v>0.137857900318134</v>
      </c>
      <c r="V374" s="138">
        <f>级配!F374/T374*E374</f>
        <v>0.14104882459312801</v>
      </c>
      <c r="AE374" s="154">
        <v>3.45538937596698</v>
      </c>
      <c r="AF374" s="137"/>
    </row>
    <row r="375" spans="1:32">
      <c r="A375" s="276"/>
      <c r="B375" s="276"/>
      <c r="C375" s="159" t="s">
        <v>76</v>
      </c>
      <c r="D375" s="168" t="s">
        <v>97</v>
      </c>
      <c r="E375" s="276"/>
      <c r="F375" s="130">
        <v>0.35</v>
      </c>
      <c r="G375" s="149">
        <v>100</v>
      </c>
      <c r="H375" s="149">
        <v>100</v>
      </c>
      <c r="I375" s="149">
        <v>100</v>
      </c>
      <c r="J375" s="149">
        <v>99.709455890121504</v>
      </c>
      <c r="K375" s="149">
        <v>93.611005421295204</v>
      </c>
      <c r="L375" s="149">
        <v>62.883664943704403</v>
      </c>
      <c r="M375" s="149">
        <v>41.736211500847702</v>
      </c>
      <c r="N375" s="149">
        <v>29.275015875296301</v>
      </c>
      <c r="O375" s="149">
        <v>22.374005580422299</v>
      </c>
      <c r="P375" s="149">
        <v>14.3321095762082</v>
      </c>
      <c r="Q375" s="149">
        <v>9.6170951500159596</v>
      </c>
      <c r="R375" s="149">
        <v>6.5264817525129803</v>
      </c>
      <c r="S375" s="138">
        <v>2.76</v>
      </c>
      <c r="T375" s="138">
        <v>2.7</v>
      </c>
      <c r="U375" s="138">
        <f>级配!F375/S375*E374</f>
        <v>7.6086956521739094E-2</v>
      </c>
      <c r="V375" s="138">
        <f>级配!F375/T375*E374</f>
        <v>7.7777777777777807E-2</v>
      </c>
      <c r="AE375" s="154">
        <v>5.5291424546575101</v>
      </c>
      <c r="AF375" s="137"/>
    </row>
    <row r="376" spans="1:32" ht="14.4">
      <c r="A376" s="276"/>
      <c r="B376" s="276"/>
      <c r="C376"/>
      <c r="F376" s="129" t="s">
        <v>240</v>
      </c>
      <c r="G376" s="170">
        <f>$E$29*($F$29*G367+$F$30*G368+$F$31*G369+$F$32*G370+$F$33*G371+$F$34*G372+$F$35*G373)+$E$36*($F$36*G374+$F$37*G375)</f>
        <v>100</v>
      </c>
      <c r="H376" s="170">
        <f>E367*(F367*H367+F368*H368+F369*H369+F370*H370+F371*H371+F372*H372+F373*H373)+E374*(F374*H374+F375*H375)</f>
        <v>100</v>
      </c>
      <c r="I376" s="170">
        <f>E367*(F367*I367+F368*I368+F369*I369+F370*I370+F371*I371+F372*I372+F373*I373)+E374*(F374*I374+F375*I375)</f>
        <v>99.410105479781393</v>
      </c>
      <c r="J376" s="170">
        <f>E367*(F367*J367+F368*J368+F369*J369+F370*J370+F371*J371+F372*J372+F373*J373)+E374*(F374*J374+F375*J375)</f>
        <v>90.834656006845407</v>
      </c>
      <c r="K376" s="170">
        <f>E367*(F367*K367+F368*K368+F369*K369+F370*K370+F371*K371+F372*K372+F373*K373)+E374*(F374*K374+F375*K375)</f>
        <v>59.427490581393499</v>
      </c>
      <c r="L376" s="170">
        <f>E367*(F367*L367+F368*L368+F369*L369+F370*L370+F371*L371+F372*L372+F373*L373)+E374*(F374*L374+F375*L375)</f>
        <v>32.330780090938703</v>
      </c>
      <c r="M376" s="170">
        <f>E367*(F367*M367+F368*M368+F369*M369+F370*M370+F371*M371+F372*M372+F373*M373)+E374*(F374*M374+F375*M375)</f>
        <v>21.371737472126998</v>
      </c>
      <c r="N376" s="170">
        <f>E367*(F367*N367+F368*N368+F369*N369+F370*N370+F371*N371+F372*N372+F373*N373)+E374*(F374*N374+F375*N375)</f>
        <v>16.842838855144301</v>
      </c>
      <c r="O376" s="170">
        <f>E367*(F367*O367+F368*O368+F369*O369+F370*O370+F371*O371+F372*O372+F373*O373)+E374*(F374*O374+F375*O375)</f>
        <v>12.2195827334365</v>
      </c>
      <c r="P376" s="170">
        <f>E367*(F367*P367+F368*P368+F369*P369+F370*P370+F371*P371+F372*P372+F373*P373)+E374*(F374*P374+F375*P375)</f>
        <v>8.8370798776571604</v>
      </c>
      <c r="Q376" s="170">
        <f>E367*(F367*Q367+F368*Q368+F369*Q369+F370*Q370+F371*Q371+F372*Q372+F373*Q373)+E374*(F374*Q374+F375*Q375)</f>
        <v>6.5330579463423204</v>
      </c>
      <c r="R376" s="170">
        <f>E367*(F367*R367+F368*R368+F369*R369+F370*R370+F371*R371+F372*R372+F373*R373)+E374*(F374*R374+F375*R375)</f>
        <v>4.7344765043852899</v>
      </c>
      <c r="AE376" s="137"/>
      <c r="AF376" s="137"/>
    </row>
    <row r="377" spans="1:32" ht="14.4">
      <c r="A377" s="276"/>
      <c r="B377" s="276"/>
      <c r="C377"/>
      <c r="F377" s="129" t="s">
        <v>241</v>
      </c>
      <c r="G377" s="149">
        <v>100</v>
      </c>
      <c r="H377" s="149">
        <v>100</v>
      </c>
      <c r="I377" s="129">
        <v>100</v>
      </c>
      <c r="J377" s="129">
        <v>100</v>
      </c>
      <c r="K377" s="129">
        <v>85</v>
      </c>
      <c r="L377" s="129">
        <v>68</v>
      </c>
      <c r="M377" s="129">
        <v>50</v>
      </c>
      <c r="N377" s="129">
        <v>38</v>
      </c>
      <c r="O377" s="129">
        <v>28</v>
      </c>
      <c r="P377" s="129">
        <v>20</v>
      </c>
      <c r="Q377" s="129">
        <v>15</v>
      </c>
      <c r="R377" s="129">
        <v>8</v>
      </c>
      <c r="AE377" s="137"/>
      <c r="AF377" s="137"/>
    </row>
    <row r="378" spans="1:32" ht="14.4">
      <c r="A378" s="276"/>
      <c r="B378" s="276"/>
      <c r="C378"/>
      <c r="F378" s="129" t="s">
        <v>242</v>
      </c>
      <c r="G378" s="149">
        <f t="shared" ref="G378:R378" si="47">(G377+G379)/2</f>
        <v>100</v>
      </c>
      <c r="H378" s="149">
        <v>100</v>
      </c>
      <c r="I378" s="129">
        <v>100</v>
      </c>
      <c r="J378" s="129">
        <f t="shared" si="47"/>
        <v>95</v>
      </c>
      <c r="K378" s="129">
        <f t="shared" si="47"/>
        <v>76.5</v>
      </c>
      <c r="L378" s="129">
        <f t="shared" si="47"/>
        <v>53</v>
      </c>
      <c r="M378" s="129">
        <f t="shared" si="47"/>
        <v>37</v>
      </c>
      <c r="N378" s="129">
        <f t="shared" si="47"/>
        <v>26.5</v>
      </c>
      <c r="O378" s="129">
        <f t="shared" si="47"/>
        <v>19</v>
      </c>
      <c r="P378" s="129">
        <f t="shared" si="47"/>
        <v>13.5</v>
      </c>
      <c r="Q378" s="129">
        <f t="shared" si="47"/>
        <v>10</v>
      </c>
      <c r="R378" s="129">
        <f t="shared" si="47"/>
        <v>6</v>
      </c>
      <c r="AE378" s="137"/>
      <c r="AF378" s="137"/>
    </row>
    <row r="379" spans="1:32" ht="14.4">
      <c r="A379" s="276"/>
      <c r="B379" s="276"/>
      <c r="C379"/>
      <c r="F379" s="129" t="s">
        <v>243</v>
      </c>
      <c r="G379" s="149">
        <v>100</v>
      </c>
      <c r="H379" s="149">
        <v>100</v>
      </c>
      <c r="I379" s="129">
        <v>100</v>
      </c>
      <c r="J379" s="129">
        <v>90</v>
      </c>
      <c r="K379" s="129">
        <v>68</v>
      </c>
      <c r="L379" s="129">
        <v>38</v>
      </c>
      <c r="M379" s="129">
        <v>24</v>
      </c>
      <c r="N379" s="129">
        <v>15</v>
      </c>
      <c r="O379" s="129">
        <v>10</v>
      </c>
      <c r="P379" s="129">
        <v>7</v>
      </c>
      <c r="Q379" s="129">
        <v>5</v>
      </c>
      <c r="R379" s="129">
        <v>4</v>
      </c>
      <c r="AE379" s="137"/>
      <c r="AF379" s="137"/>
    </row>
    <row r="380" spans="1:32">
      <c r="A380" s="276" t="s">
        <v>113</v>
      </c>
      <c r="B380" s="276" t="s">
        <v>258</v>
      </c>
      <c r="C380" s="159" t="s">
        <v>81</v>
      </c>
      <c r="D380" s="157" t="s">
        <v>62</v>
      </c>
      <c r="E380" s="276">
        <v>0.5</v>
      </c>
      <c r="F380" s="129">
        <v>0.55000000000000004</v>
      </c>
      <c r="G380" s="149">
        <v>100</v>
      </c>
      <c r="H380" s="149">
        <v>93.5</v>
      </c>
      <c r="I380" s="149">
        <v>66.400000000000006</v>
      </c>
      <c r="J380" s="149">
        <v>28.4</v>
      </c>
      <c r="K380" s="149">
        <v>1.7</v>
      </c>
      <c r="L380" s="149">
        <v>0.8</v>
      </c>
      <c r="M380" s="149">
        <v>0.8</v>
      </c>
      <c r="N380" s="149">
        <v>0.8</v>
      </c>
      <c r="O380" s="149">
        <v>0.8</v>
      </c>
      <c r="P380" s="149">
        <v>0.8</v>
      </c>
      <c r="Q380" s="149">
        <v>0.8</v>
      </c>
      <c r="R380" s="149">
        <v>0.8</v>
      </c>
      <c r="S380" s="138">
        <v>2.7709999999999999</v>
      </c>
      <c r="T380" s="138">
        <v>2.7010000000000001</v>
      </c>
      <c r="U380" s="138">
        <f>F380/S380*$E$419</f>
        <v>0.12901479610249</v>
      </c>
      <c r="V380" s="138">
        <f>F380/T380*$E$419</f>
        <v>0.13235838578304299</v>
      </c>
      <c r="W380" s="138">
        <f>1/SUM(U380:U388)</f>
        <v>2.7886740251028699</v>
      </c>
      <c r="X380" s="153">
        <v>0.4</v>
      </c>
      <c r="Y380" s="138">
        <f>0.033*X380*X380-0.2936*X380+0.9336</f>
        <v>0.82143999999999995</v>
      </c>
      <c r="Z380" s="138">
        <f>0.033*Y380*Y380-0.2936*Y380+0.9336</f>
        <v>0.71469241722879995</v>
      </c>
      <c r="AA380" s="158">
        <v>2.5237470343436099</v>
      </c>
      <c r="AB380" s="138">
        <f>1/SUM(V380:V388)</f>
        <v>2.7017551060596099</v>
      </c>
      <c r="AC380" s="139">
        <v>4.2</v>
      </c>
      <c r="AD380" s="138">
        <f>100*AC380/(100+AC380)</f>
        <v>4.0307101727447199</v>
      </c>
      <c r="AE380" s="137"/>
      <c r="AF380" s="156">
        <f>AC380-E386*F386*AE386-E386*F387*AE387-E386*F388*AE388</f>
        <v>1.675</v>
      </c>
    </row>
    <row r="381" spans="1:32">
      <c r="A381" s="276"/>
      <c r="B381" s="276"/>
      <c r="C381" s="159" t="s">
        <v>81</v>
      </c>
      <c r="D381" s="157" t="s">
        <v>63</v>
      </c>
      <c r="E381" s="276"/>
      <c r="F381" s="129">
        <v>0.15</v>
      </c>
      <c r="G381" s="149">
        <v>100</v>
      </c>
      <c r="H381" s="149">
        <v>100</v>
      </c>
      <c r="I381" s="149">
        <v>100</v>
      </c>
      <c r="J381" s="149">
        <v>100</v>
      </c>
      <c r="K381" s="149">
        <v>94.4</v>
      </c>
      <c r="L381" s="149">
        <v>6</v>
      </c>
      <c r="M381" s="149">
        <v>0.4</v>
      </c>
      <c r="N381" s="149">
        <v>0.4</v>
      </c>
      <c r="O381" s="149">
        <v>0.4</v>
      </c>
      <c r="P381" s="149">
        <v>0.4</v>
      </c>
      <c r="Q381" s="149">
        <v>0.4</v>
      </c>
      <c r="R381" s="149">
        <v>0.4</v>
      </c>
      <c r="S381" s="138">
        <v>2.7519999999999998</v>
      </c>
      <c r="T381" s="138">
        <v>2.6819999999999999</v>
      </c>
      <c r="U381" s="138">
        <f t="shared" ref="U381:U385" si="48">F381/S381*$E$419</f>
        <v>3.5428779069767401E-2</v>
      </c>
      <c r="V381" s="138">
        <f t="shared" ref="V381:V385" si="49">F381/T381*$E$419</f>
        <v>3.6353467561521302E-2</v>
      </c>
      <c r="W381" s="138"/>
      <c r="X381" s="138"/>
      <c r="Y381" s="151"/>
      <c r="Z381" s="151"/>
      <c r="AA381" s="158">
        <v>2.5506290273641601</v>
      </c>
      <c r="AB381" s="138">
        <v>2.7114104405587001</v>
      </c>
      <c r="AC381" s="139">
        <v>4.2</v>
      </c>
      <c r="AD381" s="138">
        <f t="shared" ref="AD381" si="50">100*AC381/(100+AC381)</f>
        <v>4.0307101727447199</v>
      </c>
      <c r="AF381" s="154">
        <f>AC381-E386*F386*AE386-E386*F387*AE387-E386*F388*AE388</f>
        <v>1.675</v>
      </c>
    </row>
    <row r="382" spans="1:32">
      <c r="A382" s="276"/>
      <c r="B382" s="276"/>
      <c r="C382" s="159" t="s">
        <v>82</v>
      </c>
      <c r="D382" s="157" t="s">
        <v>65</v>
      </c>
      <c r="E382" s="276"/>
      <c r="F382" s="130">
        <v>0.25</v>
      </c>
      <c r="G382" s="149">
        <v>100</v>
      </c>
      <c r="H382" s="149">
        <v>100</v>
      </c>
      <c r="I382" s="149">
        <v>100</v>
      </c>
      <c r="J382" s="149">
        <v>100</v>
      </c>
      <c r="K382" s="149">
        <v>100</v>
      </c>
      <c r="L382" s="149">
        <v>98.1</v>
      </c>
      <c r="M382" s="149">
        <v>62.4</v>
      </c>
      <c r="N382" s="149">
        <v>37.299999999999997</v>
      </c>
      <c r="O382" s="149">
        <v>26.4</v>
      </c>
      <c r="P382" s="149">
        <v>16.7</v>
      </c>
      <c r="Q382" s="149">
        <v>11.7</v>
      </c>
      <c r="R382" s="149">
        <v>8.5</v>
      </c>
      <c r="S382" s="138">
        <v>2.7269999999999999</v>
      </c>
      <c r="T382" s="138">
        <v>2.6320000000000001</v>
      </c>
      <c r="U382" s="138">
        <f t="shared" si="48"/>
        <v>5.9589292262559601E-2</v>
      </c>
      <c r="V382" s="138">
        <f t="shared" si="49"/>
        <v>6.1740121580547098E-2</v>
      </c>
      <c r="AA382" s="158">
        <v>2.5506290273641601</v>
      </c>
      <c r="AB382" s="138">
        <v>2.7114104405587001</v>
      </c>
      <c r="AC382" s="139">
        <v>4.2</v>
      </c>
      <c r="AD382" s="138">
        <f t="shared" ref="AD382:AD383" si="51">100*AC382/(100+AC382)</f>
        <v>4.0307101727447199</v>
      </c>
      <c r="AF382" s="154">
        <f>AC382-E386*F386*AE386-E386*F387*AE387-E386*F388*AE388</f>
        <v>1.675</v>
      </c>
    </row>
    <row r="383" spans="1:32">
      <c r="A383" s="276"/>
      <c r="B383" s="276"/>
      <c r="C383" s="159" t="s">
        <v>99</v>
      </c>
      <c r="D383" s="157" t="s">
        <v>73</v>
      </c>
      <c r="E383" s="276"/>
      <c r="F383" s="129">
        <v>0.05</v>
      </c>
      <c r="G383" s="149">
        <v>100</v>
      </c>
      <c r="H383" s="149">
        <v>100</v>
      </c>
      <c r="I383" s="149">
        <v>100</v>
      </c>
      <c r="J383" s="149">
        <v>100</v>
      </c>
      <c r="K383" s="149">
        <v>100</v>
      </c>
      <c r="L383" s="149">
        <v>100</v>
      </c>
      <c r="M383" s="149">
        <v>100</v>
      </c>
      <c r="N383" s="149">
        <v>100</v>
      </c>
      <c r="O383" s="149">
        <v>100</v>
      </c>
      <c r="P383" s="149">
        <v>97.4</v>
      </c>
      <c r="Q383" s="149">
        <v>90.2</v>
      </c>
      <c r="R383" s="149">
        <v>78.2</v>
      </c>
      <c r="S383" s="138">
        <v>2.6789999999999998</v>
      </c>
      <c r="T383" s="138">
        <v>2.6789999999999998</v>
      </c>
      <c r="U383" s="138">
        <f t="shared" si="48"/>
        <v>1.21313923105636E-2</v>
      </c>
      <c r="V383" s="138">
        <f t="shared" si="49"/>
        <v>1.21313923105636E-2</v>
      </c>
      <c r="AA383" s="174">
        <v>2.5542144631004602</v>
      </c>
      <c r="AB383" s="153">
        <v>2.7114104405587001</v>
      </c>
      <c r="AC383" s="139">
        <v>4.4000000000000004</v>
      </c>
      <c r="AD383" s="138">
        <f t="shared" si="51"/>
        <v>4.2145593869731801</v>
      </c>
      <c r="AF383" s="154">
        <f>AC383-E386*F386*AE386-E386*F387*AE387-E386*F388*AE388</f>
        <v>1.875</v>
      </c>
    </row>
    <row r="384" spans="1:32" ht="14.4">
      <c r="A384" s="276"/>
      <c r="B384" s="276"/>
      <c r="C384" s="164" t="s">
        <v>81</v>
      </c>
      <c r="D384" s="157" t="s">
        <v>89</v>
      </c>
      <c r="E384" s="276"/>
      <c r="F384" s="129">
        <v>0</v>
      </c>
      <c r="G384" s="149">
        <v>100</v>
      </c>
      <c r="H384" s="149">
        <v>100</v>
      </c>
      <c r="I384" s="149">
        <v>100</v>
      </c>
      <c r="J384" s="149">
        <v>100</v>
      </c>
      <c r="K384" s="149">
        <v>100</v>
      </c>
      <c r="L384" s="149">
        <v>70.359936297776699</v>
      </c>
      <c r="M384" s="149">
        <v>8.4791666666666696</v>
      </c>
      <c r="N384" s="149">
        <v>4.50416666666667</v>
      </c>
      <c r="O384" s="149">
        <v>2.56666666666667</v>
      </c>
      <c r="P384" s="149">
        <v>1.8375000000000099</v>
      </c>
      <c r="Q384" s="149">
        <v>1.5875000000000099</v>
      </c>
      <c r="R384" s="149">
        <v>1.4208333333333401</v>
      </c>
      <c r="S384" s="138">
        <v>2.722</v>
      </c>
      <c r="T384" s="138">
        <v>2.6509999999999998</v>
      </c>
      <c r="U384" s="138">
        <f t="shared" si="48"/>
        <v>0</v>
      </c>
      <c r="V384" s="138">
        <f t="shared" si="49"/>
        <v>0</v>
      </c>
      <c r="AC384" s="2"/>
    </row>
    <row r="385" spans="1:32">
      <c r="A385" s="276"/>
      <c r="B385" s="276"/>
      <c r="C385" s="159" t="s">
        <v>82</v>
      </c>
      <c r="D385" s="157" t="s">
        <v>90</v>
      </c>
      <c r="E385" s="276"/>
      <c r="F385" s="129">
        <v>0</v>
      </c>
      <c r="G385" s="149">
        <v>100</v>
      </c>
      <c r="H385" s="149">
        <v>100</v>
      </c>
      <c r="I385" s="149">
        <v>100</v>
      </c>
      <c r="J385" s="149">
        <v>100</v>
      </c>
      <c r="K385" s="149">
        <v>100</v>
      </c>
      <c r="L385" s="149">
        <v>100</v>
      </c>
      <c r="M385" s="149">
        <v>81.364999999999995</v>
      </c>
      <c r="N385" s="149">
        <v>59.195</v>
      </c>
      <c r="O385" s="149">
        <v>34.704999999999998</v>
      </c>
      <c r="P385" s="149">
        <v>19.21</v>
      </c>
      <c r="Q385" s="149">
        <v>13.9</v>
      </c>
      <c r="R385" s="149">
        <v>11.54</v>
      </c>
      <c r="S385" s="138">
        <v>2.72</v>
      </c>
      <c r="T385" s="138">
        <v>2.65</v>
      </c>
      <c r="U385" s="138">
        <f t="shared" si="48"/>
        <v>0</v>
      </c>
      <c r="V385" s="138">
        <f t="shared" si="49"/>
        <v>0</v>
      </c>
    </row>
    <row r="386" spans="1:32" ht="14.4">
      <c r="A386" s="276"/>
      <c r="B386" s="276"/>
      <c r="C386" s="164" t="s">
        <v>74</v>
      </c>
      <c r="D386" s="157" t="s">
        <v>62</v>
      </c>
      <c r="E386" s="276">
        <v>0.5</v>
      </c>
      <c r="F386" s="129">
        <v>0.4</v>
      </c>
      <c r="G386" s="149">
        <v>100</v>
      </c>
      <c r="H386" s="149">
        <v>100</v>
      </c>
      <c r="I386" s="149">
        <v>98.7</v>
      </c>
      <c r="J386" s="149">
        <v>87.2</v>
      </c>
      <c r="K386" s="149">
        <v>52.7</v>
      </c>
      <c r="L386" s="149">
        <v>22.4</v>
      </c>
      <c r="M386" s="149">
        <v>16.100000000000001</v>
      </c>
      <c r="N386" s="149">
        <v>13.1</v>
      </c>
      <c r="O386" s="149">
        <v>11.4</v>
      </c>
      <c r="P386" s="149">
        <v>8.9</v>
      </c>
      <c r="Q386" s="149">
        <v>6.2</v>
      </c>
      <c r="R386" s="149">
        <v>3.7</v>
      </c>
      <c r="S386" s="138">
        <v>2.8570000000000002</v>
      </c>
      <c r="T386" s="138">
        <v>2.7450000000000001</v>
      </c>
      <c r="U386" s="138">
        <f>F386/S386*$E$425</f>
        <v>4.9002450122506098E-2</v>
      </c>
      <c r="V386" s="138">
        <f>F386/T386*$E$425</f>
        <v>5.1001821493624797E-2</v>
      </c>
      <c r="AC386" s="2"/>
      <c r="AE386" s="154">
        <v>3.85</v>
      </c>
    </row>
    <row r="387" spans="1:32">
      <c r="A387" s="276"/>
      <c r="B387" s="276"/>
      <c r="C387" s="159" t="s">
        <v>74</v>
      </c>
      <c r="D387" s="168" t="s">
        <v>63</v>
      </c>
      <c r="E387" s="276"/>
      <c r="F387" s="129">
        <v>0.3</v>
      </c>
      <c r="G387" s="149">
        <v>100</v>
      </c>
      <c r="H387" s="149">
        <v>100</v>
      </c>
      <c r="I387" s="149">
        <v>100</v>
      </c>
      <c r="J387" s="149">
        <v>100</v>
      </c>
      <c r="K387" s="149">
        <v>97.5</v>
      </c>
      <c r="L387" s="149">
        <v>42.1</v>
      </c>
      <c r="M387" s="149">
        <v>19.3</v>
      </c>
      <c r="N387" s="149">
        <v>14.7</v>
      </c>
      <c r="O387" s="149">
        <v>12.6</v>
      </c>
      <c r="P387" s="149">
        <v>9.3000000000000007</v>
      </c>
      <c r="Q387" s="149">
        <v>7.1</v>
      </c>
      <c r="R387" s="149">
        <v>4.8</v>
      </c>
      <c r="S387" s="138">
        <v>2.8570000000000002</v>
      </c>
      <c r="T387" s="138">
        <v>2.7450000000000001</v>
      </c>
      <c r="U387" s="138">
        <f t="shared" ref="U387:U388" si="52">F387/S387*$E$425</f>
        <v>3.6751837591879603E-2</v>
      </c>
      <c r="V387" s="138">
        <f t="shared" ref="V387:V388" si="53">F387/T387*$E$425</f>
        <v>3.8251366120218601E-2</v>
      </c>
      <c r="AC387" s="2"/>
      <c r="AE387" s="154">
        <v>4.47</v>
      </c>
    </row>
    <row r="388" spans="1:32">
      <c r="A388" s="276"/>
      <c r="B388" s="276"/>
      <c r="C388" s="159" t="s">
        <v>76</v>
      </c>
      <c r="D388" s="168" t="s">
        <v>65</v>
      </c>
      <c r="E388" s="276"/>
      <c r="F388" s="129">
        <v>0.3</v>
      </c>
      <c r="G388" s="149">
        <v>100</v>
      </c>
      <c r="H388" s="149">
        <v>100</v>
      </c>
      <c r="I388" s="149">
        <v>100</v>
      </c>
      <c r="J388" s="149">
        <v>100</v>
      </c>
      <c r="K388" s="149">
        <v>100</v>
      </c>
      <c r="L388" s="149">
        <v>95.5</v>
      </c>
      <c r="M388" s="149">
        <v>62.3</v>
      </c>
      <c r="N388" s="149">
        <v>44.7</v>
      </c>
      <c r="O388" s="149">
        <v>35.200000000000003</v>
      </c>
      <c r="P388" s="149">
        <v>25.1</v>
      </c>
      <c r="Q388" s="149">
        <v>15.6</v>
      </c>
      <c r="R388" s="149">
        <v>10.7</v>
      </c>
      <c r="S388" s="138">
        <v>2.863</v>
      </c>
      <c r="T388" s="138">
        <v>2.742</v>
      </c>
      <c r="U388" s="138">
        <f t="shared" si="52"/>
        <v>3.6674816625916901E-2</v>
      </c>
      <c r="V388" s="138">
        <f t="shared" si="53"/>
        <v>3.82932166301969E-2</v>
      </c>
      <c r="AC388" s="2"/>
      <c r="AE388" s="154">
        <v>7.23</v>
      </c>
    </row>
    <row r="389" spans="1:32" ht="14.4">
      <c r="A389" s="276"/>
      <c r="B389" s="276"/>
      <c r="C389"/>
      <c r="D389" s="157"/>
      <c r="F389" s="129" t="s">
        <v>240</v>
      </c>
      <c r="G389" s="149">
        <f>$E$29*($F$29*G380+$F$30*G381+$F$31*G382+$F$32*G383+$F$33*G384+$F$34*G385+$F$35*G386)+$E$36*($F$36*G387+$F$37*G388)</f>
        <v>100</v>
      </c>
      <c r="H389" s="149">
        <f>E380*(F380*H380+F381*H381+F382*H382+F383*H383+F384*H384+F385*H385)+E386*(F387*H387+F388*H388+F386*H386)</f>
        <v>98.212500000000006</v>
      </c>
      <c r="I389" s="149">
        <f>E380*(F380*I380+F381*I381+F382*I382+F383*I383+F384*I384+F385*I385)+E386*(F387*I387+F388*I388+F386*I386)</f>
        <v>90.5</v>
      </c>
      <c r="J389" s="149">
        <f>E380*(F380*J380+F381*J381+F382*J382+F383*J383+F384*J384+F385*J385)+E386*(F387*J387+F388*J388+F386*J386)</f>
        <v>77.75</v>
      </c>
      <c r="K389" s="149">
        <f>E380*(F380*K380+F381*K381+F382*K382+F383*K383+F384*K384+F385*K385)+E386*(F387*K387+F388*K388+F386*K386)</f>
        <v>62.712499999999999</v>
      </c>
      <c r="L389" s="149">
        <f>E380*(F380*L380+F381*L381+F382*L382+F383*L383+F384*L384+F385*L385)+E386*(F387*L387+F388*L388+F386*L386)</f>
        <v>40.552500000000002</v>
      </c>
      <c r="M389" s="149">
        <f>E380*(F380*M380+F381*M381+F382*M382+F383*M383+F384*M384+F385*M385)+E386*(F387*M387+F388*M388+F386*M386)</f>
        <v>26.01</v>
      </c>
      <c r="N389" s="149">
        <f>E380*(F380*N380+F381*N381+F382*N382+F383*N383+F384*N384+F385*N385)+E386*(F387*N387+F388*N388+F386*N386)</f>
        <v>18.942499999999999</v>
      </c>
      <c r="O389" s="149">
        <f>E380*(F380*O380+F381*O381+F382*O382+F383*O383+F384*O384+F385*O385)+E386*(F387*O387+F388*O388+F386*O386)</f>
        <v>15.5</v>
      </c>
      <c r="P389" s="149">
        <f>E380*(F380*P380+F381*P381+F382*P382+F383*P383+F384*P384+F385*P385)+E386*(F387*P387+F388*P388+F386*P386)</f>
        <v>11.7125</v>
      </c>
      <c r="Q389" s="149">
        <f>E380*(F380*Q380+F381*Q381+F382*Q382+F383*Q383+F384*Q384+F385*Q385)+E386*(F387*Q387+F388*Q388+F386*Q386)</f>
        <v>8.6125000000000007</v>
      </c>
      <c r="R389" s="149">
        <f>E380*(F380*R380+F381*R381+F382*R382+F383*R383+F384*R384+F385*R385)+E386*(F387*R387+F388*R388+F386*R386)</f>
        <v>6.3324999999999996</v>
      </c>
      <c r="AC389" s="2"/>
    </row>
    <row r="390" spans="1:32" ht="14.4">
      <c r="A390" s="276"/>
      <c r="B390" s="276"/>
      <c r="C390"/>
      <c r="D390" s="157"/>
      <c r="F390" s="129" t="s">
        <v>241</v>
      </c>
      <c r="G390" s="149">
        <v>100</v>
      </c>
      <c r="H390" s="149">
        <v>100</v>
      </c>
      <c r="I390" s="149">
        <v>92</v>
      </c>
      <c r="J390" s="149">
        <v>80</v>
      </c>
      <c r="K390" s="149">
        <v>72</v>
      </c>
      <c r="L390" s="149">
        <v>56</v>
      </c>
      <c r="M390" s="149">
        <v>44</v>
      </c>
      <c r="N390" s="149">
        <v>33</v>
      </c>
      <c r="O390" s="149">
        <v>24</v>
      </c>
      <c r="P390" s="149">
        <v>17</v>
      </c>
      <c r="Q390" s="149">
        <v>13</v>
      </c>
      <c r="R390" s="149">
        <v>7</v>
      </c>
      <c r="AC390" s="2"/>
    </row>
    <row r="391" spans="1:32" ht="14.4">
      <c r="A391" s="276"/>
      <c r="B391" s="276"/>
      <c r="C391"/>
      <c r="D391" s="157"/>
      <c r="F391" s="129" t="s">
        <v>242</v>
      </c>
      <c r="G391" s="149">
        <f t="shared" ref="G391:R391" si="54">(G390+G392)/2</f>
        <v>100</v>
      </c>
      <c r="H391" s="149">
        <f t="shared" si="54"/>
        <v>95</v>
      </c>
      <c r="I391" s="149">
        <f t="shared" si="54"/>
        <v>85</v>
      </c>
      <c r="J391" s="149">
        <f t="shared" si="54"/>
        <v>71</v>
      </c>
      <c r="K391" s="149">
        <f t="shared" si="54"/>
        <v>61</v>
      </c>
      <c r="L391" s="149">
        <f t="shared" si="54"/>
        <v>41</v>
      </c>
      <c r="M391" s="149">
        <f t="shared" si="54"/>
        <v>30</v>
      </c>
      <c r="N391" s="149">
        <f t="shared" si="54"/>
        <v>22.5</v>
      </c>
      <c r="O391" s="149">
        <f t="shared" si="54"/>
        <v>16</v>
      </c>
      <c r="P391" s="149">
        <f t="shared" si="54"/>
        <v>11</v>
      </c>
      <c r="Q391" s="149">
        <f t="shared" si="54"/>
        <v>8.5</v>
      </c>
      <c r="R391" s="149">
        <f t="shared" si="54"/>
        <v>5</v>
      </c>
      <c r="AC391" s="2"/>
    </row>
    <row r="392" spans="1:32" ht="14.4">
      <c r="A392" s="276"/>
      <c r="B392" s="276"/>
      <c r="C392"/>
      <c r="D392" s="157"/>
      <c r="F392" s="129" t="s">
        <v>243</v>
      </c>
      <c r="G392" s="149">
        <v>100</v>
      </c>
      <c r="H392" s="149">
        <v>90</v>
      </c>
      <c r="I392" s="149">
        <v>78</v>
      </c>
      <c r="J392" s="149">
        <v>62</v>
      </c>
      <c r="K392" s="149">
        <v>50</v>
      </c>
      <c r="L392" s="149">
        <v>26</v>
      </c>
      <c r="M392" s="149">
        <v>16</v>
      </c>
      <c r="N392" s="149">
        <v>12</v>
      </c>
      <c r="O392" s="149">
        <v>8</v>
      </c>
      <c r="P392" s="149">
        <v>5</v>
      </c>
      <c r="Q392" s="149">
        <v>4</v>
      </c>
      <c r="R392" s="149">
        <v>3</v>
      </c>
      <c r="AC392" s="2"/>
    </row>
    <row r="393" spans="1:32">
      <c r="A393" s="276" t="s">
        <v>113</v>
      </c>
      <c r="B393" s="276" t="s">
        <v>259</v>
      </c>
      <c r="C393" s="159" t="s">
        <v>81</v>
      </c>
      <c r="D393" s="157" t="s">
        <v>62</v>
      </c>
      <c r="E393" s="276">
        <v>0.5</v>
      </c>
      <c r="F393" s="129">
        <v>0.6</v>
      </c>
      <c r="G393" s="149">
        <v>100</v>
      </c>
      <c r="H393" s="149">
        <v>93.5</v>
      </c>
      <c r="I393" s="149">
        <v>66.400000000000006</v>
      </c>
      <c r="J393" s="149">
        <v>28.4</v>
      </c>
      <c r="K393" s="149">
        <v>1.7</v>
      </c>
      <c r="L393" s="149">
        <v>0.8</v>
      </c>
      <c r="M393" s="149">
        <v>0.8</v>
      </c>
      <c r="N393" s="149">
        <v>0.8</v>
      </c>
      <c r="O393" s="149">
        <v>0.8</v>
      </c>
      <c r="P393" s="149">
        <v>0.8</v>
      </c>
      <c r="Q393" s="149">
        <v>0.8</v>
      </c>
      <c r="R393" s="149">
        <v>0.8</v>
      </c>
      <c r="S393" s="138">
        <v>2.7709999999999999</v>
      </c>
      <c r="T393" s="138">
        <v>2.7010000000000001</v>
      </c>
      <c r="U393" s="138">
        <f>F393/S393*$E$419</f>
        <v>0.14074341392998899</v>
      </c>
      <c r="V393" s="138">
        <f>F393/T393*$E$419</f>
        <v>0.14439096630877499</v>
      </c>
      <c r="W393" s="138">
        <f>1/SUM(U393:U401)</f>
        <v>2.7910489007386601</v>
      </c>
      <c r="X393" s="153">
        <v>0.4</v>
      </c>
      <c r="Y393" s="138">
        <f>0.033*X393*X393-0.2936*X393+0.9336</f>
        <v>0.82143999999999995</v>
      </c>
      <c r="Z393" s="138">
        <f>0.033*Y393*Y393-0.2936*Y393+0.9336</f>
        <v>0.71469241722879995</v>
      </c>
      <c r="AA393" s="158">
        <v>2.5355147340927902</v>
      </c>
      <c r="AB393" s="138">
        <f>1/SUM(V393:V401)</f>
        <v>2.70415033897629</v>
      </c>
      <c r="AC393" s="139">
        <v>4.2</v>
      </c>
      <c r="AD393" s="138">
        <f>100*AC393/(100+AC393)</f>
        <v>4.0307101727447199</v>
      </c>
      <c r="AF393" s="154">
        <f>AC393-E399*F399*AE399-E399*F400*AE400-E399*F401*AE401</f>
        <v>1.7595000000000001</v>
      </c>
    </row>
    <row r="394" spans="1:32">
      <c r="A394" s="276"/>
      <c r="B394" s="276"/>
      <c r="C394" s="159" t="s">
        <v>81</v>
      </c>
      <c r="D394" s="157" t="s">
        <v>63</v>
      </c>
      <c r="E394" s="276"/>
      <c r="F394" s="129">
        <v>0.17</v>
      </c>
      <c r="G394" s="149">
        <v>100</v>
      </c>
      <c r="H394" s="149">
        <v>100</v>
      </c>
      <c r="I394" s="149">
        <v>100</v>
      </c>
      <c r="J394" s="149">
        <v>100</v>
      </c>
      <c r="K394" s="149">
        <v>94.4</v>
      </c>
      <c r="L394" s="149">
        <v>6</v>
      </c>
      <c r="M394" s="149">
        <v>0.4</v>
      </c>
      <c r="N394" s="149">
        <v>0.4</v>
      </c>
      <c r="O394" s="149">
        <v>0.4</v>
      </c>
      <c r="P394" s="149">
        <v>0.4</v>
      </c>
      <c r="Q394" s="149">
        <v>0.4</v>
      </c>
      <c r="R394" s="149">
        <v>0.4</v>
      </c>
      <c r="S394" s="138">
        <v>2.7519999999999998</v>
      </c>
      <c r="T394" s="138">
        <v>2.6819999999999999</v>
      </c>
      <c r="U394" s="138">
        <f t="shared" ref="U394:U398" si="55">F394/S394*$E$419</f>
        <v>4.0152616279069797E-2</v>
      </c>
      <c r="V394" s="138">
        <f t="shared" ref="V394:V398" si="56">F394/T394*$E$419</f>
        <v>4.12005965697241E-2</v>
      </c>
      <c r="W394" s="138"/>
      <c r="X394" s="138"/>
      <c r="Y394" s="151"/>
      <c r="Z394" s="151"/>
      <c r="AA394" s="158">
        <v>2.5255957808355398</v>
      </c>
      <c r="AB394" s="138">
        <v>2.71329960206298</v>
      </c>
      <c r="AC394" s="139">
        <v>4.2</v>
      </c>
      <c r="AD394" s="138">
        <f t="shared" ref="AD394" si="57">100*AC394/(100+AC394)</f>
        <v>4.0307101727447199</v>
      </c>
      <c r="AF394" s="154">
        <f>AC394-E399*F399*AE399-E399*F400*AE400-E399*F401*AE401</f>
        <v>1.7595000000000001</v>
      </c>
    </row>
    <row r="395" spans="1:32">
      <c r="A395" s="276"/>
      <c r="B395" s="276"/>
      <c r="C395" s="159" t="s">
        <v>82</v>
      </c>
      <c r="D395" s="157" t="s">
        <v>65</v>
      </c>
      <c r="E395" s="276"/>
      <c r="F395" s="130">
        <v>0.2</v>
      </c>
      <c r="G395" s="149">
        <v>100</v>
      </c>
      <c r="H395" s="149">
        <v>100</v>
      </c>
      <c r="I395" s="149">
        <v>100</v>
      </c>
      <c r="J395" s="149">
        <v>100</v>
      </c>
      <c r="K395" s="149">
        <v>100</v>
      </c>
      <c r="L395" s="149">
        <v>98.1</v>
      </c>
      <c r="M395" s="149">
        <v>62.4</v>
      </c>
      <c r="N395" s="149">
        <v>37.299999999999997</v>
      </c>
      <c r="O395" s="149">
        <v>26.4</v>
      </c>
      <c r="P395" s="149">
        <v>16.7</v>
      </c>
      <c r="Q395" s="149">
        <v>11.7</v>
      </c>
      <c r="R395" s="149">
        <v>8.5</v>
      </c>
      <c r="S395" s="138">
        <v>2.7269999999999999</v>
      </c>
      <c r="T395" s="138">
        <v>2.6320000000000001</v>
      </c>
      <c r="U395" s="138">
        <f t="shared" si="55"/>
        <v>4.7671433810047702E-2</v>
      </c>
      <c r="V395" s="138">
        <f t="shared" si="56"/>
        <v>4.9392097264437697E-2</v>
      </c>
      <c r="AA395" s="158"/>
      <c r="AB395" s="138"/>
      <c r="AC395" s="139"/>
      <c r="AD395" s="138"/>
    </row>
    <row r="396" spans="1:32">
      <c r="A396" s="276"/>
      <c r="B396" s="276"/>
      <c r="C396" s="159" t="s">
        <v>99</v>
      </c>
      <c r="D396" s="157" t="s">
        <v>73</v>
      </c>
      <c r="E396" s="276"/>
      <c r="F396" s="129">
        <v>0.03</v>
      </c>
      <c r="G396" s="149">
        <v>100</v>
      </c>
      <c r="H396" s="149">
        <v>100</v>
      </c>
      <c r="I396" s="149">
        <v>100</v>
      </c>
      <c r="J396" s="149">
        <v>100</v>
      </c>
      <c r="K396" s="149">
        <v>100</v>
      </c>
      <c r="L396" s="149">
        <v>100</v>
      </c>
      <c r="M396" s="149">
        <v>100</v>
      </c>
      <c r="N396" s="149">
        <v>100</v>
      </c>
      <c r="O396" s="149">
        <v>100</v>
      </c>
      <c r="P396" s="149">
        <v>97.4</v>
      </c>
      <c r="Q396" s="149">
        <v>90.2</v>
      </c>
      <c r="R396" s="149">
        <v>78.2</v>
      </c>
      <c r="S396" s="138">
        <v>2.6789999999999998</v>
      </c>
      <c r="T396" s="138">
        <v>2.6789999999999998</v>
      </c>
      <c r="U396" s="138">
        <f t="shared" si="55"/>
        <v>7.2788353863381897E-3</v>
      </c>
      <c r="V396" s="138">
        <f t="shared" si="56"/>
        <v>7.2788353863381897E-3</v>
      </c>
      <c r="AC396" s="139"/>
      <c r="AD396" s="138"/>
    </row>
    <row r="397" spans="1:32" ht="14.4">
      <c r="A397" s="276"/>
      <c r="B397" s="276"/>
      <c r="C397" s="164" t="s">
        <v>81</v>
      </c>
      <c r="D397" s="157" t="s">
        <v>89</v>
      </c>
      <c r="E397" s="276"/>
      <c r="F397" s="129">
        <v>0</v>
      </c>
      <c r="G397" s="149">
        <v>100</v>
      </c>
      <c r="H397" s="149">
        <v>100</v>
      </c>
      <c r="I397" s="149">
        <v>100</v>
      </c>
      <c r="J397" s="149">
        <v>100</v>
      </c>
      <c r="K397" s="149">
        <v>100</v>
      </c>
      <c r="L397" s="149">
        <v>70.359936297776699</v>
      </c>
      <c r="M397" s="149">
        <v>8.4791666666666696</v>
      </c>
      <c r="N397" s="149">
        <v>4.50416666666667</v>
      </c>
      <c r="O397" s="149">
        <v>2.56666666666667</v>
      </c>
      <c r="P397" s="149">
        <v>1.8375000000000099</v>
      </c>
      <c r="Q397" s="149">
        <v>1.5875000000000099</v>
      </c>
      <c r="R397" s="149">
        <v>1.4208333333333401</v>
      </c>
      <c r="S397" s="138">
        <v>2.722</v>
      </c>
      <c r="T397" s="138">
        <v>2.6509999999999998</v>
      </c>
      <c r="U397" s="138">
        <f t="shared" si="55"/>
        <v>0</v>
      </c>
      <c r="V397" s="138">
        <f t="shared" si="56"/>
        <v>0</v>
      </c>
      <c r="AC397" s="2"/>
    </row>
    <row r="398" spans="1:32">
      <c r="A398" s="276"/>
      <c r="B398" s="276"/>
      <c r="C398" s="159" t="s">
        <v>82</v>
      </c>
      <c r="D398" s="157" t="s">
        <v>90</v>
      </c>
      <c r="E398" s="276"/>
      <c r="F398" s="129">
        <v>0</v>
      </c>
      <c r="G398" s="149">
        <v>100</v>
      </c>
      <c r="H398" s="149">
        <v>100</v>
      </c>
      <c r="I398" s="149">
        <v>100</v>
      </c>
      <c r="J398" s="149">
        <v>100</v>
      </c>
      <c r="K398" s="149">
        <v>100</v>
      </c>
      <c r="L398" s="149">
        <v>100</v>
      </c>
      <c r="M398" s="149">
        <v>81.364999999999995</v>
      </c>
      <c r="N398" s="149">
        <v>59.195</v>
      </c>
      <c r="O398" s="149">
        <v>34.704999999999998</v>
      </c>
      <c r="P398" s="149">
        <v>19.21</v>
      </c>
      <c r="Q398" s="149">
        <v>13.9</v>
      </c>
      <c r="R398" s="149">
        <v>11.54</v>
      </c>
      <c r="S398" s="138">
        <v>2.72</v>
      </c>
      <c r="T398" s="138">
        <v>2.65</v>
      </c>
      <c r="U398" s="138">
        <f t="shared" si="55"/>
        <v>0</v>
      </c>
      <c r="V398" s="138">
        <f t="shared" si="56"/>
        <v>0</v>
      </c>
    </row>
    <row r="399" spans="1:32" ht="14.4">
      <c r="A399" s="276"/>
      <c r="B399" s="276"/>
      <c r="C399" s="164" t="s">
        <v>74</v>
      </c>
      <c r="D399" s="157" t="s">
        <v>62</v>
      </c>
      <c r="E399" s="276">
        <v>0.5</v>
      </c>
      <c r="F399" s="129">
        <v>0.45</v>
      </c>
      <c r="G399" s="149">
        <v>100</v>
      </c>
      <c r="H399" s="149">
        <v>100</v>
      </c>
      <c r="I399" s="149">
        <v>98.7</v>
      </c>
      <c r="J399" s="149">
        <v>87.2</v>
      </c>
      <c r="K399" s="149">
        <v>52.7</v>
      </c>
      <c r="L399" s="149">
        <v>22.4</v>
      </c>
      <c r="M399" s="149">
        <v>16.100000000000001</v>
      </c>
      <c r="N399" s="149">
        <v>13.1</v>
      </c>
      <c r="O399" s="149">
        <v>11.4</v>
      </c>
      <c r="P399" s="149">
        <v>8.9</v>
      </c>
      <c r="Q399" s="149">
        <v>6.2</v>
      </c>
      <c r="R399" s="149">
        <v>3.7</v>
      </c>
      <c r="S399" s="138">
        <v>2.8570000000000002</v>
      </c>
      <c r="T399" s="138">
        <v>2.7450000000000001</v>
      </c>
      <c r="U399" s="138">
        <f>F399/S399*$E$425</f>
        <v>5.5127756387819402E-2</v>
      </c>
      <c r="V399" s="138">
        <f>F399/T399*$E$425</f>
        <v>5.7377049180327898E-2</v>
      </c>
      <c r="AC399" s="2"/>
      <c r="AE399" s="154">
        <v>3.85</v>
      </c>
    </row>
    <row r="400" spans="1:32">
      <c r="A400" s="276"/>
      <c r="B400" s="276"/>
      <c r="C400" s="159" t="s">
        <v>74</v>
      </c>
      <c r="D400" s="168" t="s">
        <v>63</v>
      </c>
      <c r="E400" s="276"/>
      <c r="F400" s="129">
        <v>0.3</v>
      </c>
      <c r="G400" s="149">
        <v>100</v>
      </c>
      <c r="H400" s="149">
        <v>100</v>
      </c>
      <c r="I400" s="149">
        <v>100</v>
      </c>
      <c r="J400" s="149">
        <v>100</v>
      </c>
      <c r="K400" s="149">
        <v>97.5</v>
      </c>
      <c r="L400" s="149">
        <v>42.1</v>
      </c>
      <c r="M400" s="149">
        <v>19.3</v>
      </c>
      <c r="N400" s="149">
        <v>14.7</v>
      </c>
      <c r="O400" s="149">
        <v>12.6</v>
      </c>
      <c r="P400" s="149">
        <v>9.3000000000000007</v>
      </c>
      <c r="Q400" s="149">
        <v>7.1</v>
      </c>
      <c r="R400" s="149">
        <v>4.8</v>
      </c>
      <c r="S400" s="138">
        <v>2.8570000000000002</v>
      </c>
      <c r="T400" s="138">
        <v>2.7450000000000001</v>
      </c>
      <c r="U400" s="138">
        <f t="shared" ref="U400:U401" si="58">F400/S400*$E$425</f>
        <v>3.6751837591879603E-2</v>
      </c>
      <c r="V400" s="138">
        <f t="shared" ref="V400:V401" si="59">F400/T400*$E$425</f>
        <v>3.8251366120218601E-2</v>
      </c>
      <c r="AC400" s="2"/>
      <c r="AE400" s="154">
        <v>4.47</v>
      </c>
    </row>
    <row r="401" spans="1:32">
      <c r="A401" s="276"/>
      <c r="B401" s="276"/>
      <c r="C401" s="159" t="s">
        <v>76</v>
      </c>
      <c r="D401" s="168" t="s">
        <v>65</v>
      </c>
      <c r="E401" s="276"/>
      <c r="F401" s="129">
        <v>0.25</v>
      </c>
      <c r="G401" s="149">
        <v>100</v>
      </c>
      <c r="H401" s="149">
        <v>100</v>
      </c>
      <c r="I401" s="149">
        <v>100</v>
      </c>
      <c r="J401" s="149">
        <v>100</v>
      </c>
      <c r="K401" s="149">
        <v>100</v>
      </c>
      <c r="L401" s="149">
        <v>95.5</v>
      </c>
      <c r="M401" s="149">
        <v>62.3</v>
      </c>
      <c r="N401" s="149">
        <v>44.7</v>
      </c>
      <c r="O401" s="149">
        <v>35.200000000000003</v>
      </c>
      <c r="P401" s="149">
        <v>25.1</v>
      </c>
      <c r="Q401" s="149">
        <v>15.6</v>
      </c>
      <c r="R401" s="149">
        <v>10.7</v>
      </c>
      <c r="S401" s="138">
        <v>2.863</v>
      </c>
      <c r="T401" s="138">
        <v>2.742</v>
      </c>
      <c r="U401" s="138">
        <f t="shared" si="58"/>
        <v>3.0562347188264099E-2</v>
      </c>
      <c r="V401" s="138">
        <f t="shared" si="59"/>
        <v>3.19110138584974E-2</v>
      </c>
      <c r="AC401" s="2"/>
      <c r="AE401" s="154">
        <v>7.23</v>
      </c>
    </row>
    <row r="402" spans="1:32" ht="14.4">
      <c r="A402" s="276"/>
      <c r="B402" s="276"/>
      <c r="C402"/>
      <c r="D402" s="157"/>
      <c r="F402" s="129" t="s">
        <v>240</v>
      </c>
      <c r="G402" s="149">
        <f>$E$29*($F$29*G393+$F$30*G394+$F$31*G395+$F$32*G396+$F$33*G397+$F$34*G398+$F$35*G399)+$E$36*($F$36*G400+$F$37*G401)</f>
        <v>100</v>
      </c>
      <c r="H402" s="149">
        <f>E393*(F393*H393+F394*H394+F395*H395+F396*H396+F397*H397+F398*H398)+E399*(F400*H400+F401*H401+F399*H399)</f>
        <v>98.05</v>
      </c>
      <c r="I402" s="149">
        <f>E393*(F393*I393+F394*I394+F395*I395+F396*I396+F397*I397+F398*I398)+E399*(F400*I400+F401*I401+F399*I399)</f>
        <v>89.627499999999998</v>
      </c>
      <c r="J402" s="149">
        <f>E393*(F393*J393+F394*J394+F395*J395+F396*J396+F397*J397+F398*J398)+E399*(F400*J400+F401*J401+F399*J399)</f>
        <v>75.64</v>
      </c>
      <c r="K402" s="149">
        <f>E393*(F393*K393+F394*K394+F395*K395+F396*K396+F397*K397+F398*K398)+E399*(F400*K400+F401*K401+F399*K399)</f>
        <v>59.016500000000001</v>
      </c>
      <c r="L402" s="149">
        <f>E393*(F393*L393+F394*L394+F395*L395+F396*L396+F397*L397+F398*L398)+E399*(F400*L400+F401*L401+F399*L399)</f>
        <v>35.352499999999999</v>
      </c>
      <c r="M402" s="149">
        <f>E393*(F393*M393+F394*M394+F395*M395+F396*M396+F397*M397+F398*M398)+E399*(F400*M400+F401*M401+F399*M399)</f>
        <v>22.318999999999999</v>
      </c>
      <c r="N402" s="149">
        <f>E393*(F393*N393+F394*N394+F395*N395+F396*N396+F397*N397+F398*N398)+E399*(F400*N400+F401*N401+F399*N399)</f>
        <v>16.244</v>
      </c>
      <c r="O402" s="149">
        <f>E393*(F393*O393+F394*O394+F395*O395+F396*O396+F397*O397+F398*O398)+E399*(F400*O400+F401*O401+F399*O399)</f>
        <v>13.269</v>
      </c>
      <c r="P402" s="149">
        <f>E393*(F393*P393+F394*P394+F395*P395+F396*P396+F397*P397+F398*P398)+E399*(F400*P400+F401*P401+F399*P399)</f>
        <v>9.94</v>
      </c>
      <c r="Q402" s="149">
        <f>E393*(F393*Q393+F394*Q394+F395*Q395+F396*Q396+F397*Q397+F398*Q398)+E399*(F400*Q400+F401*Q401+F399*Q399)</f>
        <v>7.2069999999999999</v>
      </c>
      <c r="R402" s="149">
        <f>E393*(F393*R393+F394*R394+F395*R395+F396*R396+F397*R397+F398*R398)+E399*(F400*R400+F401*R401+F399*R399)</f>
        <v>5.1870000000000003</v>
      </c>
      <c r="AC402" s="2"/>
    </row>
    <row r="403" spans="1:32" ht="14.4">
      <c r="A403" s="276"/>
      <c r="B403" s="276"/>
      <c r="C403"/>
      <c r="D403" s="157"/>
      <c r="F403" s="129" t="s">
        <v>241</v>
      </c>
      <c r="G403" s="149">
        <v>100</v>
      </c>
      <c r="H403" s="149">
        <v>100</v>
      </c>
      <c r="I403" s="149">
        <v>92</v>
      </c>
      <c r="J403" s="149">
        <v>80</v>
      </c>
      <c r="K403" s="149">
        <v>72</v>
      </c>
      <c r="L403" s="149">
        <v>56</v>
      </c>
      <c r="M403" s="149">
        <v>44</v>
      </c>
      <c r="N403" s="149">
        <v>33</v>
      </c>
      <c r="O403" s="149">
        <v>24</v>
      </c>
      <c r="P403" s="149">
        <v>17</v>
      </c>
      <c r="Q403" s="149">
        <v>13</v>
      </c>
      <c r="R403" s="149">
        <v>7</v>
      </c>
      <c r="AC403" s="2"/>
    </row>
    <row r="404" spans="1:32" ht="14.4">
      <c r="A404" s="276"/>
      <c r="B404" s="276"/>
      <c r="C404"/>
      <c r="D404" s="157"/>
      <c r="F404" s="129" t="s">
        <v>242</v>
      </c>
      <c r="G404" s="149">
        <f t="shared" ref="G404:R404" si="60">(G403+G405)/2</f>
        <v>100</v>
      </c>
      <c r="H404" s="149">
        <f t="shared" si="60"/>
        <v>95</v>
      </c>
      <c r="I404" s="149">
        <f t="shared" si="60"/>
        <v>85</v>
      </c>
      <c r="J404" s="149">
        <f t="shared" si="60"/>
        <v>71</v>
      </c>
      <c r="K404" s="149">
        <f t="shared" si="60"/>
        <v>61</v>
      </c>
      <c r="L404" s="149">
        <f t="shared" si="60"/>
        <v>41</v>
      </c>
      <c r="M404" s="149">
        <f t="shared" si="60"/>
        <v>30</v>
      </c>
      <c r="N404" s="149">
        <f t="shared" si="60"/>
        <v>22.5</v>
      </c>
      <c r="O404" s="149">
        <f t="shared" si="60"/>
        <v>16</v>
      </c>
      <c r="P404" s="149">
        <f t="shared" si="60"/>
        <v>11</v>
      </c>
      <c r="Q404" s="149">
        <f t="shared" si="60"/>
        <v>8.5</v>
      </c>
      <c r="R404" s="149">
        <f t="shared" si="60"/>
        <v>5</v>
      </c>
      <c r="AC404" s="2"/>
    </row>
    <row r="405" spans="1:32" ht="14.4">
      <c r="A405" s="276"/>
      <c r="B405" s="276"/>
      <c r="C405"/>
      <c r="D405" s="157"/>
      <c r="F405" s="129" t="s">
        <v>243</v>
      </c>
      <c r="G405" s="149">
        <v>100</v>
      </c>
      <c r="H405" s="149">
        <v>90</v>
      </c>
      <c r="I405" s="149">
        <v>78</v>
      </c>
      <c r="J405" s="149">
        <v>62</v>
      </c>
      <c r="K405" s="149">
        <v>50</v>
      </c>
      <c r="L405" s="149">
        <v>26</v>
      </c>
      <c r="M405" s="149">
        <v>16</v>
      </c>
      <c r="N405" s="149">
        <v>12</v>
      </c>
      <c r="O405" s="149">
        <v>8</v>
      </c>
      <c r="P405" s="149">
        <v>5</v>
      </c>
      <c r="Q405" s="149">
        <v>4</v>
      </c>
      <c r="R405" s="149">
        <v>3</v>
      </c>
      <c r="AC405" s="2"/>
    </row>
    <row r="406" spans="1:32">
      <c r="A406" s="276" t="s">
        <v>113</v>
      </c>
      <c r="B406" s="276" t="s">
        <v>260</v>
      </c>
      <c r="C406" s="159" t="s">
        <v>81</v>
      </c>
      <c r="D406" s="157" t="s">
        <v>62</v>
      </c>
      <c r="E406" s="276">
        <v>0.7</v>
      </c>
      <c r="F406" s="129">
        <v>0.55000000000000004</v>
      </c>
      <c r="G406" s="149">
        <v>100</v>
      </c>
      <c r="H406" s="149">
        <v>93.5</v>
      </c>
      <c r="I406" s="149">
        <v>66.400000000000006</v>
      </c>
      <c r="J406" s="149">
        <v>28.4</v>
      </c>
      <c r="K406" s="149">
        <v>1.7</v>
      </c>
      <c r="L406" s="149">
        <v>0.8</v>
      </c>
      <c r="M406" s="149">
        <v>0.8</v>
      </c>
      <c r="N406" s="149">
        <v>0.8</v>
      </c>
      <c r="O406" s="149">
        <v>0.8</v>
      </c>
      <c r="P406" s="149">
        <v>0.8</v>
      </c>
      <c r="Q406" s="149">
        <v>0.8</v>
      </c>
      <c r="R406" s="149">
        <v>0.8</v>
      </c>
      <c r="S406" s="138">
        <v>2.7709999999999999</v>
      </c>
      <c r="T406" s="138">
        <v>2.7010000000000001</v>
      </c>
      <c r="U406" s="138">
        <f>F406/S406*$E$419</f>
        <v>0.12901479610249</v>
      </c>
      <c r="V406" s="138">
        <f>F406/T406*$E$419</f>
        <v>0.13235838578304299</v>
      </c>
      <c r="W406" s="138">
        <f>1/SUM(U406:U414)</f>
        <v>2.7912241432092899</v>
      </c>
      <c r="X406" s="153">
        <v>0.4</v>
      </c>
      <c r="Y406" s="138">
        <f>0.033*X406*X406-0.2936*X406+0.9336</f>
        <v>0.82143999999999995</v>
      </c>
      <c r="Z406" s="138">
        <f>0.033*Y406*Y406-0.2936*Y406+0.9336</f>
        <v>0.71469241722879995</v>
      </c>
      <c r="AA406" s="158">
        <v>2.5404372312478301</v>
      </c>
      <c r="AB406" s="138">
        <f>1/SUM(V406:V414)</f>
        <v>2.70438401926548</v>
      </c>
      <c r="AC406" s="139">
        <v>4.2</v>
      </c>
      <c r="AD406" s="138">
        <f>100*AC406/(100+AC406)</f>
        <v>4.0307101727447199</v>
      </c>
      <c r="AF406" s="154">
        <f>AC406-E412*F412*AE412-E412*F413*AE413-E412*F414*AE414</f>
        <v>2.5836000000000001</v>
      </c>
    </row>
    <row r="407" spans="1:32">
      <c r="A407" s="276"/>
      <c r="B407" s="276"/>
      <c r="C407" s="159" t="s">
        <v>81</v>
      </c>
      <c r="D407" s="157" t="s">
        <v>63</v>
      </c>
      <c r="E407" s="276"/>
      <c r="F407" s="129">
        <v>0.25</v>
      </c>
      <c r="G407" s="149">
        <v>100</v>
      </c>
      <c r="H407" s="149">
        <v>100</v>
      </c>
      <c r="I407" s="149">
        <v>100</v>
      </c>
      <c r="J407" s="149">
        <v>100</v>
      </c>
      <c r="K407" s="149">
        <v>94.4</v>
      </c>
      <c r="L407" s="149">
        <v>6</v>
      </c>
      <c r="M407" s="149">
        <v>0.4</v>
      </c>
      <c r="N407" s="149">
        <v>0.4</v>
      </c>
      <c r="O407" s="149">
        <v>0.4</v>
      </c>
      <c r="P407" s="149">
        <v>0.4</v>
      </c>
      <c r="Q407" s="149">
        <v>0.4</v>
      </c>
      <c r="R407" s="149">
        <v>0.4</v>
      </c>
      <c r="S407" s="138">
        <v>2.7519999999999998</v>
      </c>
      <c r="T407" s="138">
        <v>2.6819999999999999</v>
      </c>
      <c r="U407" s="138">
        <f t="shared" ref="U407:U411" si="61">F407/S407*$E$419</f>
        <v>5.9047965116279098E-2</v>
      </c>
      <c r="V407" s="138">
        <f t="shared" ref="V407:V411" si="62">F407/T407*$E$419</f>
        <v>6.0589112602535397E-2</v>
      </c>
      <c r="W407" s="138"/>
      <c r="X407" s="138"/>
      <c r="Y407" s="151"/>
      <c r="Z407" s="151"/>
      <c r="AA407" s="158">
        <v>2.5435772345787</v>
      </c>
      <c r="AB407" s="138">
        <v>2.7013989342397098</v>
      </c>
      <c r="AC407" s="139">
        <v>4.2</v>
      </c>
      <c r="AD407" s="138">
        <f t="shared" ref="AD407:AD408" si="63">100*AC407/(100+AC407)</f>
        <v>4.0307101727447199</v>
      </c>
      <c r="AF407" s="154">
        <f>AC407-E412*F412*AE412-E412*F413*AE413-E412*F414*AE414</f>
        <v>2.5836000000000001</v>
      </c>
    </row>
    <row r="408" spans="1:32">
      <c r="A408" s="276"/>
      <c r="B408" s="276"/>
      <c r="C408" s="159" t="s">
        <v>82</v>
      </c>
      <c r="D408" s="157" t="s">
        <v>65</v>
      </c>
      <c r="E408" s="276"/>
      <c r="F408" s="130">
        <v>0.17</v>
      </c>
      <c r="G408" s="149">
        <v>100</v>
      </c>
      <c r="H408" s="149">
        <v>100</v>
      </c>
      <c r="I408" s="149">
        <v>100</v>
      </c>
      <c r="J408" s="149">
        <v>100</v>
      </c>
      <c r="K408" s="149">
        <v>100</v>
      </c>
      <c r="L408" s="149">
        <v>98.1</v>
      </c>
      <c r="M408" s="149">
        <v>62.4</v>
      </c>
      <c r="N408" s="149">
        <v>37.299999999999997</v>
      </c>
      <c r="O408" s="149">
        <v>26.4</v>
      </c>
      <c r="P408" s="149">
        <v>16.7</v>
      </c>
      <c r="Q408" s="149">
        <v>11.7</v>
      </c>
      <c r="R408" s="149">
        <v>8.5</v>
      </c>
      <c r="S408" s="138">
        <v>2.7269999999999999</v>
      </c>
      <c r="T408" s="138">
        <v>2.6320000000000001</v>
      </c>
      <c r="U408" s="138">
        <f t="shared" si="61"/>
        <v>4.0520718738540497E-2</v>
      </c>
      <c r="V408" s="138">
        <f t="shared" si="62"/>
        <v>4.1983282674771999E-2</v>
      </c>
      <c r="AA408" s="158">
        <v>2.5430253398428899</v>
      </c>
      <c r="AB408" s="138">
        <v>2.7013989342397098</v>
      </c>
      <c r="AC408" s="139">
        <v>4.2</v>
      </c>
      <c r="AD408" s="138">
        <f t="shared" si="63"/>
        <v>4.0307101727447199</v>
      </c>
      <c r="AF408" s="154">
        <f>AC408-E412*F412*AE412-E412*F413*AE413-E412*F414*AE414</f>
        <v>2.5836000000000001</v>
      </c>
    </row>
    <row r="409" spans="1:32">
      <c r="A409" s="276"/>
      <c r="B409" s="276"/>
      <c r="C409" s="159" t="s">
        <v>99</v>
      </c>
      <c r="D409" s="157" t="s">
        <v>73</v>
      </c>
      <c r="E409" s="276"/>
      <c r="F409" s="129">
        <v>0.03</v>
      </c>
      <c r="G409" s="149">
        <v>100</v>
      </c>
      <c r="H409" s="149">
        <v>100</v>
      </c>
      <c r="I409" s="149">
        <v>100</v>
      </c>
      <c r="J409" s="149">
        <v>100</v>
      </c>
      <c r="K409" s="149">
        <v>100</v>
      </c>
      <c r="L409" s="149">
        <v>100</v>
      </c>
      <c r="M409" s="149">
        <v>100</v>
      </c>
      <c r="N409" s="149">
        <v>100</v>
      </c>
      <c r="O409" s="149">
        <v>100</v>
      </c>
      <c r="P409" s="149">
        <v>97.4</v>
      </c>
      <c r="Q409" s="149">
        <v>90.2</v>
      </c>
      <c r="R409" s="149">
        <v>78.2</v>
      </c>
      <c r="S409" s="138">
        <v>2.6789999999999998</v>
      </c>
      <c r="T409" s="138">
        <v>2.6789999999999998</v>
      </c>
      <c r="U409" s="138">
        <f t="shared" si="61"/>
        <v>7.2788353863381897E-3</v>
      </c>
      <c r="V409" s="138">
        <f t="shared" si="62"/>
        <v>7.2788353863381897E-3</v>
      </c>
      <c r="AC409" s="139"/>
      <c r="AD409" s="138"/>
    </row>
    <row r="410" spans="1:32" ht="14.4">
      <c r="A410" s="276"/>
      <c r="B410" s="276"/>
      <c r="C410" s="164" t="s">
        <v>81</v>
      </c>
      <c r="D410" s="157" t="s">
        <v>89</v>
      </c>
      <c r="E410" s="276"/>
      <c r="F410" s="129">
        <v>0</v>
      </c>
      <c r="G410" s="149">
        <v>100</v>
      </c>
      <c r="H410" s="149">
        <v>100</v>
      </c>
      <c r="I410" s="149">
        <v>100</v>
      </c>
      <c r="J410" s="149">
        <v>100</v>
      </c>
      <c r="K410" s="149">
        <v>100</v>
      </c>
      <c r="L410" s="149">
        <v>70.359936297776699</v>
      </c>
      <c r="M410" s="149">
        <v>8.4791666666666696</v>
      </c>
      <c r="N410" s="149">
        <v>4.50416666666667</v>
      </c>
      <c r="O410" s="149">
        <v>2.56666666666667</v>
      </c>
      <c r="P410" s="149">
        <v>1.8375000000000099</v>
      </c>
      <c r="Q410" s="149">
        <v>1.5875000000000099</v>
      </c>
      <c r="R410" s="149">
        <v>1.4208333333333401</v>
      </c>
      <c r="S410" s="138">
        <v>2.722</v>
      </c>
      <c r="T410" s="138">
        <v>2.6509999999999998</v>
      </c>
      <c r="U410" s="138">
        <f t="shared" si="61"/>
        <v>0</v>
      </c>
      <c r="V410" s="138">
        <f t="shared" si="62"/>
        <v>0</v>
      </c>
      <c r="AC410" s="2"/>
    </row>
    <row r="411" spans="1:32">
      <c r="A411" s="276"/>
      <c r="B411" s="276"/>
      <c r="C411" s="159" t="s">
        <v>82</v>
      </c>
      <c r="D411" s="157" t="s">
        <v>90</v>
      </c>
      <c r="E411" s="276"/>
      <c r="F411" s="129">
        <v>0</v>
      </c>
      <c r="G411" s="149">
        <v>100</v>
      </c>
      <c r="H411" s="149">
        <v>100</v>
      </c>
      <c r="I411" s="149">
        <v>100</v>
      </c>
      <c r="J411" s="149">
        <v>100</v>
      </c>
      <c r="K411" s="149">
        <v>100</v>
      </c>
      <c r="L411" s="149">
        <v>100</v>
      </c>
      <c r="M411" s="149">
        <v>81.364999999999995</v>
      </c>
      <c r="N411" s="149">
        <v>59.195</v>
      </c>
      <c r="O411" s="149">
        <v>34.704999999999998</v>
      </c>
      <c r="P411" s="149">
        <v>19.21</v>
      </c>
      <c r="Q411" s="149">
        <v>13.9</v>
      </c>
      <c r="R411" s="149">
        <v>11.54</v>
      </c>
      <c r="S411" s="138">
        <v>2.72</v>
      </c>
      <c r="T411" s="138">
        <v>2.65</v>
      </c>
      <c r="U411" s="138">
        <f t="shared" si="61"/>
        <v>0</v>
      </c>
      <c r="V411" s="138">
        <f t="shared" si="62"/>
        <v>0</v>
      </c>
    </row>
    <row r="412" spans="1:32" ht="14.4">
      <c r="A412" s="276"/>
      <c r="B412" s="276"/>
      <c r="C412" s="164" t="s">
        <v>74</v>
      </c>
      <c r="D412" s="157" t="s">
        <v>62</v>
      </c>
      <c r="E412" s="276">
        <v>0.3</v>
      </c>
      <c r="F412" s="129">
        <v>0.3</v>
      </c>
      <c r="G412" s="149">
        <v>100</v>
      </c>
      <c r="H412" s="149">
        <v>100</v>
      </c>
      <c r="I412" s="149">
        <v>98.7</v>
      </c>
      <c r="J412" s="149">
        <v>87.2</v>
      </c>
      <c r="K412" s="149">
        <v>52.7</v>
      </c>
      <c r="L412" s="149">
        <v>22.4</v>
      </c>
      <c r="M412" s="149">
        <v>16.100000000000001</v>
      </c>
      <c r="N412" s="149">
        <v>13.1</v>
      </c>
      <c r="O412" s="149">
        <v>11.4</v>
      </c>
      <c r="P412" s="149">
        <v>8.9</v>
      </c>
      <c r="Q412" s="149">
        <v>6.2</v>
      </c>
      <c r="R412" s="149">
        <v>3.7</v>
      </c>
      <c r="S412" s="138">
        <v>2.8570000000000002</v>
      </c>
      <c r="T412" s="138">
        <v>2.7450000000000001</v>
      </c>
      <c r="U412" s="138">
        <f>F412/S412*$E$425</f>
        <v>3.6751837591879603E-2</v>
      </c>
      <c r="V412" s="138">
        <f>F412/T412*$E$425</f>
        <v>3.8251366120218601E-2</v>
      </c>
      <c r="AC412" s="2"/>
      <c r="AE412" s="154">
        <v>3.85</v>
      </c>
    </row>
    <row r="413" spans="1:32">
      <c r="A413" s="276"/>
      <c r="B413" s="276"/>
      <c r="C413" s="159" t="s">
        <v>74</v>
      </c>
      <c r="D413" s="168" t="s">
        <v>63</v>
      </c>
      <c r="E413" s="276"/>
      <c r="F413" s="129">
        <v>0.3</v>
      </c>
      <c r="G413" s="149">
        <v>100</v>
      </c>
      <c r="H413" s="149">
        <v>100</v>
      </c>
      <c r="I413" s="149">
        <v>100</v>
      </c>
      <c r="J413" s="149">
        <v>100</v>
      </c>
      <c r="K413" s="149">
        <v>97.5</v>
      </c>
      <c r="L413" s="149">
        <v>42.1</v>
      </c>
      <c r="M413" s="149">
        <v>19.3</v>
      </c>
      <c r="N413" s="149">
        <v>14.7</v>
      </c>
      <c r="O413" s="149">
        <v>12.6</v>
      </c>
      <c r="P413" s="149">
        <v>9.3000000000000007</v>
      </c>
      <c r="Q413" s="149">
        <v>7.1</v>
      </c>
      <c r="R413" s="149">
        <v>4.8</v>
      </c>
      <c r="S413" s="138">
        <v>2.8570000000000002</v>
      </c>
      <c r="T413" s="138">
        <v>2.7450000000000001</v>
      </c>
      <c r="U413" s="138">
        <f t="shared" ref="U413:U414" si="64">F413/S413*$E$425</f>
        <v>3.6751837591879603E-2</v>
      </c>
      <c r="V413" s="138">
        <f t="shared" ref="V413:V414" si="65">F413/T413*$E$425</f>
        <v>3.8251366120218601E-2</v>
      </c>
      <c r="AC413" s="2"/>
      <c r="AE413" s="154">
        <v>4.47</v>
      </c>
    </row>
    <row r="414" spans="1:32">
      <c r="A414" s="276"/>
      <c r="B414" s="276"/>
      <c r="C414" s="159" t="s">
        <v>76</v>
      </c>
      <c r="D414" s="168" t="s">
        <v>65</v>
      </c>
      <c r="E414" s="276"/>
      <c r="F414" s="129">
        <v>0.4</v>
      </c>
      <c r="G414" s="149">
        <v>100</v>
      </c>
      <c r="H414" s="149">
        <v>100</v>
      </c>
      <c r="I414" s="149">
        <v>100</v>
      </c>
      <c r="J414" s="149">
        <v>100</v>
      </c>
      <c r="K414" s="149">
        <v>100</v>
      </c>
      <c r="L414" s="149">
        <v>95.5</v>
      </c>
      <c r="M414" s="149">
        <v>62.3</v>
      </c>
      <c r="N414" s="149">
        <v>44.7</v>
      </c>
      <c r="O414" s="149">
        <v>35.200000000000003</v>
      </c>
      <c r="P414" s="149">
        <v>25.1</v>
      </c>
      <c r="Q414" s="149">
        <v>15.6</v>
      </c>
      <c r="R414" s="149">
        <v>10.7</v>
      </c>
      <c r="S414" s="138">
        <v>2.863</v>
      </c>
      <c r="T414" s="138">
        <v>2.742</v>
      </c>
      <c r="U414" s="138">
        <f t="shared" si="64"/>
        <v>4.8899755501222497E-2</v>
      </c>
      <c r="V414" s="138">
        <f t="shared" si="65"/>
        <v>5.1057622173595898E-2</v>
      </c>
      <c r="AC414" s="2"/>
      <c r="AE414" s="154">
        <v>7.23</v>
      </c>
    </row>
    <row r="415" spans="1:32" ht="14.4">
      <c r="A415" s="276"/>
      <c r="B415" s="276"/>
      <c r="C415"/>
      <c r="D415" s="157"/>
      <c r="F415" s="129" t="s">
        <v>240</v>
      </c>
      <c r="G415" s="149">
        <f>$E$29*($F$29*G406+$F$30*G407+$F$31*G408+$F$32*G409+$F$33*G410+$F$34*G411+$F$35*G412)+$E$36*($F$36*G413+$F$37*G414)</f>
        <v>100</v>
      </c>
      <c r="H415" s="149">
        <f>E406*(F406*H406+F407*H407+F408*H408+F409*H409+F410*H410+F411*H411)+E412*(F413*H413+F414*H414+F412*H412)</f>
        <v>97.497500000000002</v>
      </c>
      <c r="I415" s="149">
        <f>E406*(F406*I406+F407*I407+F408*I408+F409*I409+F410*I410+F411*I411)+E412*(F413*I413+F414*I414+F412*I412)</f>
        <v>86.947000000000003</v>
      </c>
      <c r="J415" s="149">
        <f>E406*(F406*J406+F407*J407+F408*J408+F409*J409+F410*J410+F411*J411)+E412*(F413*J413+F414*J414+F412*J412)</f>
        <v>71.281999999999996</v>
      </c>
      <c r="K415" s="149">
        <f>E406*(F406*K406+F407*K407+F408*K408+F409*K409+F410*K410+F411*K411)+E412*(F413*K413+F414*K414+F412*K412)</f>
        <v>56.692500000000003</v>
      </c>
      <c r="L415" s="149">
        <f>E406*(F406*L406+F407*L407+F408*L408+F409*L409+F410*L410+F411*L411)+E412*(F413*L413+F414*L414+F412*L412)</f>
        <v>32.396900000000002</v>
      </c>
      <c r="M415" s="149">
        <f>E406*(F406*M406+F407*M407+F408*M408+F409*M409+F410*M410+F411*M411)+E412*(F413*M413+F414*M414+F412*M412)</f>
        <v>20.5656</v>
      </c>
      <c r="N415" s="149">
        <f>E406*(F406*N406+F407*N407+F408*N408+F409*N409+F410*N410+F411*N411)+E412*(F413*N413+F414*N414+F412*N412)</f>
        <v>14.7827</v>
      </c>
      <c r="O415" s="149">
        <f>E406*(F406*O406+F407*O407+F408*O408+F409*O409+F410*O410+F411*O411)+E412*(F413*O413+F414*O414+F412*O412)</f>
        <v>12.0036</v>
      </c>
      <c r="P415" s="149">
        <f>E406*(F406*P406+F407*P407+F408*P408+F409*P409+F410*P410+F411*P411)+E412*(F413*P413+F414*P414+F412*P412)</f>
        <v>9.0607000000000006</v>
      </c>
      <c r="Q415" s="149">
        <f>E406*(F406*Q406+F407*Q407+F408*Q408+F409*Q409+F410*Q410+F411*Q411)+E412*(F413*Q413+F414*Q414+F412*Q412)</f>
        <v>6.7335000000000003</v>
      </c>
      <c r="R415" s="149">
        <f>E406*(F406*R406+F407*R407+F408*R408+F409*R409+F410*R410+F411*R411)+E412*(F413*R413+F414*R414+F412*R412)</f>
        <v>5.0807000000000002</v>
      </c>
      <c r="AC415" s="2"/>
    </row>
    <row r="416" spans="1:32" ht="14.4">
      <c r="A416" s="276"/>
      <c r="B416" s="276"/>
      <c r="C416"/>
      <c r="D416" s="157"/>
      <c r="F416" s="129" t="s">
        <v>241</v>
      </c>
      <c r="G416" s="149">
        <v>100</v>
      </c>
      <c r="H416" s="149">
        <v>100</v>
      </c>
      <c r="I416" s="149">
        <v>92</v>
      </c>
      <c r="J416" s="149">
        <v>80</v>
      </c>
      <c r="K416" s="149">
        <v>72</v>
      </c>
      <c r="L416" s="149">
        <v>56</v>
      </c>
      <c r="M416" s="149">
        <v>44</v>
      </c>
      <c r="N416" s="149">
        <v>33</v>
      </c>
      <c r="O416" s="149">
        <v>24</v>
      </c>
      <c r="P416" s="149">
        <v>17</v>
      </c>
      <c r="Q416" s="149">
        <v>13</v>
      </c>
      <c r="R416" s="149">
        <v>7</v>
      </c>
      <c r="AC416" s="2"/>
    </row>
    <row r="417" spans="1:32" ht="14.4">
      <c r="A417" s="276"/>
      <c r="B417" s="276"/>
      <c r="C417"/>
      <c r="D417" s="157"/>
      <c r="F417" s="129" t="s">
        <v>242</v>
      </c>
      <c r="G417" s="149">
        <f t="shared" ref="G417:R417" si="66">(G416+G418)/2</f>
        <v>100</v>
      </c>
      <c r="H417" s="149">
        <f t="shared" si="66"/>
        <v>95</v>
      </c>
      <c r="I417" s="149">
        <f t="shared" si="66"/>
        <v>85</v>
      </c>
      <c r="J417" s="149">
        <f t="shared" si="66"/>
        <v>71</v>
      </c>
      <c r="K417" s="149">
        <f t="shared" si="66"/>
        <v>61</v>
      </c>
      <c r="L417" s="149">
        <f t="shared" si="66"/>
        <v>41</v>
      </c>
      <c r="M417" s="149">
        <f t="shared" si="66"/>
        <v>30</v>
      </c>
      <c r="N417" s="149">
        <f t="shared" si="66"/>
        <v>22.5</v>
      </c>
      <c r="O417" s="149">
        <f t="shared" si="66"/>
        <v>16</v>
      </c>
      <c r="P417" s="149">
        <f t="shared" si="66"/>
        <v>11</v>
      </c>
      <c r="Q417" s="149">
        <f t="shared" si="66"/>
        <v>8.5</v>
      </c>
      <c r="R417" s="149">
        <f t="shared" si="66"/>
        <v>5</v>
      </c>
      <c r="AC417" s="2"/>
    </row>
    <row r="418" spans="1:32" ht="14.4">
      <c r="A418" s="276"/>
      <c r="B418" s="276"/>
      <c r="C418"/>
      <c r="D418" s="157"/>
      <c r="F418" s="129" t="s">
        <v>243</v>
      </c>
      <c r="G418" s="149">
        <v>100</v>
      </c>
      <c r="H418" s="149">
        <v>90</v>
      </c>
      <c r="I418" s="149">
        <v>78</v>
      </c>
      <c r="J418" s="149">
        <v>62</v>
      </c>
      <c r="K418" s="149">
        <v>50</v>
      </c>
      <c r="L418" s="149">
        <v>26</v>
      </c>
      <c r="M418" s="149">
        <v>16</v>
      </c>
      <c r="N418" s="149">
        <v>12</v>
      </c>
      <c r="O418" s="149">
        <v>8</v>
      </c>
      <c r="P418" s="149">
        <v>5</v>
      </c>
      <c r="Q418" s="149">
        <v>4</v>
      </c>
      <c r="R418" s="149">
        <v>3</v>
      </c>
      <c r="AC418" s="2"/>
    </row>
    <row r="419" spans="1:32">
      <c r="A419" s="276" t="s">
        <v>113</v>
      </c>
      <c r="B419" s="276" t="s">
        <v>261</v>
      </c>
      <c r="C419" s="159" t="s">
        <v>81</v>
      </c>
      <c r="D419" s="157" t="s">
        <v>62</v>
      </c>
      <c r="E419" s="276">
        <v>0.65</v>
      </c>
      <c r="F419" s="129">
        <v>0.55000000000000004</v>
      </c>
      <c r="G419" s="149">
        <v>100</v>
      </c>
      <c r="H419" s="149">
        <v>93.5</v>
      </c>
      <c r="I419" s="149">
        <v>66.400000000000006</v>
      </c>
      <c r="J419" s="149">
        <v>28.4</v>
      </c>
      <c r="K419" s="149">
        <v>1.7</v>
      </c>
      <c r="L419" s="149">
        <v>0.8</v>
      </c>
      <c r="M419" s="149">
        <v>0.8</v>
      </c>
      <c r="N419" s="149">
        <v>0.8</v>
      </c>
      <c r="O419" s="149">
        <v>0.8</v>
      </c>
      <c r="P419" s="149">
        <v>0.8</v>
      </c>
      <c r="Q419" s="149">
        <v>0.8</v>
      </c>
      <c r="R419" s="149">
        <v>0.8</v>
      </c>
      <c r="S419" s="138">
        <v>2.7709999999999999</v>
      </c>
      <c r="T419" s="138">
        <v>2.7010000000000001</v>
      </c>
      <c r="U419" s="138">
        <f>F419/S419*$E$419</f>
        <v>0.12901479610249</v>
      </c>
      <c r="V419" s="138">
        <f>F419/T419*$E$419</f>
        <v>0.13235838578304299</v>
      </c>
      <c r="W419" s="138">
        <f>1/SUM(U419:U427)</f>
        <v>2.7898752136354301</v>
      </c>
      <c r="X419" s="153">
        <v>0.4</v>
      </c>
      <c r="Y419" s="138">
        <f>0.033*X419*X419-0.2936*X419+0.9336</f>
        <v>0.82143999999999995</v>
      </c>
      <c r="Z419" s="138">
        <f>0.033*Y419*Y419-0.2936*Y419+0.9336</f>
        <v>0.71469241722879995</v>
      </c>
      <c r="AA419" s="158">
        <v>2.5478749702353798</v>
      </c>
      <c r="AB419" s="138">
        <f>1/SUM(V419:V427)</f>
        <v>2.70169289946395</v>
      </c>
      <c r="AC419" s="139">
        <v>4.2</v>
      </c>
      <c r="AD419" s="138">
        <f>100*AC419/(100+AC419)</f>
        <v>4.0307101727447199</v>
      </c>
      <c r="AF419" s="154">
        <f>AC419-E425*F425*AE425-E425*F426*AE426-E425*F427*AE427</f>
        <v>2.3142</v>
      </c>
    </row>
    <row r="420" spans="1:32">
      <c r="A420" s="276"/>
      <c r="B420" s="276"/>
      <c r="C420" s="159" t="s">
        <v>81</v>
      </c>
      <c r="D420" s="157" t="s">
        <v>63</v>
      </c>
      <c r="E420" s="276"/>
      <c r="F420" s="129">
        <v>0.17</v>
      </c>
      <c r="G420" s="149">
        <v>100</v>
      </c>
      <c r="H420" s="149">
        <v>100</v>
      </c>
      <c r="I420" s="149">
        <v>100</v>
      </c>
      <c r="J420" s="149">
        <v>100</v>
      </c>
      <c r="K420" s="149">
        <v>94.4</v>
      </c>
      <c r="L420" s="149">
        <v>6</v>
      </c>
      <c r="M420" s="149">
        <v>0.4</v>
      </c>
      <c r="N420" s="149">
        <v>0.4</v>
      </c>
      <c r="O420" s="149">
        <v>0.4</v>
      </c>
      <c r="P420" s="149">
        <v>0.4</v>
      </c>
      <c r="Q420" s="149">
        <v>0.4</v>
      </c>
      <c r="R420" s="149">
        <v>0.4</v>
      </c>
      <c r="S420" s="138">
        <v>2.7519999999999998</v>
      </c>
      <c r="T420" s="138">
        <v>2.6819999999999999</v>
      </c>
      <c r="U420" s="138">
        <f t="shared" ref="U420:U424" si="67">F420/S420*$E$419</f>
        <v>4.0152616279069797E-2</v>
      </c>
      <c r="V420" s="138">
        <f t="shared" ref="V420:V424" si="68">F420/T420*$E$419</f>
        <v>4.12005965697241E-2</v>
      </c>
      <c r="W420" s="138"/>
      <c r="X420" s="138"/>
      <c r="Y420" s="151"/>
      <c r="Z420" s="151"/>
      <c r="AA420" s="158"/>
      <c r="AB420" s="138"/>
      <c r="AC420" s="139"/>
      <c r="AD420" s="138"/>
    </row>
    <row r="421" spans="1:32">
      <c r="A421" s="276"/>
      <c r="B421" s="276"/>
      <c r="C421" s="159" t="s">
        <v>82</v>
      </c>
      <c r="D421" s="157" t="s">
        <v>65</v>
      </c>
      <c r="E421" s="276"/>
      <c r="F421" s="130">
        <v>0.25</v>
      </c>
      <c r="G421" s="149">
        <v>100</v>
      </c>
      <c r="H421" s="149">
        <v>100</v>
      </c>
      <c r="I421" s="149">
        <v>100</v>
      </c>
      <c r="J421" s="149">
        <v>100</v>
      </c>
      <c r="K421" s="149">
        <v>100</v>
      </c>
      <c r="L421" s="149">
        <v>98.1</v>
      </c>
      <c r="M421" s="149">
        <v>62.4</v>
      </c>
      <c r="N421" s="149">
        <v>37.299999999999997</v>
      </c>
      <c r="O421" s="149">
        <v>26.4</v>
      </c>
      <c r="P421" s="149">
        <v>16.7</v>
      </c>
      <c r="Q421" s="149">
        <v>11.7</v>
      </c>
      <c r="R421" s="149">
        <v>8.5</v>
      </c>
      <c r="S421" s="138">
        <v>2.7269999999999999</v>
      </c>
      <c r="T421" s="138">
        <v>2.6320000000000001</v>
      </c>
      <c r="U421" s="138">
        <f t="shared" si="67"/>
        <v>5.9589292262559601E-2</v>
      </c>
      <c r="V421" s="138">
        <f t="shared" si="68"/>
        <v>6.1740121580547098E-2</v>
      </c>
      <c r="AA421" s="158"/>
      <c r="AB421" s="138"/>
      <c r="AC421" s="139"/>
      <c r="AD421" s="138"/>
    </row>
    <row r="422" spans="1:32">
      <c r="A422" s="276"/>
      <c r="B422" s="276"/>
      <c r="C422" s="159" t="s">
        <v>99</v>
      </c>
      <c r="D422" s="157" t="s">
        <v>73</v>
      </c>
      <c r="E422" s="276"/>
      <c r="F422" s="129">
        <v>0.03</v>
      </c>
      <c r="G422" s="149">
        <v>100</v>
      </c>
      <c r="H422" s="149">
        <v>100</v>
      </c>
      <c r="I422" s="149">
        <v>100</v>
      </c>
      <c r="J422" s="149">
        <v>100</v>
      </c>
      <c r="K422" s="149">
        <v>100</v>
      </c>
      <c r="L422" s="149">
        <v>100</v>
      </c>
      <c r="M422" s="149">
        <v>100</v>
      </c>
      <c r="N422" s="149">
        <v>100</v>
      </c>
      <c r="O422" s="149">
        <v>100</v>
      </c>
      <c r="P422" s="149">
        <v>97.4</v>
      </c>
      <c r="Q422" s="149">
        <v>90.2</v>
      </c>
      <c r="R422" s="149">
        <v>78.2</v>
      </c>
      <c r="S422" s="138">
        <v>2.6789999999999998</v>
      </c>
      <c r="T422" s="138">
        <v>2.6789999999999998</v>
      </c>
      <c r="U422" s="138">
        <f t="shared" si="67"/>
        <v>7.2788353863381897E-3</v>
      </c>
      <c r="V422" s="138">
        <f t="shared" si="68"/>
        <v>7.2788353863381897E-3</v>
      </c>
      <c r="AC422" s="139"/>
      <c r="AD422" s="138"/>
    </row>
    <row r="423" spans="1:32" ht="14.4">
      <c r="A423" s="276"/>
      <c r="B423" s="276"/>
      <c r="C423" s="164" t="s">
        <v>81</v>
      </c>
      <c r="D423" s="157" t="s">
        <v>89</v>
      </c>
      <c r="E423" s="276"/>
      <c r="F423" s="129">
        <v>0</v>
      </c>
      <c r="G423" s="149">
        <v>100</v>
      </c>
      <c r="H423" s="149">
        <v>100</v>
      </c>
      <c r="I423" s="149">
        <v>100</v>
      </c>
      <c r="J423" s="149">
        <v>100</v>
      </c>
      <c r="K423" s="149">
        <v>100</v>
      </c>
      <c r="L423" s="149">
        <v>70.359936297776699</v>
      </c>
      <c r="M423" s="149">
        <v>8.4791666666666696</v>
      </c>
      <c r="N423" s="149">
        <v>4.50416666666667</v>
      </c>
      <c r="O423" s="149">
        <v>2.56666666666667</v>
      </c>
      <c r="P423" s="149">
        <v>1.8375000000000099</v>
      </c>
      <c r="Q423" s="149">
        <v>1.5875000000000099</v>
      </c>
      <c r="R423" s="149">
        <v>1.4208333333333401</v>
      </c>
      <c r="S423" s="138">
        <v>2.722</v>
      </c>
      <c r="T423" s="138">
        <v>2.6509999999999998</v>
      </c>
      <c r="U423" s="138">
        <f t="shared" si="67"/>
        <v>0</v>
      </c>
      <c r="V423" s="138">
        <f t="shared" si="68"/>
        <v>0</v>
      </c>
      <c r="AC423" s="2"/>
    </row>
    <row r="424" spans="1:32">
      <c r="A424" s="276"/>
      <c r="B424" s="276"/>
      <c r="C424" s="159" t="s">
        <v>82</v>
      </c>
      <c r="D424" s="157" t="s">
        <v>90</v>
      </c>
      <c r="E424" s="276"/>
      <c r="F424" s="129">
        <v>0</v>
      </c>
      <c r="G424" s="149">
        <v>100</v>
      </c>
      <c r="H424" s="149">
        <v>100</v>
      </c>
      <c r="I424" s="149">
        <v>100</v>
      </c>
      <c r="J424" s="149">
        <v>100</v>
      </c>
      <c r="K424" s="149">
        <v>100</v>
      </c>
      <c r="L424" s="149">
        <v>100</v>
      </c>
      <c r="M424" s="149">
        <v>81.364999999999995</v>
      </c>
      <c r="N424" s="149">
        <v>59.195</v>
      </c>
      <c r="O424" s="149">
        <v>34.704999999999998</v>
      </c>
      <c r="P424" s="149">
        <v>19.21</v>
      </c>
      <c r="Q424" s="149">
        <v>13.9</v>
      </c>
      <c r="R424" s="149">
        <v>11.54</v>
      </c>
      <c r="S424" s="138">
        <v>2.72</v>
      </c>
      <c r="T424" s="138">
        <v>2.65</v>
      </c>
      <c r="U424" s="138">
        <f t="shared" si="67"/>
        <v>0</v>
      </c>
      <c r="V424" s="138">
        <f t="shared" si="68"/>
        <v>0</v>
      </c>
    </row>
    <row r="425" spans="1:32" ht="14.4">
      <c r="A425" s="276"/>
      <c r="B425" s="276"/>
      <c r="C425" s="164" t="s">
        <v>74</v>
      </c>
      <c r="D425" s="157" t="s">
        <v>62</v>
      </c>
      <c r="E425" s="276">
        <v>0.35</v>
      </c>
      <c r="F425" s="129">
        <v>0.3</v>
      </c>
      <c r="G425" s="149">
        <v>100</v>
      </c>
      <c r="H425" s="149">
        <v>100</v>
      </c>
      <c r="I425" s="149">
        <v>98.7</v>
      </c>
      <c r="J425" s="149">
        <v>87.2</v>
      </c>
      <c r="K425" s="149">
        <v>52.7</v>
      </c>
      <c r="L425" s="149">
        <v>22.4</v>
      </c>
      <c r="M425" s="149">
        <v>16.100000000000001</v>
      </c>
      <c r="N425" s="149">
        <v>13.1</v>
      </c>
      <c r="O425" s="149">
        <v>11.4</v>
      </c>
      <c r="P425" s="149">
        <v>8.9</v>
      </c>
      <c r="Q425" s="149">
        <v>6.2</v>
      </c>
      <c r="R425" s="149">
        <v>3.7</v>
      </c>
      <c r="S425" s="138">
        <v>2.8570000000000002</v>
      </c>
      <c r="T425" s="138">
        <v>2.7450000000000001</v>
      </c>
      <c r="U425" s="138">
        <f>F425/S425*$E$425</f>
        <v>3.6751837591879603E-2</v>
      </c>
      <c r="V425" s="138">
        <f>F425/T425*$E$425</f>
        <v>3.8251366120218601E-2</v>
      </c>
      <c r="AC425" s="2"/>
      <c r="AE425" s="154">
        <v>3.85</v>
      </c>
    </row>
    <row r="426" spans="1:32">
      <c r="A426" s="276"/>
      <c r="B426" s="276"/>
      <c r="C426" s="159" t="s">
        <v>74</v>
      </c>
      <c r="D426" s="168" t="s">
        <v>63</v>
      </c>
      <c r="E426" s="276"/>
      <c r="F426" s="129">
        <v>0.3</v>
      </c>
      <c r="G426" s="149">
        <v>100</v>
      </c>
      <c r="H426" s="149">
        <v>100</v>
      </c>
      <c r="I426" s="149">
        <v>100</v>
      </c>
      <c r="J426" s="149">
        <v>100</v>
      </c>
      <c r="K426" s="149">
        <v>97.5</v>
      </c>
      <c r="L426" s="149">
        <v>42.1</v>
      </c>
      <c r="M426" s="149">
        <v>19.3</v>
      </c>
      <c r="N426" s="149">
        <v>14.7</v>
      </c>
      <c r="O426" s="149">
        <v>12.6</v>
      </c>
      <c r="P426" s="149">
        <v>9.3000000000000007</v>
      </c>
      <c r="Q426" s="149">
        <v>7.1</v>
      </c>
      <c r="R426" s="149">
        <v>4.8</v>
      </c>
      <c r="S426" s="138">
        <v>2.8570000000000002</v>
      </c>
      <c r="T426" s="138">
        <v>2.7450000000000001</v>
      </c>
      <c r="U426" s="138">
        <f t="shared" ref="U426:U427" si="69">F426/S426*$E$425</f>
        <v>3.6751837591879603E-2</v>
      </c>
      <c r="V426" s="138">
        <f t="shared" ref="V426:V427" si="70">F426/T426*$E$425</f>
        <v>3.8251366120218601E-2</v>
      </c>
      <c r="AC426" s="2"/>
      <c r="AE426" s="154">
        <v>4.47</v>
      </c>
    </row>
    <row r="427" spans="1:32">
      <c r="A427" s="276"/>
      <c r="B427" s="276"/>
      <c r="C427" s="159" t="s">
        <v>76</v>
      </c>
      <c r="D427" s="168" t="s">
        <v>65</v>
      </c>
      <c r="E427" s="276"/>
      <c r="F427" s="129">
        <v>0.4</v>
      </c>
      <c r="G427" s="149">
        <v>100</v>
      </c>
      <c r="H427" s="149">
        <v>100</v>
      </c>
      <c r="I427" s="149">
        <v>100</v>
      </c>
      <c r="J427" s="149">
        <v>100</v>
      </c>
      <c r="K427" s="149">
        <v>100</v>
      </c>
      <c r="L427" s="149">
        <v>95.5</v>
      </c>
      <c r="M427" s="149">
        <v>62.3</v>
      </c>
      <c r="N427" s="149">
        <v>44.7</v>
      </c>
      <c r="O427" s="149">
        <v>35.200000000000003</v>
      </c>
      <c r="P427" s="149">
        <v>25.1</v>
      </c>
      <c r="Q427" s="149">
        <v>15.6</v>
      </c>
      <c r="R427" s="149">
        <v>10.7</v>
      </c>
      <c r="S427" s="138">
        <v>2.863</v>
      </c>
      <c r="T427" s="138">
        <v>2.742</v>
      </c>
      <c r="U427" s="138">
        <f t="shared" si="69"/>
        <v>4.8899755501222497E-2</v>
      </c>
      <c r="V427" s="138">
        <f t="shared" si="70"/>
        <v>5.1057622173595898E-2</v>
      </c>
      <c r="AC427" s="2"/>
      <c r="AE427" s="154">
        <v>7.23</v>
      </c>
    </row>
    <row r="428" spans="1:32" ht="14.4">
      <c r="A428" s="276"/>
      <c r="B428" s="276"/>
      <c r="C428"/>
      <c r="D428" s="157"/>
      <c r="F428" s="129" t="s">
        <v>240</v>
      </c>
      <c r="G428" s="149">
        <f>$E$29*($F$29*G419+$F$30*G420+$F$31*G421+$F$32*G422+$F$33*G423+$F$34*G424+$F$35*G425)+$E$36*($F$36*G426+$F$37*G427)</f>
        <v>100</v>
      </c>
      <c r="H428" s="149">
        <f>E419*(F419*H419+F420*H420+F421*H421+F422*H422+F423*H423+F424*H424)+E425*(F426*H426+F427*H427+F425*H425)</f>
        <v>97.676249999999996</v>
      </c>
      <c r="I428" s="149">
        <f>E419*(F419*I419+F420*I420+F421*I421+F422*I422+F423*I423+F424*I424)+E425*(F426*I426+F427*I427+F425*I425)</f>
        <v>87.851500000000001</v>
      </c>
      <c r="J428" s="149">
        <f>E419*(F419*J419+F420*J420+F421*J421+F422*J422+F423*J423+F424*J424)+E425*(F426*J426+F427*J427+F425*J425)</f>
        <v>73.058999999999997</v>
      </c>
      <c r="K428" s="149">
        <f>E419*(F419*K419+F420*K420+F421*K421+F422*K422+F423*K423+F424*K424)+E425*(F426*K426+F427*K427+F425*K425)</f>
        <v>59.009950000000003</v>
      </c>
      <c r="L428" s="149">
        <f>E419*(F419*L419+F420*L420+F421*L421+F422*L422+F423*L423+F424*L424)+E425*(F426*L426+F427*L427+F425*L425)</f>
        <v>38.982750000000003</v>
      </c>
      <c r="M428" s="149">
        <f>E419*(F419*M419+F420*M420+F421*M421+F422*M422+F423*M423+F424*M424)+E425*(F426*M426+F427*M427+F425*M425)</f>
        <v>24.859200000000001</v>
      </c>
      <c r="N428" s="149">
        <f>E419*(F419*N419+F420*N420+F421*N421+F422*N422+F423*N423+F424*N424)+E425*(F426*N426+F427*N427+F425*N425)</f>
        <v>17.518450000000001</v>
      </c>
      <c r="O428" s="149">
        <f>E419*(F419*O419+F420*O420+F421*O421+F422*O422+F423*O423+F424*O424)+E425*(F426*O426+F427*O427+F425*O425)</f>
        <v>14.0182</v>
      </c>
      <c r="P428" s="149">
        <f>E419*(F419*P419+F420*P420+F421*P421+F422*P422+F423*P423+F424*P424)+E425*(F426*P426+F427*P427+F425*P425)</f>
        <v>10.36825</v>
      </c>
      <c r="Q428" s="149">
        <f>E419*(F419*Q419+F420*Q420+F421*Q421+F422*Q422+F423*Q423+F424*Q424)+E425*(F426*Q426+F427*Q427+F425*Q425)</f>
        <v>7.5708500000000001</v>
      </c>
      <c r="R428" s="149">
        <f>E419*(F419*R419+F420*R420+F421*R421+F422*R422+F423*R423+F424*R424)+E425*(F426*R426+F427*R427+F425*R425)</f>
        <v>5.6268500000000001</v>
      </c>
      <c r="AC428" s="2"/>
    </row>
    <row r="429" spans="1:32" ht="14.4">
      <c r="A429" s="276"/>
      <c r="B429" s="276"/>
      <c r="C429"/>
      <c r="D429" s="157"/>
      <c r="F429" s="129" t="s">
        <v>241</v>
      </c>
      <c r="G429" s="149">
        <v>100</v>
      </c>
      <c r="H429" s="149">
        <v>100</v>
      </c>
      <c r="I429" s="149">
        <v>92</v>
      </c>
      <c r="J429" s="149">
        <v>80</v>
      </c>
      <c r="K429" s="149">
        <v>72</v>
      </c>
      <c r="L429" s="149">
        <v>56</v>
      </c>
      <c r="M429" s="149">
        <v>44</v>
      </c>
      <c r="N429" s="149">
        <v>33</v>
      </c>
      <c r="O429" s="149">
        <v>24</v>
      </c>
      <c r="P429" s="149">
        <v>17</v>
      </c>
      <c r="Q429" s="149">
        <v>13</v>
      </c>
      <c r="R429" s="149">
        <v>7</v>
      </c>
      <c r="AC429" s="2"/>
    </row>
    <row r="430" spans="1:32" ht="14.4">
      <c r="A430" s="276"/>
      <c r="B430" s="276"/>
      <c r="C430"/>
      <c r="D430" s="157"/>
      <c r="F430" s="129" t="s">
        <v>242</v>
      </c>
      <c r="G430" s="149">
        <f t="shared" ref="G430:R430" si="71">(G429+G431)/2</f>
        <v>100</v>
      </c>
      <c r="H430" s="149">
        <f t="shared" si="71"/>
        <v>95</v>
      </c>
      <c r="I430" s="149">
        <f t="shared" si="71"/>
        <v>85</v>
      </c>
      <c r="J430" s="149">
        <f t="shared" si="71"/>
        <v>71</v>
      </c>
      <c r="K430" s="149">
        <f t="shared" si="71"/>
        <v>61</v>
      </c>
      <c r="L430" s="149">
        <f t="shared" si="71"/>
        <v>41</v>
      </c>
      <c r="M430" s="149">
        <f t="shared" si="71"/>
        <v>30</v>
      </c>
      <c r="N430" s="149">
        <f t="shared" si="71"/>
        <v>22.5</v>
      </c>
      <c r="O430" s="149">
        <f t="shared" si="71"/>
        <v>16</v>
      </c>
      <c r="P430" s="149">
        <f t="shared" si="71"/>
        <v>11</v>
      </c>
      <c r="Q430" s="149">
        <f t="shared" si="71"/>
        <v>8.5</v>
      </c>
      <c r="R430" s="149">
        <f t="shared" si="71"/>
        <v>5</v>
      </c>
      <c r="AC430" s="2"/>
    </row>
    <row r="431" spans="1:32" ht="14.4">
      <c r="A431" s="276"/>
      <c r="B431" s="276"/>
      <c r="C431"/>
      <c r="D431" s="157"/>
      <c r="F431" s="129" t="s">
        <v>243</v>
      </c>
      <c r="G431" s="149">
        <v>100</v>
      </c>
      <c r="H431" s="149">
        <v>90</v>
      </c>
      <c r="I431" s="149">
        <v>78</v>
      </c>
      <c r="J431" s="149">
        <v>62</v>
      </c>
      <c r="K431" s="149">
        <v>50</v>
      </c>
      <c r="L431" s="149">
        <v>26</v>
      </c>
      <c r="M431" s="149">
        <v>16</v>
      </c>
      <c r="N431" s="149">
        <v>12</v>
      </c>
      <c r="O431" s="149">
        <v>8</v>
      </c>
      <c r="P431" s="149">
        <v>5</v>
      </c>
      <c r="Q431" s="149">
        <v>4</v>
      </c>
      <c r="R431" s="149">
        <v>3</v>
      </c>
      <c r="AC431" s="2"/>
    </row>
    <row r="432" spans="1:32">
      <c r="A432" s="276" t="s">
        <v>114</v>
      </c>
      <c r="B432" s="276" t="s">
        <v>218</v>
      </c>
      <c r="C432" s="159" t="s">
        <v>81</v>
      </c>
      <c r="D432" s="157" t="s">
        <v>115</v>
      </c>
      <c r="E432" s="276">
        <v>0.5</v>
      </c>
      <c r="F432" s="129">
        <v>0.3</v>
      </c>
      <c r="G432" s="149">
        <v>100</v>
      </c>
      <c r="H432" s="149">
        <v>100</v>
      </c>
      <c r="I432" s="149">
        <v>100</v>
      </c>
      <c r="J432" s="149">
        <v>92.726547437005493</v>
      </c>
      <c r="K432" s="149">
        <v>15.770228043348199</v>
      </c>
      <c r="L432" s="149">
        <v>0.14626687055381599</v>
      </c>
      <c r="M432" s="149">
        <v>0.14626687055381599</v>
      </c>
      <c r="N432" s="149">
        <v>0.14626687055381599</v>
      </c>
      <c r="O432" s="149">
        <v>0.14626687055381599</v>
      </c>
      <c r="P432" s="149">
        <v>0.14626687055381599</v>
      </c>
      <c r="Q432" s="149">
        <v>0.14626687055381599</v>
      </c>
      <c r="R432" s="149">
        <v>0.14626687055381599</v>
      </c>
      <c r="S432" s="138">
        <v>2.73</v>
      </c>
      <c r="T432" s="138">
        <v>2.6880000000000002</v>
      </c>
      <c r="U432" s="138">
        <f>级配!F432/S432*E432</f>
        <v>5.4945054945054903E-2</v>
      </c>
      <c r="V432" s="138">
        <f>级配!F432/T432*E432</f>
        <v>5.5803571428571397E-2</v>
      </c>
      <c r="W432" s="138">
        <f>1/SUM(U432:U440)</f>
        <v>2.7412346110397601</v>
      </c>
      <c r="X432" s="153">
        <v>0.4</v>
      </c>
      <c r="Y432" s="138">
        <f>0.033*X432*X432-0.2936*X432+0.9336</f>
        <v>0.82143999999999995</v>
      </c>
      <c r="Z432" s="138">
        <f>0.033*Y432*Y432-0.2936*Y432+0.9336</f>
        <v>0.71469241722879995</v>
      </c>
      <c r="AA432" s="158">
        <v>2.4928947725855699</v>
      </c>
      <c r="AB432" s="138">
        <f>1/SUM(V432:V440)</f>
        <v>2.6922828766859501</v>
      </c>
      <c r="AC432" s="160">
        <v>5.2</v>
      </c>
      <c r="AD432" s="138">
        <f>100*AC432/(100+AC432)</f>
        <v>4.9429657794676798</v>
      </c>
      <c r="AF432" s="154">
        <f>AC432-E439*F439*AE439-E439*F440*AE440</f>
        <v>2.1231068930364998</v>
      </c>
    </row>
    <row r="433" spans="1:32">
      <c r="A433" s="276"/>
      <c r="B433" s="276"/>
      <c r="C433" s="159" t="s">
        <v>81</v>
      </c>
      <c r="D433" s="157" t="s">
        <v>116</v>
      </c>
      <c r="E433" s="276"/>
      <c r="F433" s="129">
        <v>0.3</v>
      </c>
      <c r="G433" s="149">
        <v>100</v>
      </c>
      <c r="H433" s="149">
        <v>100</v>
      </c>
      <c r="I433" s="149">
        <v>100</v>
      </c>
      <c r="J433" s="149">
        <v>100</v>
      </c>
      <c r="K433" s="149">
        <v>85.256</v>
      </c>
      <c r="L433" s="149">
        <v>2.71157414014557</v>
      </c>
      <c r="M433" s="149">
        <v>0.135578707007312</v>
      </c>
      <c r="N433" s="149">
        <v>0.135578707007312</v>
      </c>
      <c r="O433" s="149">
        <v>0.135578707007312</v>
      </c>
      <c r="P433" s="149">
        <v>0.135578707007312</v>
      </c>
      <c r="Q433" s="149">
        <v>0.135578707007312</v>
      </c>
      <c r="R433" s="149">
        <v>0.135578707007312</v>
      </c>
      <c r="S433" s="138">
        <v>2.7080000000000002</v>
      </c>
      <c r="T433" s="138">
        <v>2.681</v>
      </c>
      <c r="U433" s="138">
        <f>级配!F433/S433*E432</f>
        <v>5.5391432791728201E-2</v>
      </c>
      <c r="V433" s="138">
        <f>级配!F433/T433*E432</f>
        <v>5.5949272659455401E-2</v>
      </c>
      <c r="W433" s="138"/>
      <c r="X433" s="138"/>
      <c r="Y433" s="151"/>
      <c r="Z433" s="151"/>
      <c r="AA433" s="174">
        <v>2.4901062980356801</v>
      </c>
      <c r="AB433" s="153">
        <v>2.6922828766859501</v>
      </c>
      <c r="AC433" s="159">
        <v>5.2</v>
      </c>
      <c r="AD433" s="153">
        <v>4.9429657794676798</v>
      </c>
      <c r="AF433" s="154">
        <f>AC433-E439*F439*AE439-E439*F440*AE440</f>
        <v>2.1231068930364998</v>
      </c>
    </row>
    <row r="434" spans="1:32">
      <c r="A434" s="276"/>
      <c r="B434" s="276"/>
      <c r="C434" s="159" t="s">
        <v>81</v>
      </c>
      <c r="D434" s="157" t="s">
        <v>117</v>
      </c>
      <c r="E434" s="276"/>
      <c r="F434" s="129">
        <v>0.2</v>
      </c>
      <c r="G434" s="149">
        <v>100</v>
      </c>
      <c r="H434" s="149">
        <v>100</v>
      </c>
      <c r="I434" s="149">
        <v>100</v>
      </c>
      <c r="J434" s="149">
        <v>100</v>
      </c>
      <c r="K434" s="149">
        <v>99.545454545454504</v>
      </c>
      <c r="L434" s="149">
        <v>55.809090909090898</v>
      </c>
      <c r="M434" s="149">
        <v>0.53636363636364603</v>
      </c>
      <c r="N434" s="149">
        <v>0.16363636363637099</v>
      </c>
      <c r="O434" s="149">
        <v>0.16363636363637099</v>
      </c>
      <c r="P434" s="149">
        <v>0.16363636363637099</v>
      </c>
      <c r="Q434" s="149">
        <v>0.16363636363637099</v>
      </c>
      <c r="R434" s="149">
        <v>0.16363636363637099</v>
      </c>
      <c r="S434" s="138">
        <v>2.7130000000000001</v>
      </c>
      <c r="T434" s="138">
        <v>2.629</v>
      </c>
      <c r="U434" s="138">
        <f>级配!F434/S434*E432</f>
        <v>3.6859565057132303E-2</v>
      </c>
      <c r="V434" s="138">
        <f>级配!F434/T434*E432</f>
        <v>3.8037276531000398E-2</v>
      </c>
      <c r="AB434" s="138"/>
      <c r="AC434" s="160"/>
      <c r="AD434" s="138"/>
    </row>
    <row r="435" spans="1:32">
      <c r="A435" s="276"/>
      <c r="B435" s="276"/>
      <c r="C435" s="159" t="s">
        <v>82</v>
      </c>
      <c r="D435" s="157" t="s">
        <v>71</v>
      </c>
      <c r="E435" s="276"/>
      <c r="F435" s="129">
        <v>0.2</v>
      </c>
      <c r="G435" s="149">
        <v>100</v>
      </c>
      <c r="H435" s="149">
        <v>100</v>
      </c>
      <c r="I435" s="149">
        <v>100</v>
      </c>
      <c r="J435" s="149">
        <v>100</v>
      </c>
      <c r="K435" s="149">
        <v>100</v>
      </c>
      <c r="L435" s="149">
        <v>99.37</v>
      </c>
      <c r="M435" s="149">
        <v>71.88</v>
      </c>
      <c r="N435" s="149">
        <v>34.4</v>
      </c>
      <c r="O435" s="149">
        <v>20.45</v>
      </c>
      <c r="P435" s="149">
        <v>8.9599999999999902</v>
      </c>
      <c r="Q435" s="149">
        <v>3.4300000000000099</v>
      </c>
      <c r="R435" s="149">
        <v>1.73</v>
      </c>
      <c r="S435" s="138">
        <v>2.6789999999999998</v>
      </c>
      <c r="T435" s="138">
        <v>2.6789999999999998</v>
      </c>
      <c r="U435" s="138">
        <f>级配!F435/S435*E432</f>
        <v>3.7327360955580403E-2</v>
      </c>
      <c r="V435" s="138">
        <f>级配!F435/T435*E432</f>
        <v>3.7327360955580403E-2</v>
      </c>
    </row>
    <row r="436" spans="1:32" ht="14.4">
      <c r="A436" s="276"/>
      <c r="B436" s="276"/>
      <c r="C436" s="164" t="s">
        <v>99</v>
      </c>
      <c r="D436" s="168" t="s">
        <v>91</v>
      </c>
      <c r="E436" s="276"/>
      <c r="F436" s="129">
        <v>0</v>
      </c>
      <c r="G436" s="149">
        <v>100</v>
      </c>
      <c r="H436" s="149">
        <v>100</v>
      </c>
      <c r="I436" s="149">
        <v>100</v>
      </c>
      <c r="J436" s="149">
        <v>98.474269459529395</v>
      </c>
      <c r="K436" s="149">
        <v>61.158520817170903</v>
      </c>
      <c r="L436" s="149">
        <v>25.5667614860788</v>
      </c>
      <c r="M436" s="149">
        <v>19.6189983622101</v>
      </c>
      <c r="N436" s="149">
        <v>16.369278510473201</v>
      </c>
      <c r="O436" s="149">
        <v>14.2660115507284</v>
      </c>
      <c r="P436" s="149">
        <v>10.6801137832945</v>
      </c>
      <c r="Q436" s="149">
        <v>6.0425825359882701</v>
      </c>
      <c r="R436" s="149">
        <v>3.2928195845185502</v>
      </c>
      <c r="S436" s="138">
        <v>2.8290000000000002</v>
      </c>
      <c r="T436" s="138">
        <v>2.7650000000000001</v>
      </c>
      <c r="U436" s="138">
        <f>级配!F436/S436*E432</f>
        <v>0</v>
      </c>
      <c r="V436" s="138">
        <f>级配!F436/T436*E432</f>
        <v>0</v>
      </c>
    </row>
    <row r="437" spans="1:32" ht="14.4">
      <c r="A437" s="276"/>
      <c r="B437" s="276"/>
      <c r="C437" s="164" t="s">
        <v>99</v>
      </c>
      <c r="D437" s="157" t="s">
        <v>91</v>
      </c>
      <c r="E437" s="276"/>
      <c r="F437" s="129">
        <v>0</v>
      </c>
      <c r="G437" s="149">
        <v>100</v>
      </c>
      <c r="H437" s="149">
        <v>100</v>
      </c>
      <c r="I437" s="149">
        <v>100</v>
      </c>
      <c r="J437" s="149">
        <v>100</v>
      </c>
      <c r="K437" s="149">
        <v>100</v>
      </c>
      <c r="L437" s="149">
        <v>87.73</v>
      </c>
      <c r="M437" s="149">
        <v>60.642998628675898</v>
      </c>
      <c r="N437" s="149">
        <v>46.061252476001798</v>
      </c>
      <c r="O437" s="149">
        <v>36.995276550358099</v>
      </c>
      <c r="P437" s="149">
        <v>22.337345726039899</v>
      </c>
      <c r="Q437" s="149">
        <v>11.3515160749657</v>
      </c>
      <c r="R437" s="149">
        <v>5.8662197165930197</v>
      </c>
      <c r="S437" s="138">
        <v>2.76</v>
      </c>
      <c r="T437" s="138">
        <v>2.7</v>
      </c>
      <c r="U437" s="138">
        <f>级配!F437/S437*E432</f>
        <v>0</v>
      </c>
      <c r="V437" s="138">
        <f>级配!F437/T437*E432</f>
        <v>0</v>
      </c>
    </row>
    <row r="438" spans="1:32" ht="14.4">
      <c r="A438" s="276"/>
      <c r="B438" s="276"/>
      <c r="C438" s="164" t="s">
        <v>99</v>
      </c>
      <c r="D438" s="157" t="s">
        <v>91</v>
      </c>
      <c r="E438" s="276"/>
      <c r="F438" s="129">
        <v>0</v>
      </c>
      <c r="G438" s="149">
        <v>100</v>
      </c>
      <c r="H438" s="149">
        <v>100</v>
      </c>
      <c r="I438" s="149">
        <v>100</v>
      </c>
      <c r="J438" s="149">
        <v>100</v>
      </c>
      <c r="K438" s="149">
        <v>100</v>
      </c>
      <c r="L438" s="149">
        <v>100</v>
      </c>
      <c r="M438" s="149">
        <v>100</v>
      </c>
      <c r="N438" s="149">
        <v>100</v>
      </c>
      <c r="O438" s="149">
        <v>100</v>
      </c>
      <c r="P438" s="149">
        <v>99.6875</v>
      </c>
      <c r="Q438" s="149">
        <v>97.112499999999997</v>
      </c>
      <c r="R438" s="149">
        <v>76.612499999999997</v>
      </c>
      <c r="S438" s="138">
        <v>2.8519999999999999</v>
      </c>
      <c r="T438" s="138">
        <v>2.7229999999999999</v>
      </c>
      <c r="U438" s="138">
        <f>级配!F438/S438*E432</f>
        <v>0</v>
      </c>
      <c r="V438" s="138">
        <f>级配!F438/T438*E432</f>
        <v>0</v>
      </c>
    </row>
    <row r="439" spans="1:32">
      <c r="A439" s="276"/>
      <c r="B439" s="276"/>
      <c r="C439" s="159" t="s">
        <v>74</v>
      </c>
      <c r="D439" s="157" t="s">
        <v>79</v>
      </c>
      <c r="E439" s="276">
        <v>0.5</v>
      </c>
      <c r="F439" s="129">
        <v>0.2</v>
      </c>
      <c r="G439" s="149">
        <v>100</v>
      </c>
      <c r="H439" s="149">
        <v>100</v>
      </c>
      <c r="I439" s="149">
        <v>100</v>
      </c>
      <c r="J439" s="149">
        <v>98.474269459529395</v>
      </c>
      <c r="K439" s="149">
        <v>61.158520817170903</v>
      </c>
      <c r="L439" s="149">
        <v>25.5667614860788</v>
      </c>
      <c r="M439" s="149">
        <v>19.6189983622101</v>
      </c>
      <c r="N439" s="149">
        <v>16.369278510473201</v>
      </c>
      <c r="O439" s="149">
        <v>14.2660115507284</v>
      </c>
      <c r="P439" s="149">
        <v>10.6801137832945</v>
      </c>
      <c r="Q439" s="149">
        <v>6.0425825359882701</v>
      </c>
      <c r="R439" s="149">
        <v>3.2928195845185502</v>
      </c>
      <c r="S439" s="138">
        <v>2.8290000000000002</v>
      </c>
      <c r="T439" s="138">
        <v>2.7650000000000001</v>
      </c>
      <c r="U439" s="138">
        <f>级配!F439/S439*E439</f>
        <v>3.5348179568752199E-2</v>
      </c>
      <c r="V439" s="138">
        <f>级配!F439/T439*E439</f>
        <v>3.6166365280289298E-2</v>
      </c>
      <c r="AE439" s="154">
        <v>3.77365911114941</v>
      </c>
    </row>
    <row r="440" spans="1:32">
      <c r="A440" s="276"/>
      <c r="B440" s="276"/>
      <c r="C440" s="159" t="s">
        <v>76</v>
      </c>
      <c r="D440" s="157" t="s">
        <v>68</v>
      </c>
      <c r="E440" s="276"/>
      <c r="F440" s="129">
        <v>0.8</v>
      </c>
      <c r="G440" s="149">
        <v>100</v>
      </c>
      <c r="H440" s="149">
        <v>100</v>
      </c>
      <c r="I440" s="149">
        <v>100</v>
      </c>
      <c r="J440" s="149">
        <v>100</v>
      </c>
      <c r="K440" s="149">
        <v>100</v>
      </c>
      <c r="L440" s="149">
        <v>87.73</v>
      </c>
      <c r="M440" s="149">
        <v>60.642998628675898</v>
      </c>
      <c r="N440" s="149">
        <v>46.061252476001798</v>
      </c>
      <c r="O440" s="149">
        <v>36.995276550358099</v>
      </c>
      <c r="P440" s="149">
        <v>22.337345726039899</v>
      </c>
      <c r="Q440" s="149">
        <v>11.3515160749657</v>
      </c>
      <c r="R440" s="149">
        <v>5.8662197165930197</v>
      </c>
      <c r="S440" s="138">
        <v>2.76</v>
      </c>
      <c r="T440" s="138">
        <v>2.7</v>
      </c>
      <c r="U440" s="138">
        <f>级配!F440/S440*E439</f>
        <v>0.14492753623188401</v>
      </c>
      <c r="V440" s="138">
        <f>级配!F440/T440*E439</f>
        <v>0.148148148148148</v>
      </c>
      <c r="AE440" s="154">
        <v>6.74881798962139</v>
      </c>
    </row>
    <row r="441" spans="1:32" ht="14.4">
      <c r="A441" s="276"/>
      <c r="B441" s="276"/>
      <c r="C441"/>
      <c r="F441" s="129" t="s">
        <v>240</v>
      </c>
      <c r="G441" s="170">
        <f>$E$29*($F$29*G432+$F$30*G433+$F$31*G434+$F$32*G435+$F$33*G436+$F$34*G437+$F$35*G438)+$E$36*($F$36*G439+$F$37*G440)</f>
        <v>100</v>
      </c>
      <c r="H441" s="170">
        <f>E432*(F432*H432+F433*H433+F434*H434+F435*H435+F436*H436+F437*H437+F438*H438)+E439*(F439*H439+F440*H440)</f>
        <v>100</v>
      </c>
      <c r="I441" s="170">
        <f>E432*(F432*I432+F433*I433+F434*I434+F435*I435+F436*I436+F437*I437+F438*I438)+E439*(F439*I439+F440*I440)</f>
        <v>100</v>
      </c>
      <c r="J441" s="170">
        <f>E432*(F432*J432+F433*J433+F434*J434+F435*J435+F436*J436+F437*J437+F438*J438)+E439*(F439*J439+F440*J440)</f>
        <v>98.756409061503803</v>
      </c>
      <c r="K441" s="170">
        <f>E432*(F432*K432+F433*K433+F434*K434+F435*K435+F436*K436+F437*K437+F438*K438)+E439*(F439*K439+F440*K440)</f>
        <v>81.224331742764804</v>
      </c>
      <c r="L441" s="170">
        <f>E432*(F432*L432+F433*L433+F434*L434+F435*L435+F436*L436+F437*L437+F438*L438)+E439*(F439*L439+F440*L440)</f>
        <v>53.595261391121902</v>
      </c>
      <c r="M441" s="170">
        <f>E432*(F432*M432+F433*M433+F434*M434+F435*M435+F436*M436+F437*M437+F438*M438)+E439*(F439*M439+F440*M440)</f>
        <v>33.503012487961897</v>
      </c>
      <c r="N441" s="170">
        <f>E432*(F432*N432+F433*N433+F434*N434+F435*N435+F436*N436+F437*N437+F438*N438)+E439*(F439*N439+F440*N440)</f>
        <v>23.560069314445801</v>
      </c>
      <c r="O441" s="170">
        <f>E432*(F432*O432+F433*O433+F434*O434+F435*O435+F436*O436+F437*O437+F438*O438)+E439*(F439*O439+F440*O440)</f>
        <v>18.3283522482139</v>
      </c>
      <c r="P441" s="170">
        <f>E432*(F432*P432+F433*P433+F434*P434+F435*P435+F436*P436+F437*P437+F438*P438)+E439*(F439*P439+F440*P440)</f>
        <v>10.9575901417432</v>
      </c>
      <c r="Q441" s="170">
        <f>E432*(F432*Q432+F433*Q433+F434*Q434+F435*Q435+F436*Q436+F437*Q437+F438*Q438)+E439*(F439*Q439+F440*Q440)</f>
        <v>5.54650515658291</v>
      </c>
      <c r="R441" s="170">
        <f>E432*(F432*R432+F433*R433+F434*R434+F435*R435+F436*R436+F437*R437+F438*R438)+E439*(F439*R439+F440*R440)</f>
        <v>2.9074103180868698</v>
      </c>
      <c r="S441" s="138"/>
      <c r="T441" s="138"/>
    </row>
    <row r="442" spans="1:32" ht="14.4">
      <c r="A442" s="276"/>
      <c r="B442" s="276"/>
      <c r="C442"/>
      <c r="F442" s="129" t="s">
        <v>241</v>
      </c>
      <c r="G442" s="149">
        <v>100</v>
      </c>
      <c r="H442" s="149">
        <v>100</v>
      </c>
      <c r="I442" s="129">
        <v>100</v>
      </c>
      <c r="J442" s="129">
        <v>100</v>
      </c>
      <c r="K442" s="129">
        <v>85</v>
      </c>
      <c r="L442" s="129">
        <v>68</v>
      </c>
      <c r="M442" s="129">
        <v>50</v>
      </c>
      <c r="N442" s="129">
        <v>38</v>
      </c>
      <c r="O442" s="129">
        <v>28</v>
      </c>
      <c r="P442" s="129">
        <v>20</v>
      </c>
      <c r="Q442" s="129">
        <v>15</v>
      </c>
      <c r="R442" s="129">
        <v>8</v>
      </c>
      <c r="S442" s="138"/>
      <c r="T442" s="138"/>
    </row>
    <row r="443" spans="1:32" ht="14.4">
      <c r="A443" s="276"/>
      <c r="B443" s="276"/>
      <c r="C443"/>
      <c r="F443" s="129" t="s">
        <v>242</v>
      </c>
      <c r="G443" s="149">
        <f t="shared" ref="G443" si="72">(G442+G444)/2</f>
        <v>100</v>
      </c>
      <c r="H443" s="149">
        <v>100</v>
      </c>
      <c r="I443" s="129">
        <v>100</v>
      </c>
      <c r="J443" s="129">
        <f t="shared" ref="J443:R443" si="73">(J442+J444)/2</f>
        <v>95</v>
      </c>
      <c r="K443" s="129">
        <f t="shared" si="73"/>
        <v>76.5</v>
      </c>
      <c r="L443" s="129">
        <f t="shared" si="73"/>
        <v>53</v>
      </c>
      <c r="M443" s="129">
        <f t="shared" si="73"/>
        <v>37</v>
      </c>
      <c r="N443" s="129">
        <f t="shared" si="73"/>
        <v>26.5</v>
      </c>
      <c r="O443" s="129">
        <f t="shared" si="73"/>
        <v>19</v>
      </c>
      <c r="P443" s="129">
        <f t="shared" si="73"/>
        <v>13.5</v>
      </c>
      <c r="Q443" s="129">
        <f t="shared" si="73"/>
        <v>10</v>
      </c>
      <c r="R443" s="129">
        <f t="shared" si="73"/>
        <v>6</v>
      </c>
      <c r="S443" s="138"/>
      <c r="T443" s="138"/>
    </row>
    <row r="444" spans="1:32" ht="14.4">
      <c r="A444" s="276"/>
      <c r="B444" s="276"/>
      <c r="C444"/>
      <c r="F444" s="129" t="s">
        <v>243</v>
      </c>
      <c r="G444" s="149">
        <v>100</v>
      </c>
      <c r="H444" s="149">
        <v>100</v>
      </c>
      <c r="I444" s="129">
        <v>100</v>
      </c>
      <c r="J444" s="129">
        <v>90</v>
      </c>
      <c r="K444" s="129">
        <v>68</v>
      </c>
      <c r="L444" s="129">
        <v>38</v>
      </c>
      <c r="M444" s="129">
        <v>24</v>
      </c>
      <c r="N444" s="129">
        <v>15</v>
      </c>
      <c r="O444" s="129">
        <v>10</v>
      </c>
      <c r="P444" s="129">
        <v>7</v>
      </c>
      <c r="Q444" s="129">
        <v>5</v>
      </c>
      <c r="R444" s="129">
        <v>4</v>
      </c>
      <c r="S444" s="138"/>
      <c r="T444" s="138"/>
    </row>
    <row r="445" spans="1:32" ht="13.8" customHeight="1">
      <c r="A445" s="276" t="s">
        <v>118</v>
      </c>
      <c r="B445" s="276" t="s">
        <v>218</v>
      </c>
      <c r="C445" s="159" t="s">
        <v>81</v>
      </c>
      <c r="D445" s="168" t="s">
        <v>79</v>
      </c>
      <c r="E445" s="276">
        <v>0.4</v>
      </c>
      <c r="F445" s="129">
        <v>0.67500000000000004</v>
      </c>
      <c r="G445" s="149">
        <v>100</v>
      </c>
      <c r="H445" s="149">
        <v>100</v>
      </c>
      <c r="I445" s="149">
        <v>100</v>
      </c>
      <c r="J445" s="149">
        <v>93.362013174793802</v>
      </c>
      <c r="K445" s="149">
        <v>21.6751597379996</v>
      </c>
      <c r="L445" s="149">
        <v>0.53036936893595099</v>
      </c>
      <c r="M445" s="149">
        <v>0.40027952898171298</v>
      </c>
      <c r="N445" s="149">
        <v>0.40027952898171298</v>
      </c>
      <c r="O445" s="149">
        <v>0.40027952898171298</v>
      </c>
      <c r="P445" s="149">
        <v>0.40027952898171298</v>
      </c>
      <c r="Q445" s="149">
        <v>0.40027952898171298</v>
      </c>
      <c r="R445" s="149">
        <v>0.40027952898171298</v>
      </c>
      <c r="S445" s="138">
        <v>2.72828305738263</v>
      </c>
      <c r="T445" s="138">
        <v>2.6701442841287499</v>
      </c>
      <c r="U445" s="138">
        <f>级配!F445/S445*E445</f>
        <v>9.8963338598387102E-2</v>
      </c>
      <c r="V445" s="138">
        <f>级配!F445/T445*E445</f>
        <v>0.101118131182974</v>
      </c>
      <c r="W445" s="138">
        <f>1/SUM(U445:U453)</f>
        <v>2.7235716547342701</v>
      </c>
      <c r="X445" s="153">
        <v>0.4</v>
      </c>
      <c r="Y445" s="138">
        <f>0.033*X445*X445-0.2936*X445+0.9336</f>
        <v>0.82143999999999995</v>
      </c>
      <c r="Z445" s="138">
        <f>0.033*Y445*Y445-0.2936*Y445+0.9336</f>
        <v>0.71469241722879995</v>
      </c>
      <c r="AA445" s="158">
        <v>2.52947730099496</v>
      </c>
      <c r="AB445" s="138">
        <f>1/SUM(V445:V453)</f>
        <v>2.6025087362875601</v>
      </c>
      <c r="AC445" s="160">
        <v>5.5</v>
      </c>
      <c r="AD445" s="138">
        <f>100*AC445/(100+AC445)</f>
        <v>5.2132701421800904</v>
      </c>
      <c r="AF445" s="154">
        <f>AC445-E452*F452*AE452-E452*F453*AE453</f>
        <v>1.4555710157337001</v>
      </c>
    </row>
    <row r="446" spans="1:32">
      <c r="A446" s="276"/>
      <c r="B446" s="276"/>
      <c r="C446" s="159" t="s">
        <v>81</v>
      </c>
      <c r="D446" s="168" t="s">
        <v>63</v>
      </c>
      <c r="E446" s="276"/>
      <c r="F446" s="129">
        <v>0.25</v>
      </c>
      <c r="G446" s="149">
        <v>100</v>
      </c>
      <c r="H446" s="149">
        <v>100</v>
      </c>
      <c r="I446" s="149">
        <v>100</v>
      </c>
      <c r="J446" s="149">
        <v>100</v>
      </c>
      <c r="K446" s="149">
        <v>92.484700923438297</v>
      </c>
      <c r="L446" s="149">
        <v>7.3736084513040998</v>
      </c>
      <c r="M446" s="149">
        <v>1.07541997221835</v>
      </c>
      <c r="N446" s="149">
        <v>0.78780012661997001</v>
      </c>
      <c r="O446" s="149">
        <v>0.78780012661997001</v>
      </c>
      <c r="P446" s="149">
        <v>0.78780012661997001</v>
      </c>
      <c r="Q446" s="149">
        <v>0.78780012661997001</v>
      </c>
      <c r="R446" s="149">
        <v>0.78780012661997001</v>
      </c>
      <c r="S446" s="138">
        <v>2.7419535404422</v>
      </c>
      <c r="T446" s="138">
        <v>2.6644003263530101</v>
      </c>
      <c r="U446" s="138">
        <f>级配!F446/S446*E445</f>
        <v>3.6470348065734501E-2</v>
      </c>
      <c r="V446" s="138">
        <f>级配!F446/T446*E445</f>
        <v>3.7531897519648798E-2</v>
      </c>
      <c r="W446" s="138"/>
      <c r="X446" s="138"/>
      <c r="Y446" s="151"/>
      <c r="Z446" s="151"/>
      <c r="AA446" s="174">
        <v>2.5211180475533701</v>
      </c>
      <c r="AB446" s="153">
        <v>2.6025087362875601</v>
      </c>
      <c r="AC446" s="159">
        <v>5.5</v>
      </c>
      <c r="AD446" s="153">
        <v>5.2132701421800904</v>
      </c>
      <c r="AF446" s="154">
        <f>AC446-E452*F452*AE452-E452*F453*AE453</f>
        <v>1.4555710157337001</v>
      </c>
    </row>
    <row r="447" spans="1:32">
      <c r="A447" s="276"/>
      <c r="B447" s="276"/>
      <c r="C447" s="159" t="s">
        <v>82</v>
      </c>
      <c r="D447" s="168" t="s">
        <v>65</v>
      </c>
      <c r="E447" s="276"/>
      <c r="F447" s="129">
        <v>7.4999999999999997E-2</v>
      </c>
      <c r="G447" s="149">
        <v>100</v>
      </c>
      <c r="H447" s="149">
        <v>100</v>
      </c>
      <c r="I447" s="149">
        <v>100</v>
      </c>
      <c r="J447" s="149">
        <v>100</v>
      </c>
      <c r="K447" s="149">
        <v>100</v>
      </c>
      <c r="L447" s="149">
        <v>99.879948978090496</v>
      </c>
      <c r="M447" s="149">
        <v>83.452548603233197</v>
      </c>
      <c r="N447" s="149">
        <v>56.845575148518598</v>
      </c>
      <c r="O447" s="149">
        <v>39.857937672317597</v>
      </c>
      <c r="P447" s="149">
        <v>20.604260213340002</v>
      </c>
      <c r="Q447" s="149">
        <v>10.919902228024799</v>
      </c>
      <c r="R447" s="149">
        <v>8.0736226456565703</v>
      </c>
      <c r="S447" s="138">
        <v>2.6884978229317902</v>
      </c>
      <c r="T447" s="138">
        <v>2.6030212541717899</v>
      </c>
      <c r="U447" s="138">
        <f>级配!F447/S447*E445</f>
        <v>1.11586476820298E-2</v>
      </c>
      <c r="V447" s="138">
        <f>级配!F447/T447*E445</f>
        <v>1.15250691679601E-2</v>
      </c>
      <c r="AA447" s="174">
        <v>2.5190932612768799</v>
      </c>
      <c r="AB447" s="138">
        <v>2.6025087362875601</v>
      </c>
      <c r="AC447" s="160">
        <v>5.5</v>
      </c>
      <c r="AD447" s="138">
        <v>5.2132701421800904</v>
      </c>
      <c r="AF447" s="154">
        <f>AC447-E452*F452*AE452-E452*F453*AE453</f>
        <v>1.4555710157337001</v>
      </c>
    </row>
    <row r="448" spans="1:32" ht="14.4">
      <c r="A448" s="276"/>
      <c r="B448" s="276"/>
      <c r="C448" s="164" t="s">
        <v>99</v>
      </c>
      <c r="D448" s="168" t="s">
        <v>91</v>
      </c>
      <c r="E448" s="276"/>
      <c r="F448" s="129">
        <v>0</v>
      </c>
      <c r="G448" s="149">
        <v>100</v>
      </c>
      <c r="H448" s="149">
        <v>100</v>
      </c>
      <c r="I448" s="149">
        <v>100</v>
      </c>
      <c r="J448" s="149">
        <v>100</v>
      </c>
      <c r="K448" s="149">
        <v>100</v>
      </c>
      <c r="L448" s="149">
        <v>99.37</v>
      </c>
      <c r="M448" s="149">
        <v>71.88</v>
      </c>
      <c r="N448" s="149">
        <v>34.4</v>
      </c>
      <c r="O448" s="149">
        <v>20.45</v>
      </c>
      <c r="P448" s="149">
        <v>8.9599999999999902</v>
      </c>
      <c r="Q448" s="149">
        <v>3.4300000000000099</v>
      </c>
      <c r="R448" s="149">
        <v>1.73</v>
      </c>
      <c r="S448" s="138">
        <v>2.6789999999999998</v>
      </c>
      <c r="T448" s="138">
        <v>2.6789999999999998</v>
      </c>
      <c r="U448" s="138">
        <f>级配!F448/S448*E445</f>
        <v>0</v>
      </c>
      <c r="V448" s="138">
        <f>级配!F448/T448*E445</f>
        <v>0</v>
      </c>
    </row>
    <row r="449" spans="1:32" ht="14.4">
      <c r="A449" s="276"/>
      <c r="B449" s="276"/>
      <c r="C449" s="164" t="s">
        <v>99</v>
      </c>
      <c r="D449" s="168" t="s">
        <v>91</v>
      </c>
      <c r="E449" s="276"/>
      <c r="F449" s="129">
        <v>0</v>
      </c>
      <c r="G449" s="149">
        <v>100</v>
      </c>
      <c r="H449" s="149">
        <v>100</v>
      </c>
      <c r="I449" s="149">
        <v>100</v>
      </c>
      <c r="J449" s="149">
        <v>98.474269459529395</v>
      </c>
      <c r="K449" s="149">
        <v>61.158520817170903</v>
      </c>
      <c r="L449" s="149">
        <v>25.5667614860788</v>
      </c>
      <c r="M449" s="149">
        <v>19.6189983622101</v>
      </c>
      <c r="N449" s="149">
        <v>16.369278510473201</v>
      </c>
      <c r="O449" s="149">
        <v>14.2660115507284</v>
      </c>
      <c r="P449" s="149">
        <v>10.6801137832945</v>
      </c>
      <c r="Q449" s="149">
        <v>6.0425825359882701</v>
      </c>
      <c r="R449" s="149">
        <v>3.2928195845185502</v>
      </c>
      <c r="S449" s="138">
        <v>2.8290000000000002</v>
      </c>
      <c r="T449" s="138">
        <v>2.7650000000000001</v>
      </c>
      <c r="U449" s="138">
        <f>级配!F449/S449*E445</f>
        <v>0</v>
      </c>
      <c r="V449" s="138">
        <f>级配!F449/T449*E445</f>
        <v>0</v>
      </c>
    </row>
    <row r="450" spans="1:32" ht="14.4">
      <c r="A450" s="276"/>
      <c r="B450" s="276"/>
      <c r="C450" s="164" t="s">
        <v>99</v>
      </c>
      <c r="D450" s="157" t="s">
        <v>91</v>
      </c>
      <c r="E450" s="276"/>
      <c r="F450" s="129">
        <v>0</v>
      </c>
      <c r="G450" s="149">
        <v>100</v>
      </c>
      <c r="H450" s="149">
        <v>100</v>
      </c>
      <c r="I450" s="149">
        <v>100</v>
      </c>
      <c r="J450" s="149">
        <v>100</v>
      </c>
      <c r="K450" s="149">
        <v>100</v>
      </c>
      <c r="L450" s="149">
        <v>87.73</v>
      </c>
      <c r="M450" s="149">
        <v>60.642998628675898</v>
      </c>
      <c r="N450" s="149">
        <v>46.061252476001798</v>
      </c>
      <c r="O450" s="149">
        <v>36.995276550358099</v>
      </c>
      <c r="P450" s="149">
        <v>22.337345726039899</v>
      </c>
      <c r="Q450" s="149">
        <v>11.3515160749657</v>
      </c>
      <c r="R450" s="149">
        <v>5.8662197165930197</v>
      </c>
      <c r="S450" s="138">
        <v>2.76</v>
      </c>
      <c r="T450" s="138">
        <v>2.7</v>
      </c>
      <c r="U450" s="138">
        <f>级配!F450/S450*E445</f>
        <v>0</v>
      </c>
      <c r="V450" s="138">
        <f>级配!F450/T450*E445</f>
        <v>0</v>
      </c>
    </row>
    <row r="451" spans="1:32" ht="14.4">
      <c r="A451" s="276"/>
      <c r="B451" s="276"/>
      <c r="C451" s="164" t="s">
        <v>99</v>
      </c>
      <c r="D451" s="157" t="s">
        <v>91</v>
      </c>
      <c r="E451" s="276"/>
      <c r="F451" s="129">
        <v>0</v>
      </c>
      <c r="G451" s="149">
        <v>100</v>
      </c>
      <c r="H451" s="149">
        <v>100</v>
      </c>
      <c r="I451" s="149">
        <v>100</v>
      </c>
      <c r="J451" s="149">
        <v>100</v>
      </c>
      <c r="K451" s="149">
        <v>100</v>
      </c>
      <c r="L451" s="149">
        <v>100</v>
      </c>
      <c r="M451" s="149">
        <v>100</v>
      </c>
      <c r="N451" s="149">
        <v>100</v>
      </c>
      <c r="O451" s="149">
        <v>100</v>
      </c>
      <c r="P451" s="149">
        <v>99.6875</v>
      </c>
      <c r="Q451" s="149">
        <v>97.112499999999997</v>
      </c>
      <c r="R451" s="149">
        <v>76.612499999999997</v>
      </c>
      <c r="S451" s="138">
        <v>2.8519999999999999</v>
      </c>
      <c r="T451" s="138">
        <v>2.7229999999999999</v>
      </c>
      <c r="U451" s="138">
        <f>级配!F451/S451*E445</f>
        <v>0</v>
      </c>
      <c r="V451" s="138">
        <f>级配!F451/T451*E445</f>
        <v>0</v>
      </c>
    </row>
    <row r="452" spans="1:32">
      <c r="A452" s="276"/>
      <c r="B452" s="276"/>
      <c r="C452" s="159" t="s">
        <v>74</v>
      </c>
      <c r="D452" s="157" t="s">
        <v>68</v>
      </c>
      <c r="E452" s="276">
        <v>0.6</v>
      </c>
      <c r="F452" s="129">
        <v>1</v>
      </c>
      <c r="G452" s="149">
        <v>100</v>
      </c>
      <c r="H452" s="149">
        <v>100</v>
      </c>
      <c r="I452" s="149">
        <v>100</v>
      </c>
      <c r="J452" s="149">
        <v>100</v>
      </c>
      <c r="K452" s="149">
        <v>98.076567506627796</v>
      </c>
      <c r="L452" s="149">
        <v>78.589590823754605</v>
      </c>
      <c r="M452" s="149">
        <v>56.778604039636399</v>
      </c>
      <c r="N452" s="149">
        <v>40.481799407055902</v>
      </c>
      <c r="O452" s="149">
        <v>29.929901287986301</v>
      </c>
      <c r="P452" s="149">
        <v>17.041913619018299</v>
      </c>
      <c r="Q452" s="149">
        <v>9.18037236063617</v>
      </c>
      <c r="R452" s="149">
        <v>4.23908520146919</v>
      </c>
      <c r="S452" s="138">
        <v>2.7201928425737099</v>
      </c>
      <c r="T452" s="138">
        <v>2.56334090511969</v>
      </c>
      <c r="U452" s="138">
        <f>级配!F452/S452*E452</f>
        <v>0.22057259713701399</v>
      </c>
      <c r="V452" s="138">
        <f>级配!F452/T452*E452</f>
        <v>0.234069529652352</v>
      </c>
      <c r="AE452" s="154">
        <v>6.7407149737771697</v>
      </c>
    </row>
    <row r="453" spans="1:32">
      <c r="A453" s="276"/>
      <c r="B453" s="276"/>
      <c r="C453" s="159" t="s">
        <v>76</v>
      </c>
      <c r="D453" s="157" t="s">
        <v>68</v>
      </c>
      <c r="E453" s="276"/>
      <c r="F453" s="129">
        <v>0</v>
      </c>
      <c r="G453" s="149">
        <v>100</v>
      </c>
      <c r="H453" s="149">
        <v>100</v>
      </c>
      <c r="I453" s="149">
        <v>100</v>
      </c>
      <c r="J453" s="149">
        <v>100</v>
      </c>
      <c r="K453" s="149">
        <v>100</v>
      </c>
      <c r="L453" s="149">
        <v>87.73</v>
      </c>
      <c r="M453" s="149">
        <v>60.642998628675898</v>
      </c>
      <c r="N453" s="149">
        <v>46.061252476001798</v>
      </c>
      <c r="O453" s="149">
        <v>36.995276550358099</v>
      </c>
      <c r="P453" s="149">
        <v>22.337345726039899</v>
      </c>
      <c r="Q453" s="149">
        <v>11.3515160749657</v>
      </c>
      <c r="R453" s="149">
        <v>5.8662197165930197</v>
      </c>
      <c r="S453" s="138">
        <v>2.76</v>
      </c>
      <c r="T453" s="138">
        <v>2.7</v>
      </c>
      <c r="U453" s="138">
        <f>级配!F453/S453*E452</f>
        <v>0</v>
      </c>
      <c r="V453" s="138">
        <f>级配!F453/T453*E452</f>
        <v>0</v>
      </c>
    </row>
    <row r="454" spans="1:32" ht="14.4">
      <c r="A454" s="276"/>
      <c r="B454" s="276"/>
      <c r="C454"/>
      <c r="F454" s="129" t="s">
        <v>240</v>
      </c>
      <c r="G454" s="170">
        <f>$E$29*($F$29*G445+$F$30*G446+$F$31*G447+$F$32*G448+$F$33*G449+$F$34*G450+$F$35*G451)+$E$36*($F$36*G452+$F$37*G453)</f>
        <v>100</v>
      </c>
      <c r="H454" s="170">
        <f>E445*(F445*H445+F446*H446+F447*H447+F448*H448+F449*H449+F450*H450+F451*H451)+E452*(F452*H452+F453*H453)</f>
        <v>100</v>
      </c>
      <c r="I454" s="170">
        <f>E445*(F445*I445+F446*I446+F447*I447+F448*I448+F449*I449+F450*I450+F451*I451)+E452*(F452*I452+F453*I453)</f>
        <v>100</v>
      </c>
      <c r="J454" s="170">
        <f>E445*(F445*J445+F446*J446+F447*J447+F448*J448+F449*J449+F450*J450+F451*J451)+E452*(F452*J452+F453*J453)</f>
        <v>98.207743557194306</v>
      </c>
      <c r="K454" s="170">
        <f>E445*(F445*K445+F446*K446+F447*K447+F448*K448+F449*K449+F450*K450+F451*K451)+E452*(F452*K452+F453*K453)</f>
        <v>76.946703725580406</v>
      </c>
      <c r="L454" s="170">
        <f>E445*(F445*L445+F446*L446+F447*L447+F448*L448+F449*L449+F450*L450+F451*L451)+E452*(F452*L452+F453*L453)</f>
        <v>51.030713538338603</v>
      </c>
      <c r="M454" s="170">
        <f>E445*(F445*M445+F446*M446+F447*M447+F448*M448+F449*M449+F450*M450+F451*M451)+E452*(F452*M452+F453*M453)</f>
        <v>36.786356351925697</v>
      </c>
      <c r="N454" s="170">
        <f>E445*(F445*N445+F446*N446+F447*N447+F448*N448+F449*N449+F450*N450+F451*N451)+E452*(F452*N452+F453*N453)</f>
        <v>26.181302384176199</v>
      </c>
      <c r="O454" s="170">
        <f>E445*(F445*O445+F446*O446+F447*O447+F448*O448+F449*O449+F450*O450+F451*O451)+E452*(F452*O452+F453*O453)</f>
        <v>19.3405343884484</v>
      </c>
      <c r="P454" s="170">
        <f>E445*(F445*P445+F446*P446+F447*P447+F448*P448+F449*P449+F450*P450+F451*P451)+E452*(F452*P452+F453*P453)</f>
        <v>11.030131463298201</v>
      </c>
      <c r="Q454" s="170">
        <f>E445*(F445*Q445+F446*Q446+F447*Q447+F448*Q448+F449*Q449+F450*Q450+F451*Q451)+E452*(F452*Q452+F453*Q453)</f>
        <v>6.0226759687095104</v>
      </c>
      <c r="R454" s="170">
        <f>E445*(F445*R445+F446*R446+F447*R447+F448*R448+F449*R449+F450*R450+F451*R451)+E452*(F452*R452+F453*R453)</f>
        <v>2.97251528573827</v>
      </c>
      <c r="S454" s="138"/>
      <c r="T454" s="138"/>
    </row>
    <row r="455" spans="1:32" ht="14.4">
      <c r="A455" s="276"/>
      <c r="B455" s="276"/>
      <c r="C455"/>
      <c r="F455" s="129" t="s">
        <v>241</v>
      </c>
      <c r="G455" s="149">
        <v>100</v>
      </c>
      <c r="H455" s="149">
        <v>100</v>
      </c>
      <c r="I455" s="129">
        <v>100</v>
      </c>
      <c r="J455" s="129">
        <v>100</v>
      </c>
      <c r="K455" s="129">
        <v>85</v>
      </c>
      <c r="L455" s="129">
        <v>68</v>
      </c>
      <c r="M455" s="129">
        <v>50</v>
      </c>
      <c r="N455" s="129">
        <v>38</v>
      </c>
      <c r="O455" s="129">
        <v>28</v>
      </c>
      <c r="P455" s="129">
        <v>20</v>
      </c>
      <c r="Q455" s="129">
        <v>15</v>
      </c>
      <c r="R455" s="129">
        <v>8</v>
      </c>
      <c r="S455" s="138"/>
      <c r="T455" s="138"/>
    </row>
    <row r="456" spans="1:32" ht="14.4">
      <c r="A456" s="276"/>
      <c r="B456" s="276"/>
      <c r="C456"/>
      <c r="F456" s="129" t="s">
        <v>242</v>
      </c>
      <c r="G456" s="149">
        <f t="shared" ref="G456" si="74">(G455+G457)/2</f>
        <v>100</v>
      </c>
      <c r="H456" s="149">
        <v>100</v>
      </c>
      <c r="I456" s="129">
        <v>100</v>
      </c>
      <c r="J456" s="129">
        <f t="shared" ref="J456:R456" si="75">(J455+J457)/2</f>
        <v>95</v>
      </c>
      <c r="K456" s="129">
        <f t="shared" si="75"/>
        <v>76.5</v>
      </c>
      <c r="L456" s="129">
        <f t="shared" si="75"/>
        <v>53</v>
      </c>
      <c r="M456" s="129">
        <f t="shared" si="75"/>
        <v>37</v>
      </c>
      <c r="N456" s="129">
        <f t="shared" si="75"/>
        <v>26.5</v>
      </c>
      <c r="O456" s="129">
        <f t="shared" si="75"/>
        <v>19</v>
      </c>
      <c r="P456" s="129">
        <f t="shared" si="75"/>
        <v>13.5</v>
      </c>
      <c r="Q456" s="129">
        <f t="shared" si="75"/>
        <v>10</v>
      </c>
      <c r="R456" s="129">
        <f t="shared" si="75"/>
        <v>6</v>
      </c>
      <c r="S456" s="138"/>
      <c r="T456" s="138"/>
    </row>
    <row r="457" spans="1:32" ht="14.4">
      <c r="A457" s="276"/>
      <c r="B457" s="276"/>
      <c r="C457"/>
      <c r="F457" s="129" t="s">
        <v>243</v>
      </c>
      <c r="G457" s="149">
        <v>100</v>
      </c>
      <c r="H457" s="149">
        <v>100</v>
      </c>
      <c r="I457" s="129">
        <v>100</v>
      </c>
      <c r="J457" s="129">
        <v>90</v>
      </c>
      <c r="K457" s="129">
        <v>68</v>
      </c>
      <c r="L457" s="129">
        <v>38</v>
      </c>
      <c r="M457" s="129">
        <v>24</v>
      </c>
      <c r="N457" s="129">
        <v>15</v>
      </c>
      <c r="O457" s="129">
        <v>10</v>
      </c>
      <c r="P457" s="129">
        <v>7</v>
      </c>
      <c r="Q457" s="129">
        <v>5</v>
      </c>
      <c r="R457" s="129">
        <v>4</v>
      </c>
      <c r="S457" s="138"/>
      <c r="T457" s="138"/>
    </row>
    <row r="458" spans="1:32">
      <c r="A458" s="276" t="s">
        <v>119</v>
      </c>
      <c r="B458" s="276" t="s">
        <v>245</v>
      </c>
      <c r="C458" s="159" t="s">
        <v>81</v>
      </c>
      <c r="D458" s="157" t="s">
        <v>62</v>
      </c>
      <c r="E458" s="276">
        <v>0.5</v>
      </c>
      <c r="F458" s="129">
        <v>0.3</v>
      </c>
      <c r="G458" s="149">
        <v>100</v>
      </c>
      <c r="H458" s="149">
        <v>93.5</v>
      </c>
      <c r="I458" s="149">
        <v>66.400000000000006</v>
      </c>
      <c r="J458" s="149">
        <v>28.4</v>
      </c>
      <c r="K458" s="149">
        <v>1.7</v>
      </c>
      <c r="L458" s="149">
        <v>0.8</v>
      </c>
      <c r="M458" s="149">
        <v>0.8</v>
      </c>
      <c r="N458" s="149">
        <v>0.8</v>
      </c>
      <c r="O458" s="149">
        <v>0.8</v>
      </c>
      <c r="P458" s="149">
        <v>0.8</v>
      </c>
      <c r="Q458" s="149">
        <v>0.8</v>
      </c>
      <c r="R458" s="149">
        <v>0.8</v>
      </c>
      <c r="S458" s="138">
        <v>2.758</v>
      </c>
      <c r="T458" s="138">
        <v>2.7269999999999999</v>
      </c>
      <c r="U458" s="138">
        <f>[2]级配!F458/S458*E458</f>
        <v>2.7193618564176899E-2</v>
      </c>
      <c r="V458" s="138">
        <f>[2]级配!F458/T458*E458</f>
        <v>2.75027502750275E-2</v>
      </c>
      <c r="W458" s="138">
        <f>1/SUM(U458:U466)</f>
        <v>2.7060613038991699</v>
      </c>
      <c r="X458" s="153">
        <v>0.4</v>
      </c>
      <c r="Y458" s="138">
        <f>0.033*X458*X458-0.2936*X458+0.9336</f>
        <v>0.82143999999999995</v>
      </c>
      <c r="Z458" s="138">
        <f>0.033*Y458*Y458-0.2936*Y458+0.9336</f>
        <v>0.71469241722879995</v>
      </c>
      <c r="AA458" s="138">
        <v>2.4679356160567498</v>
      </c>
      <c r="AB458" s="138">
        <f>1/SUM(V458:V466)</f>
        <v>2.5858213315997798</v>
      </c>
      <c r="AC458" s="139">
        <v>4.5999999999999996</v>
      </c>
      <c r="AD458" s="138">
        <f>100*AC458/(100+AC458)</f>
        <v>4.3977055449330802</v>
      </c>
      <c r="AE458" s="137"/>
      <c r="AF458" s="154">
        <f>AC458-E464*F464*AE464-E464*F465*AE465-E464*F466*AE466</f>
        <v>2.89839324257738</v>
      </c>
    </row>
    <row r="459" spans="1:32">
      <c r="A459" s="276"/>
      <c r="B459" s="276"/>
      <c r="C459" s="159" t="s">
        <v>81</v>
      </c>
      <c r="D459" s="157" t="s">
        <v>63</v>
      </c>
      <c r="E459" s="276"/>
      <c r="F459" s="129">
        <v>0.4</v>
      </c>
      <c r="G459" s="149">
        <v>100</v>
      </c>
      <c r="H459" s="149">
        <v>100</v>
      </c>
      <c r="I459" s="149">
        <v>100</v>
      </c>
      <c r="J459" s="149">
        <v>100</v>
      </c>
      <c r="K459" s="149">
        <v>94.4</v>
      </c>
      <c r="L459" s="149">
        <v>6</v>
      </c>
      <c r="M459" s="149">
        <v>0.4</v>
      </c>
      <c r="N459" s="149">
        <v>0.4</v>
      </c>
      <c r="O459" s="149">
        <v>0.4</v>
      </c>
      <c r="P459" s="149">
        <v>0.4</v>
      </c>
      <c r="Q459" s="149">
        <v>0.4</v>
      </c>
      <c r="R459" s="149">
        <v>0.4</v>
      </c>
      <c r="S459" s="138">
        <v>2.6789999999999998</v>
      </c>
      <c r="T459" s="138">
        <v>2.637</v>
      </c>
      <c r="U459" s="138">
        <f>[2]级配!F459/S459*E458</f>
        <v>3.7327360955580403E-2</v>
      </c>
      <c r="V459" s="138">
        <f>[2]级配!F459/T459*E458</f>
        <v>3.7921880925293902E-2</v>
      </c>
      <c r="W459" s="138"/>
      <c r="X459" s="138"/>
      <c r="Y459" s="151"/>
      <c r="Z459" s="151"/>
      <c r="AA459" s="138"/>
      <c r="AB459" s="138"/>
      <c r="AC459" s="139"/>
      <c r="AD459" s="138"/>
      <c r="AE459" s="137"/>
      <c r="AF459" s="137"/>
    </row>
    <row r="460" spans="1:32">
      <c r="A460" s="276"/>
      <c r="B460" s="276"/>
      <c r="C460" s="159" t="s">
        <v>82</v>
      </c>
      <c r="D460" s="157" t="s">
        <v>65</v>
      </c>
      <c r="E460" s="276"/>
      <c r="F460" s="130">
        <v>0.3</v>
      </c>
      <c r="G460" s="149">
        <v>100</v>
      </c>
      <c r="H460" s="149">
        <v>100</v>
      </c>
      <c r="I460" s="149">
        <v>100</v>
      </c>
      <c r="J460" s="149">
        <v>100</v>
      </c>
      <c r="K460" s="149">
        <v>100</v>
      </c>
      <c r="L460" s="149">
        <v>98.1</v>
      </c>
      <c r="M460" s="149">
        <v>62.4</v>
      </c>
      <c r="N460" s="149">
        <v>37.299999999999997</v>
      </c>
      <c r="O460" s="149">
        <v>26.4</v>
      </c>
      <c r="P460" s="149">
        <v>16.7</v>
      </c>
      <c r="Q460" s="149">
        <v>11.7</v>
      </c>
      <c r="R460" s="149">
        <v>8.5</v>
      </c>
      <c r="S460" s="138">
        <v>2.7469999999999999</v>
      </c>
      <c r="T460" s="138">
        <v>2.6629999999999998</v>
      </c>
      <c r="U460" s="138">
        <f>[2]级配!F460/S460*E458</f>
        <v>5.4605023662176899E-2</v>
      </c>
      <c r="V460" s="138">
        <f>[2]级配!F460/T460*E458</f>
        <v>5.63274502440856E-2</v>
      </c>
      <c r="AA460" s="138"/>
      <c r="AB460" s="138"/>
      <c r="AC460" s="139"/>
      <c r="AD460" s="138"/>
      <c r="AE460" s="137"/>
      <c r="AF460" s="137"/>
    </row>
    <row r="461" spans="1:32">
      <c r="A461" s="276"/>
      <c r="B461" s="276"/>
      <c r="C461" s="159" t="s">
        <v>99</v>
      </c>
      <c r="D461" s="157" t="s">
        <v>73</v>
      </c>
      <c r="E461" s="276"/>
      <c r="F461" s="129">
        <v>0</v>
      </c>
      <c r="G461" s="149">
        <v>100</v>
      </c>
      <c r="H461" s="149">
        <v>100</v>
      </c>
      <c r="I461" s="149">
        <v>100</v>
      </c>
      <c r="J461" s="149">
        <v>100</v>
      </c>
      <c r="K461" s="149">
        <v>100</v>
      </c>
      <c r="L461" s="149">
        <v>100</v>
      </c>
      <c r="M461" s="149">
        <v>100</v>
      </c>
      <c r="N461" s="149">
        <v>100</v>
      </c>
      <c r="O461" s="149">
        <v>100</v>
      </c>
      <c r="P461" s="149">
        <v>97.4</v>
      </c>
      <c r="Q461" s="149">
        <v>90.2</v>
      </c>
      <c r="R461" s="149">
        <v>78.2</v>
      </c>
      <c r="S461" s="138">
        <v>2.6789999999999998</v>
      </c>
      <c r="T461" s="138">
        <v>2.6789999999999998</v>
      </c>
      <c r="U461" s="138">
        <f>[2]级配!F461/S461*E458</f>
        <v>6.5322881672265798E-2</v>
      </c>
      <c r="V461" s="138">
        <f>[2]级配!F461/T461*E458</f>
        <v>6.5322881672265798E-2</v>
      </c>
      <c r="AA461" s="153"/>
      <c r="AC461" s="139"/>
      <c r="AD461" s="138"/>
      <c r="AE461" s="137"/>
      <c r="AF461" s="137"/>
    </row>
    <row r="462" spans="1:32">
      <c r="A462" s="276"/>
      <c r="B462" s="276"/>
      <c r="C462" s="159" t="s">
        <v>99</v>
      </c>
      <c r="D462" s="157" t="s">
        <v>73</v>
      </c>
      <c r="E462" s="276"/>
      <c r="F462" s="130">
        <v>0</v>
      </c>
      <c r="G462" s="149">
        <v>100</v>
      </c>
      <c r="H462" s="149">
        <v>100</v>
      </c>
      <c r="I462" s="149">
        <v>100</v>
      </c>
      <c r="J462" s="149">
        <v>100</v>
      </c>
      <c r="K462" s="149">
        <v>100</v>
      </c>
      <c r="L462" s="149">
        <v>70.359936297776699</v>
      </c>
      <c r="M462" s="149">
        <v>8.4791666666666696</v>
      </c>
      <c r="N462" s="149">
        <v>4.50416666666667</v>
      </c>
      <c r="O462" s="149">
        <v>2.56666666666667</v>
      </c>
      <c r="P462" s="149">
        <v>1.8375000000000099</v>
      </c>
      <c r="Q462" s="149">
        <v>1.5875000000000099</v>
      </c>
      <c r="R462" s="149">
        <v>1.4208333333333401</v>
      </c>
      <c r="S462" s="138">
        <v>2.6659999999999999</v>
      </c>
      <c r="T462" s="138">
        <v>2.5350000000000001</v>
      </c>
      <c r="U462" s="138">
        <f>[2]级配!F462/S462*E458</f>
        <v>0</v>
      </c>
      <c r="V462" s="138">
        <f>[2]级配!F462/T462*E458</f>
        <v>0</v>
      </c>
      <c r="AA462" s="153"/>
      <c r="AC462" s="2"/>
      <c r="AE462" s="137"/>
      <c r="AF462" s="137"/>
    </row>
    <row r="463" spans="1:32">
      <c r="A463" s="276"/>
      <c r="B463" s="276"/>
      <c r="C463" s="159" t="s">
        <v>99</v>
      </c>
      <c r="D463" s="157" t="s">
        <v>73</v>
      </c>
      <c r="E463" s="276"/>
      <c r="F463" s="130">
        <v>0</v>
      </c>
      <c r="G463" s="149">
        <v>100</v>
      </c>
      <c r="H463" s="149">
        <v>100</v>
      </c>
      <c r="I463" s="149">
        <v>100</v>
      </c>
      <c r="J463" s="149">
        <v>100</v>
      </c>
      <c r="K463" s="149">
        <v>100</v>
      </c>
      <c r="L463" s="149">
        <v>100</v>
      </c>
      <c r="M463" s="149">
        <v>81.364999999999995</v>
      </c>
      <c r="N463" s="149">
        <v>59.195</v>
      </c>
      <c r="O463" s="149">
        <v>34.704999999999998</v>
      </c>
      <c r="P463" s="149">
        <v>19.21</v>
      </c>
      <c r="Q463" s="149">
        <v>13.9</v>
      </c>
      <c r="R463" s="149">
        <v>11.54</v>
      </c>
      <c r="S463" s="138">
        <v>2.714</v>
      </c>
      <c r="T463" s="138">
        <v>2.5529999999999999</v>
      </c>
      <c r="U463" s="138">
        <f>[2]级配!F463/S463*E458</f>
        <v>0</v>
      </c>
      <c r="V463" s="138">
        <f>[2]级配!F463/T463*E458</f>
        <v>0</v>
      </c>
      <c r="AA463" s="153"/>
      <c r="AE463" s="137"/>
      <c r="AF463" s="137"/>
    </row>
    <row r="464" spans="1:32" ht="14.4">
      <c r="A464" s="276"/>
      <c r="B464" s="276"/>
      <c r="C464" s="164" t="s">
        <v>74</v>
      </c>
      <c r="D464" s="157" t="s">
        <v>62</v>
      </c>
      <c r="E464" s="276">
        <v>0.5</v>
      </c>
      <c r="F464" s="130">
        <v>0.33</v>
      </c>
      <c r="G464" s="149">
        <v>100</v>
      </c>
      <c r="H464" s="149">
        <v>100</v>
      </c>
      <c r="I464" s="149">
        <v>98.7</v>
      </c>
      <c r="J464" s="149">
        <v>87.2</v>
      </c>
      <c r="K464" s="149">
        <v>52.7</v>
      </c>
      <c r="L464" s="149">
        <v>22.4</v>
      </c>
      <c r="M464" s="149">
        <v>16.100000000000001</v>
      </c>
      <c r="N464" s="149">
        <v>13.1</v>
      </c>
      <c r="O464" s="149">
        <v>11.4</v>
      </c>
      <c r="P464" s="149">
        <v>8.9</v>
      </c>
      <c r="Q464" s="149">
        <v>6.2</v>
      </c>
      <c r="R464" s="149">
        <v>3.7</v>
      </c>
      <c r="S464" s="138">
        <v>2.6659999999999999</v>
      </c>
      <c r="T464" s="138">
        <v>2.5350000000000001</v>
      </c>
      <c r="U464" s="138">
        <f>[2]级配!F464/S464*E464</f>
        <v>0</v>
      </c>
      <c r="V464" s="138">
        <f>[2]级配!F464/T464*E464</f>
        <v>0</v>
      </c>
      <c r="AA464" s="153"/>
      <c r="AC464" s="2"/>
      <c r="AE464" s="137">
        <v>2.4788303650372598</v>
      </c>
      <c r="AF464" s="137"/>
    </row>
    <row r="465" spans="1:32">
      <c r="A465" s="276"/>
      <c r="B465" s="276"/>
      <c r="C465" s="159" t="s">
        <v>74</v>
      </c>
      <c r="D465" s="168" t="s">
        <v>63</v>
      </c>
      <c r="E465" s="276"/>
      <c r="F465" s="130">
        <v>0.33</v>
      </c>
      <c r="G465" s="149">
        <v>100</v>
      </c>
      <c r="H465" s="149">
        <v>100</v>
      </c>
      <c r="I465" s="149">
        <v>100</v>
      </c>
      <c r="J465" s="149">
        <v>100</v>
      </c>
      <c r="K465" s="149">
        <v>97.5</v>
      </c>
      <c r="L465" s="149">
        <v>42.1</v>
      </c>
      <c r="M465" s="149">
        <v>19.3</v>
      </c>
      <c r="N465" s="149">
        <v>14.7</v>
      </c>
      <c r="O465" s="149">
        <v>12.6</v>
      </c>
      <c r="P465" s="149">
        <v>9.3000000000000007</v>
      </c>
      <c r="Q465" s="149">
        <v>7.1</v>
      </c>
      <c r="R465" s="149">
        <v>4.8</v>
      </c>
      <c r="S465" s="138">
        <v>2.714</v>
      </c>
      <c r="T465" s="138">
        <v>2.5529999999999999</v>
      </c>
      <c r="U465" s="138">
        <f>[2]级配!F465/S465*E464</f>
        <v>7.3691967575534298E-2</v>
      </c>
      <c r="V465" s="138">
        <f>[2]级配!F465/T465*E464</f>
        <v>7.8339208773991406E-2</v>
      </c>
      <c r="AA465" s="153"/>
      <c r="AC465" s="2"/>
      <c r="AE465" s="137">
        <v>1.8572744513681601</v>
      </c>
      <c r="AF465" s="137"/>
    </row>
    <row r="466" spans="1:32">
      <c r="A466" s="276"/>
      <c r="B466" s="276"/>
      <c r="C466" s="159" t="s">
        <v>76</v>
      </c>
      <c r="D466" s="168" t="s">
        <v>65</v>
      </c>
      <c r="E466" s="276"/>
      <c r="F466" s="130">
        <v>0.34</v>
      </c>
      <c r="G466" s="149">
        <v>100</v>
      </c>
      <c r="H466" s="149">
        <v>100</v>
      </c>
      <c r="I466" s="149">
        <v>100</v>
      </c>
      <c r="J466" s="149">
        <v>100</v>
      </c>
      <c r="K466" s="149">
        <v>100</v>
      </c>
      <c r="L466" s="149">
        <v>95.5</v>
      </c>
      <c r="M466" s="149">
        <v>62.3</v>
      </c>
      <c r="N466" s="149">
        <v>44.7</v>
      </c>
      <c r="O466" s="149">
        <v>35.200000000000003</v>
      </c>
      <c r="P466" s="149">
        <v>25.1</v>
      </c>
      <c r="Q466" s="149">
        <v>15.6</v>
      </c>
      <c r="R466" s="149">
        <v>10.7</v>
      </c>
      <c r="S466" s="138">
        <v>2.6930000000000001</v>
      </c>
      <c r="T466" s="138">
        <v>2.4729999999999999</v>
      </c>
      <c r="U466" s="138">
        <f>[2]级配!F466/S466*E464</f>
        <v>0.111399925733383</v>
      </c>
      <c r="V466" s="138">
        <f>[2]级配!F466/T466*E464</f>
        <v>0.121310149615851</v>
      </c>
      <c r="AA466" s="153"/>
      <c r="AC466" s="2"/>
      <c r="AE466" s="137">
        <v>5.8008791924454499</v>
      </c>
      <c r="AF466" s="137"/>
    </row>
    <row r="467" spans="1:32" ht="14.4">
      <c r="A467" s="276"/>
      <c r="B467" s="276"/>
      <c r="C467"/>
      <c r="D467" s="157"/>
      <c r="F467" s="129" t="s">
        <v>240</v>
      </c>
      <c r="G467" s="149">
        <f>$E$29*($F$29*G458+$F$30*G459+$F$31*G460+$F$32*G461+$F$33*G462+$F$34*G463+$F$35*G464)+$E$36*($F$36*G465+$F$37*G466)</f>
        <v>100</v>
      </c>
      <c r="H467" s="149">
        <f>E458*(F458*H458+F459*H459+F460*H460+F461*H461+F462*H462+F463*H463+F464*H464)+E464*(F465*H465+F466*H466)</f>
        <v>99.025000000000006</v>
      </c>
      <c r="I467" s="149">
        <f>E458*(F458*I458+F459*I459+F460*I460+F461*I461+F462*I462+F463*I463+F464*I464)+E464*(F465*I465+F466*I466)</f>
        <v>94.745500000000007</v>
      </c>
      <c r="J467" s="149">
        <f>E458*(F458*J458+F459*J459+F460*J460+F461*J461+F462*J462+F463*J463+F464*J464)+E464*(F465*J465+F466*J466)</f>
        <v>87.147999999999996</v>
      </c>
      <c r="K467" s="149">
        <f>E458*(F458*K458+F459*K459+F460*K460+F461*K461+F462*K462+F463*K463+F464*K464)+E464*(F465*K465+F466*K466)</f>
        <v>75.918000000000006</v>
      </c>
      <c r="L467" s="149">
        <f>E458*(F458*L458+F459*L459+F460*L460+F461*L461+F462*L462+F463*L463+F464*L464)+E464*(F465*L465+F466*L466)</f>
        <v>42.912500000000001</v>
      </c>
      <c r="M467" s="149">
        <f>E458*(F458*M458+F459*M459+F460*M460+F461*M461+F462*M462+F463*M463+F464*M464)+E464*(F465*M465+F466*M466)</f>
        <v>25.992000000000001</v>
      </c>
      <c r="N467" s="149">
        <f>E458*(F458*N458+F459*N459+F460*N460+F461*N461+F462*N462+F463*N463+F464*N464)+E464*(F465*N465+F466*N466)</f>
        <v>17.981000000000002</v>
      </c>
      <c r="O467" s="149">
        <f>E458*(F458*O458+F459*O459+F460*O460+F461*O461+F462*O462+F463*O463+F464*O464)+E464*(F465*O465+F466*O466)</f>
        <v>14.103999999999999</v>
      </c>
      <c r="P467" s="149">
        <f>E458*(F458*P458+F459*P459+F460*P460+F461*P461+F462*P462+F463*P463+F464*P464)+E464*(F465*P465+F466*P466)</f>
        <v>9.9749999999999996</v>
      </c>
      <c r="Q467" s="149">
        <f>E458*(F458*Q458+F459*Q459+F460*Q460+F461*Q461+F462*Q462+F463*Q463+F464*Q464)+E464*(F465*Q465+F466*Q466)</f>
        <v>6.8014999999999999</v>
      </c>
      <c r="R467" s="149">
        <f>E458*(F458*R458+F459*R459+F460*R460+F461*R461+F462*R462+F463*R463+F464*R464)+E464*(F465*R465+F466*R466)</f>
        <v>4.6965000000000003</v>
      </c>
      <c r="AA467" s="153"/>
      <c r="AC467" s="2"/>
      <c r="AE467" s="137"/>
      <c r="AF467" s="137"/>
    </row>
    <row r="468" spans="1:32" ht="14.4">
      <c r="A468" s="276"/>
      <c r="B468" s="276"/>
      <c r="C468"/>
      <c r="D468" s="157"/>
      <c r="F468" s="129" t="s">
        <v>241</v>
      </c>
      <c r="G468" s="149">
        <v>100</v>
      </c>
      <c r="H468" s="149">
        <v>100</v>
      </c>
      <c r="I468" s="149">
        <v>92</v>
      </c>
      <c r="J468" s="149">
        <v>80</v>
      </c>
      <c r="K468" s="149">
        <v>72</v>
      </c>
      <c r="L468" s="149">
        <v>56</v>
      </c>
      <c r="M468" s="149">
        <v>44</v>
      </c>
      <c r="N468" s="149">
        <v>33</v>
      </c>
      <c r="O468" s="149">
        <v>24</v>
      </c>
      <c r="P468" s="149">
        <v>17</v>
      </c>
      <c r="Q468" s="149">
        <v>13</v>
      </c>
      <c r="R468" s="149">
        <v>7</v>
      </c>
      <c r="AA468" s="153"/>
      <c r="AC468" s="2"/>
      <c r="AE468" s="137"/>
      <c r="AF468" s="137"/>
    </row>
    <row r="469" spans="1:32" ht="14.4">
      <c r="A469" s="276"/>
      <c r="B469" s="276"/>
      <c r="C469"/>
      <c r="D469" s="157"/>
      <c r="F469" s="129" t="s">
        <v>242</v>
      </c>
      <c r="G469" s="149">
        <f t="shared" ref="G469:R469" si="76">(G468+G470)/2</f>
        <v>100</v>
      </c>
      <c r="H469" s="149">
        <f t="shared" si="76"/>
        <v>95</v>
      </c>
      <c r="I469" s="149">
        <f t="shared" si="76"/>
        <v>85</v>
      </c>
      <c r="J469" s="149">
        <f t="shared" si="76"/>
        <v>71</v>
      </c>
      <c r="K469" s="149">
        <f t="shared" si="76"/>
        <v>61</v>
      </c>
      <c r="L469" s="149">
        <f t="shared" si="76"/>
        <v>41</v>
      </c>
      <c r="M469" s="149">
        <f t="shared" si="76"/>
        <v>30</v>
      </c>
      <c r="N469" s="149">
        <f t="shared" si="76"/>
        <v>22.5</v>
      </c>
      <c r="O469" s="149">
        <f t="shared" si="76"/>
        <v>16</v>
      </c>
      <c r="P469" s="149">
        <f t="shared" si="76"/>
        <v>11</v>
      </c>
      <c r="Q469" s="149">
        <f t="shared" si="76"/>
        <v>8.5</v>
      </c>
      <c r="R469" s="149">
        <f t="shared" si="76"/>
        <v>5</v>
      </c>
      <c r="AA469" s="153"/>
      <c r="AC469" s="2"/>
      <c r="AE469" s="137"/>
      <c r="AF469" s="137"/>
    </row>
    <row r="470" spans="1:32" ht="14.4">
      <c r="A470" s="276"/>
      <c r="B470" s="276"/>
      <c r="C470"/>
      <c r="D470" s="157"/>
      <c r="F470" s="129" t="s">
        <v>243</v>
      </c>
      <c r="G470" s="149">
        <v>100</v>
      </c>
      <c r="H470" s="149">
        <v>90</v>
      </c>
      <c r="I470" s="149">
        <v>78</v>
      </c>
      <c r="J470" s="149">
        <v>62</v>
      </c>
      <c r="K470" s="149">
        <v>50</v>
      </c>
      <c r="L470" s="149">
        <v>26</v>
      </c>
      <c r="M470" s="149">
        <v>16</v>
      </c>
      <c r="N470" s="149">
        <v>12</v>
      </c>
      <c r="O470" s="149">
        <v>8</v>
      </c>
      <c r="P470" s="149">
        <v>5</v>
      </c>
      <c r="Q470" s="149">
        <v>4</v>
      </c>
      <c r="R470" s="149">
        <v>3</v>
      </c>
      <c r="AA470" s="153"/>
      <c r="AC470" s="2"/>
      <c r="AE470" s="137"/>
      <c r="AF470" s="137"/>
    </row>
    <row r="471" spans="1:32" ht="14.4">
      <c r="A471" s="276" t="s">
        <v>120</v>
      </c>
      <c r="B471" s="280" t="s">
        <v>248</v>
      </c>
      <c r="C471" s="159" t="s">
        <v>61</v>
      </c>
      <c r="D471" s="157" t="s">
        <v>121</v>
      </c>
      <c r="E471" s="276">
        <v>0.4</v>
      </c>
      <c r="F471" s="129">
        <v>0.25</v>
      </c>
      <c r="G471" s="149">
        <v>100</v>
      </c>
      <c r="H471" s="149">
        <v>76.209999999999994</v>
      </c>
      <c r="I471" s="149">
        <v>10.046666666666701</v>
      </c>
      <c r="J471" s="149">
        <v>0.62333333333333496</v>
      </c>
      <c r="K471" s="149">
        <v>0.293333333333329</v>
      </c>
      <c r="L471" s="149">
        <v>6.3333333333332603E-2</v>
      </c>
      <c r="M471" s="149">
        <v>2.33333333333334E-2</v>
      </c>
      <c r="N471" s="149">
        <v>2.33333333333334E-2</v>
      </c>
      <c r="O471" s="149">
        <v>2.33333333333334E-2</v>
      </c>
      <c r="P471" s="149">
        <v>2.33333333333334E-2</v>
      </c>
      <c r="Q471" s="149">
        <v>2.33333333333334E-2</v>
      </c>
      <c r="R471" s="149">
        <v>2.33333333333334E-2</v>
      </c>
      <c r="S471" s="138">
        <v>2.758</v>
      </c>
      <c r="T471" s="138">
        <v>2.7269999999999999</v>
      </c>
      <c r="U471" s="138">
        <f>F471/S471*$E$471</f>
        <v>3.62581580855693E-2</v>
      </c>
      <c r="V471" s="138">
        <f>F471/T471*$E$471</f>
        <v>3.6670333700036702E-2</v>
      </c>
      <c r="W471" s="138">
        <f>1/SUM(U471:U479)</f>
        <v>2.69543157891921</v>
      </c>
      <c r="X471" s="153">
        <v>0.4</v>
      </c>
      <c r="Y471" s="138">
        <f>0.033*X471*X471-0.2936*X471+0.9336</f>
        <v>0.82143999999999995</v>
      </c>
      <c r="Z471" s="138">
        <f>0.033*Y471*Y471-0.2936*Y471+0.9336</f>
        <v>0.71469241722879995</v>
      </c>
      <c r="AA471" s="158">
        <v>2.5188489999999999</v>
      </c>
      <c r="AB471" s="138">
        <f>1/SUM(V471:V479)</f>
        <v>2.58119910852457</v>
      </c>
      <c r="AC471" s="139">
        <v>4.5999999999999996</v>
      </c>
      <c r="AD471" s="138">
        <f>100*AC471/(100+AC471)</f>
        <v>4.3977055449330802</v>
      </c>
      <c r="AF471" s="154">
        <f>AC471-E477*F477*AE477-E477*F478*AE478-E477*F479*AE479</f>
        <v>1.77269488746635</v>
      </c>
    </row>
    <row r="472" spans="1:32" ht="14.4">
      <c r="A472" s="276"/>
      <c r="B472" s="276"/>
      <c r="C472" s="159" t="s">
        <v>61</v>
      </c>
      <c r="D472" s="168" t="s">
        <v>115</v>
      </c>
      <c r="E472" s="276"/>
      <c r="F472" s="129">
        <v>0.35</v>
      </c>
      <c r="G472" s="149">
        <v>100</v>
      </c>
      <c r="H472" s="149">
        <v>100</v>
      </c>
      <c r="I472" s="149">
        <v>99.022838865836803</v>
      </c>
      <c r="J472" s="149">
        <v>86.738322959889402</v>
      </c>
      <c r="K472" s="149">
        <v>3.9772406639004201</v>
      </c>
      <c r="L472" s="149">
        <v>0.23078492392807701</v>
      </c>
      <c r="M472" s="149">
        <v>0.17679114799447901</v>
      </c>
      <c r="N472" s="149">
        <v>0.17679114799447901</v>
      </c>
      <c r="O472" s="149">
        <v>0.17679114799447901</v>
      </c>
      <c r="P472" s="149">
        <v>0.17679114799447901</v>
      </c>
      <c r="Q472" s="149">
        <v>0.17679114799447901</v>
      </c>
      <c r="R472" s="149">
        <v>0.17679114799447901</v>
      </c>
      <c r="S472" s="138">
        <v>2.6789999999999998</v>
      </c>
      <c r="T472" s="138">
        <v>2.637</v>
      </c>
      <c r="U472" s="138">
        <f t="shared" ref="U472:U476" si="77">F472/S472*$E$471</f>
        <v>5.2258305337812602E-2</v>
      </c>
      <c r="V472" s="138">
        <f t="shared" ref="V472:V476" si="78">F472/T472*$E$471</f>
        <v>5.3090633295411499E-2</v>
      </c>
      <c r="W472" s="138"/>
      <c r="X472" s="138"/>
      <c r="Y472" s="151"/>
      <c r="Z472" s="151"/>
      <c r="AA472" s="169">
        <v>2.5160207871330802</v>
      </c>
      <c r="AB472" s="138">
        <f>1/SUM(V472:V480)</f>
        <v>2.8510619044997498</v>
      </c>
      <c r="AC472" s="139">
        <v>4.5999999999999996</v>
      </c>
      <c r="AD472" s="138">
        <f>100*AC472/(100+AC472)</f>
        <v>4.3977055449330802</v>
      </c>
      <c r="AF472" s="154">
        <f>AC472-E477*F477*AE477-E477*F478*AE478-E477*F479*AE479</f>
        <v>1.77269488746635</v>
      </c>
    </row>
    <row r="473" spans="1:32" ht="14.4">
      <c r="A473" s="276"/>
      <c r="B473" s="276"/>
      <c r="C473" s="159" t="s">
        <v>61</v>
      </c>
      <c r="D473" s="168" t="s">
        <v>116</v>
      </c>
      <c r="E473" s="276"/>
      <c r="F473" s="130">
        <v>0.2</v>
      </c>
      <c r="G473" s="149">
        <v>100</v>
      </c>
      <c r="H473" s="149">
        <v>100</v>
      </c>
      <c r="I473" s="149">
        <v>100</v>
      </c>
      <c r="J473" s="149">
        <v>100</v>
      </c>
      <c r="K473" s="149">
        <v>85.256</v>
      </c>
      <c r="L473" s="149">
        <v>2.71157414014557</v>
      </c>
      <c r="M473" s="149">
        <v>0.135578707007312</v>
      </c>
      <c r="N473" s="149">
        <v>0.135578707007312</v>
      </c>
      <c r="O473" s="149">
        <v>0.135578707007312</v>
      </c>
      <c r="P473" s="149">
        <v>0.135578707007312</v>
      </c>
      <c r="Q473" s="149">
        <v>0.135578707007312</v>
      </c>
      <c r="R473" s="149">
        <v>0.135578707007312</v>
      </c>
      <c r="S473" s="138">
        <v>2.7469999999999999</v>
      </c>
      <c r="T473" s="138">
        <v>2.6629999999999998</v>
      </c>
      <c r="U473" s="138">
        <f t="shared" si="77"/>
        <v>2.91226792864944E-2</v>
      </c>
      <c r="V473" s="138">
        <f t="shared" si="78"/>
        <v>3.0041306796845701E-2</v>
      </c>
      <c r="AA473" s="158"/>
      <c r="AB473" s="138"/>
      <c r="AC473" s="139"/>
      <c r="AD473" s="138"/>
    </row>
    <row r="474" spans="1:32" ht="14.4">
      <c r="A474" s="276"/>
      <c r="B474" s="276"/>
      <c r="C474" s="159" t="s">
        <v>64</v>
      </c>
      <c r="D474" s="168" t="s">
        <v>71</v>
      </c>
      <c r="E474" s="276"/>
      <c r="F474" s="129">
        <v>0.2</v>
      </c>
      <c r="G474" s="149">
        <v>100</v>
      </c>
      <c r="H474" s="149">
        <v>100</v>
      </c>
      <c r="I474" s="149">
        <v>100</v>
      </c>
      <c r="J474" s="149">
        <v>100</v>
      </c>
      <c r="K474" s="149">
        <v>100</v>
      </c>
      <c r="L474" s="149">
        <v>99.37</v>
      </c>
      <c r="M474" s="149">
        <v>71.88</v>
      </c>
      <c r="N474" s="149">
        <v>34.4</v>
      </c>
      <c r="O474" s="149">
        <v>20.45</v>
      </c>
      <c r="P474" s="149">
        <v>8.9599999999999902</v>
      </c>
      <c r="Q474" s="149">
        <v>3.4300000000000099</v>
      </c>
      <c r="R474" s="149">
        <v>1.73</v>
      </c>
      <c r="S474" s="138">
        <v>2.6789999999999998</v>
      </c>
      <c r="T474" s="138">
        <v>2.6789999999999998</v>
      </c>
      <c r="U474" s="138">
        <f t="shared" si="77"/>
        <v>2.9861888764464401E-2</v>
      </c>
      <c r="V474" s="138">
        <f t="shared" si="78"/>
        <v>2.9861888764464401E-2</v>
      </c>
      <c r="AC474" s="139"/>
      <c r="AD474" s="138"/>
    </row>
    <row r="475" spans="1:32">
      <c r="A475" s="276"/>
      <c r="B475" s="276"/>
      <c r="C475" s="159" t="s">
        <v>99</v>
      </c>
      <c r="D475" s="157" t="s">
        <v>73</v>
      </c>
      <c r="E475" s="276"/>
      <c r="F475" s="130">
        <v>0</v>
      </c>
      <c r="G475" s="149">
        <v>100</v>
      </c>
      <c r="H475" s="149">
        <v>97.824108602082404</v>
      </c>
      <c r="I475" s="149">
        <v>88.742453151106503</v>
      </c>
      <c r="J475" s="149">
        <v>69.319544168287905</v>
      </c>
      <c r="K475" s="149">
        <v>42.773013985721299</v>
      </c>
      <c r="L475" s="149">
        <v>27.454764513418599</v>
      </c>
      <c r="M475" s="149">
        <v>20.397919150447599</v>
      </c>
      <c r="N475" s="149">
        <v>15.631998896852499</v>
      </c>
      <c r="O475" s="149">
        <v>12.761957829289001</v>
      </c>
      <c r="P475" s="149">
        <v>8.6126331852096705</v>
      </c>
      <c r="Q475" s="149">
        <v>5.2977462739261201</v>
      </c>
      <c r="R475" s="149">
        <v>2.7492888025162099</v>
      </c>
      <c r="S475" s="138">
        <v>2.6659999999999999</v>
      </c>
      <c r="T475" s="138">
        <v>2.5350000000000001</v>
      </c>
      <c r="U475" s="138">
        <f t="shared" si="77"/>
        <v>0</v>
      </c>
      <c r="V475" s="138">
        <f t="shared" si="78"/>
        <v>0</v>
      </c>
      <c r="AC475" s="2"/>
    </row>
    <row r="476" spans="1:32">
      <c r="A476" s="276"/>
      <c r="B476" s="276"/>
      <c r="C476" s="159" t="s">
        <v>99</v>
      </c>
      <c r="D476" s="157" t="s">
        <v>73</v>
      </c>
      <c r="E476" s="276"/>
      <c r="F476" s="130">
        <v>0</v>
      </c>
      <c r="G476" s="149">
        <v>100</v>
      </c>
      <c r="H476" s="149">
        <v>100</v>
      </c>
      <c r="I476" s="149">
        <v>100</v>
      </c>
      <c r="J476" s="149">
        <v>100</v>
      </c>
      <c r="K476" s="149">
        <v>100</v>
      </c>
      <c r="L476" s="149">
        <v>100</v>
      </c>
      <c r="M476" s="149">
        <v>81.364999999999995</v>
      </c>
      <c r="N476" s="149">
        <v>59.195</v>
      </c>
      <c r="O476" s="149">
        <v>34.704999999999998</v>
      </c>
      <c r="P476" s="149">
        <v>19.21</v>
      </c>
      <c r="Q476" s="149">
        <v>13.9</v>
      </c>
      <c r="R476" s="149">
        <v>11.54</v>
      </c>
      <c r="S476" s="138">
        <v>2.714</v>
      </c>
      <c r="T476" s="138">
        <v>2.5529999999999999</v>
      </c>
      <c r="U476" s="138">
        <f t="shared" si="77"/>
        <v>0</v>
      </c>
      <c r="V476" s="138">
        <f t="shared" si="78"/>
        <v>0</v>
      </c>
    </row>
    <row r="477" spans="1:32">
      <c r="A477" s="276"/>
      <c r="B477" s="276"/>
      <c r="C477" s="159" t="s">
        <v>74</v>
      </c>
      <c r="D477" s="168" t="s">
        <v>122</v>
      </c>
      <c r="E477" s="276">
        <v>0.6</v>
      </c>
      <c r="F477" s="130">
        <v>0.5</v>
      </c>
      <c r="G477" s="149">
        <v>100</v>
      </c>
      <c r="H477" s="149">
        <v>97.824108602082404</v>
      </c>
      <c r="I477" s="149">
        <v>88.742453151106503</v>
      </c>
      <c r="J477" s="149">
        <v>69.319544168287905</v>
      </c>
      <c r="K477" s="149">
        <v>42.773013985721299</v>
      </c>
      <c r="L477" s="149">
        <v>27.454764513418599</v>
      </c>
      <c r="M477" s="149">
        <v>20.397919150447599</v>
      </c>
      <c r="N477" s="149">
        <v>15.631998896852499</v>
      </c>
      <c r="O477" s="149">
        <v>12.761957829289001</v>
      </c>
      <c r="P477" s="149">
        <v>8.6126331852096705</v>
      </c>
      <c r="Q477" s="149">
        <v>5.2977462739261201</v>
      </c>
      <c r="R477" s="149">
        <v>2.7492888025162099</v>
      </c>
      <c r="S477" s="138">
        <v>2.6659999999999999</v>
      </c>
      <c r="T477" s="138">
        <v>2.5350000000000001</v>
      </c>
      <c r="U477" s="138">
        <f>F477/S477*$E$477</f>
        <v>0.112528132033008</v>
      </c>
      <c r="V477" s="138">
        <f>F477/T477*$E$477</f>
        <v>0.118343195266272</v>
      </c>
      <c r="AC477" s="2"/>
      <c r="AE477" s="154">
        <v>4.2631118247267796</v>
      </c>
    </row>
    <row r="478" spans="1:32">
      <c r="A478" s="276"/>
      <c r="B478" s="276"/>
      <c r="C478" s="159" t="s">
        <v>74</v>
      </c>
      <c r="D478" s="168" t="s">
        <v>79</v>
      </c>
      <c r="E478" s="276"/>
      <c r="F478" s="130">
        <v>0.25</v>
      </c>
      <c r="G478" s="149">
        <v>100</v>
      </c>
      <c r="H478" s="149">
        <v>100</v>
      </c>
      <c r="I478" s="149">
        <v>100</v>
      </c>
      <c r="J478" s="149">
        <v>98.474269459529395</v>
      </c>
      <c r="K478" s="149">
        <v>61.158520817170903</v>
      </c>
      <c r="L478" s="149">
        <v>25.5667614860788</v>
      </c>
      <c r="M478" s="149">
        <v>19.6189983622101</v>
      </c>
      <c r="N478" s="149">
        <v>16.369278510473201</v>
      </c>
      <c r="O478" s="149">
        <v>14.2660115507284</v>
      </c>
      <c r="P478" s="149">
        <v>10.6801137832945</v>
      </c>
      <c r="Q478" s="149">
        <v>6.0425825359882701</v>
      </c>
      <c r="R478" s="149">
        <v>3.2928195845185502</v>
      </c>
      <c r="S478" s="138">
        <v>2.714</v>
      </c>
      <c r="T478" s="138">
        <v>2.5529999999999999</v>
      </c>
      <c r="U478" s="138">
        <f>F478/S478*$E$477</f>
        <v>5.5268975681650699E-2</v>
      </c>
      <c r="V478" s="138">
        <f>F478/T478*$E$477</f>
        <v>5.8754406580493503E-2</v>
      </c>
      <c r="AC478" s="2"/>
      <c r="AE478" s="154">
        <v>3.77365911114941</v>
      </c>
    </row>
    <row r="479" spans="1:32">
      <c r="A479" s="276"/>
      <c r="B479" s="276"/>
      <c r="C479" s="159" t="s">
        <v>76</v>
      </c>
      <c r="D479" s="168" t="s">
        <v>68</v>
      </c>
      <c r="E479" s="276"/>
      <c r="F479" s="130">
        <v>0.25</v>
      </c>
      <c r="G479" s="149">
        <v>100</v>
      </c>
      <c r="H479" s="149">
        <v>100</v>
      </c>
      <c r="I479" s="149">
        <v>100</v>
      </c>
      <c r="J479" s="149">
        <v>100</v>
      </c>
      <c r="K479" s="149">
        <v>100</v>
      </c>
      <c r="L479" s="149">
        <v>87.73</v>
      </c>
      <c r="M479" s="149">
        <v>60.642998628675898</v>
      </c>
      <c r="N479" s="149">
        <v>46.061252476001798</v>
      </c>
      <c r="O479" s="149">
        <v>36.995276550358099</v>
      </c>
      <c r="P479" s="149">
        <v>22.337345726039899</v>
      </c>
      <c r="Q479" s="149">
        <v>11.3515160749657</v>
      </c>
      <c r="R479" s="149">
        <v>5.8662197165930197</v>
      </c>
      <c r="S479" s="138">
        <v>2.6930000000000001</v>
      </c>
      <c r="T479" s="138">
        <v>2.4729999999999999</v>
      </c>
      <c r="U479" s="138">
        <f>F479/S479*$E$477</f>
        <v>5.5699962866691398E-2</v>
      </c>
      <c r="V479" s="138">
        <f>F479/T479*$E$477</f>
        <v>6.0655074807925598E-2</v>
      </c>
      <c r="AC479" s="2"/>
      <c r="AE479" s="154">
        <v>6.5488179896213898</v>
      </c>
    </row>
    <row r="480" spans="1:32" ht="14.4">
      <c r="A480" s="276"/>
      <c r="B480" s="276"/>
      <c r="C480"/>
      <c r="D480" s="157"/>
      <c r="F480" s="129" t="s">
        <v>240</v>
      </c>
      <c r="G480" s="149">
        <f>$E$29*($F$29*G471+$F$30*G472+$F$31*G473+$F$32*G474+$F$33*G475+$F$34*G476+$F$35*G477)+$E$36*($F$36*G478+$F$37*G479)</f>
        <v>100</v>
      </c>
      <c r="H480" s="149">
        <f>E471*(F471*H471+F472*H472+F473*H473+F474*H474+F475*H475+F476*H476)+E477*(F478*H478+F479*H479+F477*H477)</f>
        <v>96.968232580624701</v>
      </c>
      <c r="I480" s="149">
        <f>E471*(F471*I471+F472*I472+F473*I473+F474*I474+F475*I475+F476*I476)+E477*(F478*I478+F479*I479+F477*I477)</f>
        <v>87.4906000532158</v>
      </c>
      <c r="J480" s="149">
        <f>E471*(F471*J471+F472*J472+F473*J473+F474*J474+F475*J475+F476*J476)+E477*(F478*J478+F479*J479+F477*J477)</f>
        <v>78.772702217133599</v>
      </c>
      <c r="K480" s="149">
        <f>E471*(F471*K471+F472*K472+F473*K473+F474*K474+F475*K475+F476*K476)+E477*(F478*K478+F479*K479+F477*K477)</f>
        <v>52.412309344571398</v>
      </c>
      <c r="L480" s="149">
        <f>E471*(F471*L471+F472*L472+F473*L473+F474*L474+F475*L475+F476*L476)+E477*(F478*L478+F479*L479+F477*L477)</f>
        <v>33.436112730832299</v>
      </c>
      <c r="M480" s="149">
        <f>E471*(F471*M471+F472*M472+F473*M473+F474*M474+F475*M475+F476*M476)+E477*(F478*M478+F479*M479+F477*M477)</f>
        <v>23.947005684380301</v>
      </c>
      <c r="N480" s="149">
        <f>E471*(F471*N471+F472*N472+F473*N473+F474*N474+F475*N475+F476*N476)+E477*(F478*N478+F479*N479+F477*N477)</f>
        <v>16.844109707640101</v>
      </c>
      <c r="O480" s="149">
        <f>E471*(F471*O471+F472*O472+F473*O473+F474*O474+F475*O475+F476*O476)+E477*(F478*O478+F479*O479+F477*O477)</f>
        <v>13.191710954562801</v>
      </c>
      <c r="P480" s="149">
        <f>E471*(F471*P471+F472*P472+F473*P473+F474*P474+F475*P475+F476*P476)+E477*(F478*P478+F479*P479+F477*P477)</f>
        <v>8.2911392725761992</v>
      </c>
      <c r="Q480" s="149">
        <f>E471*(F471*Q471+F472*Q472+F473*Q473+F474*Q474+F475*Q475+F476*Q476)+E477*(F478*Q478+F479*Q479+F477*Q477)</f>
        <v>4.5107690644340801</v>
      </c>
      <c r="R480" s="149">
        <f>E471*(F471*R471+F472*R472+F473*R473+F474*R474+F475*R475+F476*R476)+E477*(F478*R478+F479*R479+F477*R477)</f>
        <v>2.3749729265347401</v>
      </c>
      <c r="AC480" s="2"/>
    </row>
    <row r="481" spans="1:32" ht="14.4">
      <c r="A481" s="276"/>
      <c r="B481" s="276"/>
      <c r="C481"/>
      <c r="D481" s="157"/>
      <c r="F481" s="129" t="s">
        <v>241</v>
      </c>
      <c r="G481" s="149">
        <v>100</v>
      </c>
      <c r="H481" s="149">
        <v>100</v>
      </c>
      <c r="I481" s="149">
        <v>92</v>
      </c>
      <c r="J481" s="149">
        <v>80</v>
      </c>
      <c r="K481" s="149">
        <v>72</v>
      </c>
      <c r="L481" s="149">
        <v>56</v>
      </c>
      <c r="M481" s="149">
        <v>44</v>
      </c>
      <c r="N481" s="149">
        <v>33</v>
      </c>
      <c r="O481" s="149">
        <v>24</v>
      </c>
      <c r="P481" s="149">
        <v>17</v>
      </c>
      <c r="Q481" s="149">
        <v>13</v>
      </c>
      <c r="R481" s="149">
        <v>7</v>
      </c>
      <c r="AC481" s="2"/>
      <c r="AE481" s="137"/>
      <c r="AF481" s="137"/>
    </row>
    <row r="482" spans="1:32" ht="14.4">
      <c r="A482" s="276"/>
      <c r="B482" s="276"/>
      <c r="C482"/>
      <c r="D482" s="157"/>
      <c r="F482" s="129" t="s">
        <v>242</v>
      </c>
      <c r="G482" s="149">
        <f t="shared" ref="G482:R482" si="79">(G481+G483)/2</f>
        <v>100</v>
      </c>
      <c r="H482" s="149">
        <f t="shared" si="79"/>
        <v>95</v>
      </c>
      <c r="I482" s="149">
        <f t="shared" si="79"/>
        <v>85</v>
      </c>
      <c r="J482" s="149">
        <f t="shared" si="79"/>
        <v>71</v>
      </c>
      <c r="K482" s="149">
        <f t="shared" si="79"/>
        <v>61</v>
      </c>
      <c r="L482" s="149">
        <f t="shared" si="79"/>
        <v>41</v>
      </c>
      <c r="M482" s="149">
        <f t="shared" si="79"/>
        <v>30</v>
      </c>
      <c r="N482" s="149">
        <f t="shared" si="79"/>
        <v>22.5</v>
      </c>
      <c r="O482" s="149">
        <f t="shared" si="79"/>
        <v>16</v>
      </c>
      <c r="P482" s="149">
        <f t="shared" si="79"/>
        <v>11</v>
      </c>
      <c r="Q482" s="149">
        <f t="shared" si="79"/>
        <v>8.5</v>
      </c>
      <c r="R482" s="149">
        <f t="shared" si="79"/>
        <v>5</v>
      </c>
      <c r="AC482" s="2"/>
      <c r="AE482" s="137"/>
      <c r="AF482" s="137"/>
    </row>
    <row r="483" spans="1:32" ht="14.4">
      <c r="A483" s="276"/>
      <c r="B483" s="276"/>
      <c r="C483"/>
      <c r="D483" s="157"/>
      <c r="F483" s="129" t="s">
        <v>243</v>
      </c>
      <c r="G483" s="149">
        <v>100</v>
      </c>
      <c r="H483" s="149">
        <v>90</v>
      </c>
      <c r="I483" s="149">
        <v>78</v>
      </c>
      <c r="J483" s="149">
        <v>62</v>
      </c>
      <c r="K483" s="149">
        <v>50</v>
      </c>
      <c r="L483" s="149">
        <v>26</v>
      </c>
      <c r="M483" s="149">
        <v>16</v>
      </c>
      <c r="N483" s="149">
        <v>12</v>
      </c>
      <c r="O483" s="149">
        <v>8</v>
      </c>
      <c r="P483" s="149">
        <v>5</v>
      </c>
      <c r="Q483" s="149">
        <v>4</v>
      </c>
      <c r="R483" s="149">
        <v>3</v>
      </c>
      <c r="AC483" s="2"/>
      <c r="AE483" s="137"/>
      <c r="AF483" s="137"/>
    </row>
    <row r="484" spans="1:32" ht="14.4">
      <c r="A484" s="276" t="s">
        <v>120</v>
      </c>
      <c r="B484" s="276" t="s">
        <v>245</v>
      </c>
      <c r="C484" s="159" t="s">
        <v>61</v>
      </c>
      <c r="D484" s="157" t="s">
        <v>121</v>
      </c>
      <c r="E484" s="276">
        <v>0.4</v>
      </c>
      <c r="F484" s="129">
        <v>0.3</v>
      </c>
      <c r="G484" s="149">
        <v>100</v>
      </c>
      <c r="H484" s="149">
        <v>76.209999999999994</v>
      </c>
      <c r="I484" s="149">
        <v>10.046666666666701</v>
      </c>
      <c r="J484" s="149">
        <v>0.62333333333333496</v>
      </c>
      <c r="K484" s="149">
        <v>0.293333333333329</v>
      </c>
      <c r="L484" s="149">
        <v>6.3333333333332603E-2</v>
      </c>
      <c r="M484" s="149">
        <v>2.33333333333334E-2</v>
      </c>
      <c r="N484" s="149">
        <v>2.33333333333334E-2</v>
      </c>
      <c r="O484" s="149">
        <v>2.33333333333334E-2</v>
      </c>
      <c r="P484" s="149">
        <v>2.33333333333334E-2</v>
      </c>
      <c r="Q484" s="149">
        <v>2.33333333333334E-2</v>
      </c>
      <c r="R484" s="149">
        <v>2.33333333333334E-2</v>
      </c>
      <c r="S484" s="138">
        <v>2.758</v>
      </c>
      <c r="T484" s="138">
        <v>2.7269999999999999</v>
      </c>
      <c r="U484" s="138">
        <f>F484/S484*$E$471</f>
        <v>4.3509789702683099E-2</v>
      </c>
      <c r="V484" s="138">
        <f>F484/T484*$E$471</f>
        <v>4.4004400440044E-2</v>
      </c>
      <c r="W484" s="138">
        <f>1/SUM(U484:U492)</f>
        <v>2.7034834197475299</v>
      </c>
      <c r="X484" s="153">
        <v>0.4</v>
      </c>
      <c r="Y484" s="138">
        <f>0.033*X484*X484-0.2936*X484+0.9336</f>
        <v>0.82143999999999995</v>
      </c>
      <c r="Z484" s="138">
        <f>0.033*Y484*Y484-0.2936*Y484+0.9336</f>
        <v>0.71469241722879995</v>
      </c>
      <c r="AA484" s="158">
        <v>2.5160207871330802</v>
      </c>
      <c r="AB484" s="138">
        <f>1/SUM(V484:V492)</f>
        <v>2.5780199225773699</v>
      </c>
      <c r="AC484" s="139">
        <v>4.5999999999999996</v>
      </c>
      <c r="AD484" s="138">
        <f>100*AC484/(100+AC484)</f>
        <v>4.3977055449330802</v>
      </c>
      <c r="AF484" s="154">
        <f>AC484-E490*F490*AE490-E490*F491*AE491-E490*F492*AE492</f>
        <v>1.6727604848137501</v>
      </c>
    </row>
    <row r="485" spans="1:32" ht="14.4">
      <c r="A485" s="276"/>
      <c r="B485" s="276"/>
      <c r="C485" s="159" t="s">
        <v>61</v>
      </c>
      <c r="D485" s="168" t="s">
        <v>115</v>
      </c>
      <c r="E485" s="276"/>
      <c r="F485" s="129">
        <v>0.4</v>
      </c>
      <c r="G485" s="149">
        <v>100</v>
      </c>
      <c r="H485" s="149">
        <v>100</v>
      </c>
      <c r="I485" s="149">
        <v>99.022838865836803</v>
      </c>
      <c r="J485" s="149">
        <v>86.738322959889402</v>
      </c>
      <c r="K485" s="149">
        <v>3.9772406639004201</v>
      </c>
      <c r="L485" s="149">
        <v>0.23078492392807701</v>
      </c>
      <c r="M485" s="149">
        <v>0.17679114799447901</v>
      </c>
      <c r="N485" s="149">
        <v>0.17679114799447901</v>
      </c>
      <c r="O485" s="149">
        <v>0.17679114799447901</v>
      </c>
      <c r="P485" s="149">
        <v>0.17679114799447901</v>
      </c>
      <c r="Q485" s="149">
        <v>0.17679114799447901</v>
      </c>
      <c r="R485" s="149">
        <v>0.17679114799447901</v>
      </c>
      <c r="S485" s="138">
        <v>2.6789999999999998</v>
      </c>
      <c r="T485" s="138">
        <v>2.637</v>
      </c>
      <c r="U485" s="138">
        <f t="shared" ref="U485:U489" si="80">F485/S485*$E$471</f>
        <v>5.9723777528928698E-2</v>
      </c>
      <c r="V485" s="138">
        <f t="shared" ref="V485:V489" si="81">F485/T485*$E$471</f>
        <v>6.06750094804702E-2</v>
      </c>
      <c r="W485" s="138"/>
      <c r="X485" s="138"/>
      <c r="Y485" s="151"/>
      <c r="Z485" s="151"/>
      <c r="AA485" s="158"/>
      <c r="AB485" s="138"/>
      <c r="AC485" s="139"/>
      <c r="AD485" s="138"/>
    </row>
    <row r="486" spans="1:32" ht="14.4">
      <c r="A486" s="276"/>
      <c r="B486" s="276"/>
      <c r="C486" s="159" t="s">
        <v>61</v>
      </c>
      <c r="D486" s="168" t="s">
        <v>116</v>
      </c>
      <c r="E486" s="276"/>
      <c r="F486" s="130">
        <v>0.3</v>
      </c>
      <c r="G486" s="149">
        <v>100</v>
      </c>
      <c r="H486" s="149">
        <v>100</v>
      </c>
      <c r="I486" s="149">
        <v>100</v>
      </c>
      <c r="J486" s="149">
        <v>100</v>
      </c>
      <c r="K486" s="149">
        <v>85.256</v>
      </c>
      <c r="L486" s="149">
        <v>2.71157414014557</v>
      </c>
      <c r="M486" s="149">
        <v>0.135578707007312</v>
      </c>
      <c r="N486" s="149">
        <v>0.135578707007312</v>
      </c>
      <c r="O486" s="149">
        <v>0.135578707007312</v>
      </c>
      <c r="P486" s="149">
        <v>0.135578707007312</v>
      </c>
      <c r="Q486" s="149">
        <v>0.135578707007312</v>
      </c>
      <c r="R486" s="149">
        <v>0.135578707007312</v>
      </c>
      <c r="S486" s="138">
        <v>2.7469999999999999</v>
      </c>
      <c r="T486" s="138">
        <v>2.6629999999999998</v>
      </c>
      <c r="U486" s="138">
        <f t="shared" si="80"/>
        <v>4.3684018929741497E-2</v>
      </c>
      <c r="V486" s="138">
        <f t="shared" si="81"/>
        <v>4.5061960195268501E-2</v>
      </c>
      <c r="AA486" s="158"/>
      <c r="AB486" s="138"/>
      <c r="AC486" s="139"/>
      <c r="AD486" s="138"/>
    </row>
    <row r="487" spans="1:32" ht="14.4">
      <c r="A487" s="276"/>
      <c r="B487" s="276"/>
      <c r="C487" s="159" t="s">
        <v>64</v>
      </c>
      <c r="D487" s="168" t="s">
        <v>71</v>
      </c>
      <c r="E487" s="276"/>
      <c r="F487" s="129">
        <v>0</v>
      </c>
      <c r="G487" s="149">
        <v>100</v>
      </c>
      <c r="H487" s="149">
        <v>100</v>
      </c>
      <c r="I487" s="149">
        <v>100</v>
      </c>
      <c r="J487" s="149">
        <v>100</v>
      </c>
      <c r="K487" s="149">
        <v>100</v>
      </c>
      <c r="L487" s="149">
        <v>99.37</v>
      </c>
      <c r="M487" s="149">
        <v>71.88</v>
      </c>
      <c r="N487" s="149">
        <v>34.4</v>
      </c>
      <c r="O487" s="149">
        <v>20.45</v>
      </c>
      <c r="P487" s="149">
        <v>8.9599999999999902</v>
      </c>
      <c r="Q487" s="149">
        <v>3.4300000000000099</v>
      </c>
      <c r="R487" s="149">
        <v>1.73</v>
      </c>
      <c r="S487" s="138">
        <v>2.6789999999999998</v>
      </c>
      <c r="T487" s="138">
        <v>2.6789999999999998</v>
      </c>
      <c r="U487" s="138">
        <f t="shared" si="80"/>
        <v>0</v>
      </c>
      <c r="V487" s="138">
        <f t="shared" si="81"/>
        <v>0</v>
      </c>
      <c r="AC487" s="139"/>
      <c r="AD487" s="138"/>
    </row>
    <row r="488" spans="1:32">
      <c r="A488" s="276"/>
      <c r="B488" s="276"/>
      <c r="C488" s="159" t="s">
        <v>99</v>
      </c>
      <c r="D488" s="157" t="s">
        <v>73</v>
      </c>
      <c r="E488" s="276"/>
      <c r="F488" s="130">
        <v>0</v>
      </c>
      <c r="G488" s="149">
        <v>100</v>
      </c>
      <c r="H488" s="149">
        <v>97.824108602082404</v>
      </c>
      <c r="I488" s="149">
        <v>88.742453151106503</v>
      </c>
      <c r="J488" s="149">
        <v>69.319544168287905</v>
      </c>
      <c r="K488" s="149">
        <v>42.773013985721299</v>
      </c>
      <c r="L488" s="149">
        <v>27.454764513418599</v>
      </c>
      <c r="M488" s="149">
        <v>20.397919150447599</v>
      </c>
      <c r="N488" s="149">
        <v>15.631998896852499</v>
      </c>
      <c r="O488" s="149">
        <v>12.761957829289001</v>
      </c>
      <c r="P488" s="149">
        <v>8.6126331852096705</v>
      </c>
      <c r="Q488" s="149">
        <v>5.2977462739261201</v>
      </c>
      <c r="R488" s="149">
        <v>2.7492888025162099</v>
      </c>
      <c r="S488" s="138">
        <v>2.6659999999999999</v>
      </c>
      <c r="T488" s="138">
        <v>2.5350000000000001</v>
      </c>
      <c r="U488" s="138">
        <f t="shared" si="80"/>
        <v>0</v>
      </c>
      <c r="V488" s="138">
        <f t="shared" si="81"/>
        <v>0</v>
      </c>
      <c r="AC488" s="2"/>
    </row>
    <row r="489" spans="1:32">
      <c r="A489" s="276"/>
      <c r="B489" s="276"/>
      <c r="C489" s="159" t="s">
        <v>99</v>
      </c>
      <c r="D489" s="157" t="s">
        <v>73</v>
      </c>
      <c r="E489" s="276"/>
      <c r="F489" s="130">
        <v>0</v>
      </c>
      <c r="G489" s="149">
        <v>100</v>
      </c>
      <c r="H489" s="149">
        <v>100</v>
      </c>
      <c r="I489" s="149">
        <v>100</v>
      </c>
      <c r="J489" s="149">
        <v>100</v>
      </c>
      <c r="K489" s="149">
        <v>100</v>
      </c>
      <c r="L489" s="149">
        <v>100</v>
      </c>
      <c r="M489" s="149">
        <v>81.364999999999995</v>
      </c>
      <c r="N489" s="149">
        <v>59.195</v>
      </c>
      <c r="O489" s="149">
        <v>34.704999999999998</v>
      </c>
      <c r="P489" s="149">
        <v>19.21</v>
      </c>
      <c r="Q489" s="149">
        <v>13.9</v>
      </c>
      <c r="R489" s="149">
        <v>11.54</v>
      </c>
      <c r="S489" s="138">
        <v>2.714</v>
      </c>
      <c r="T489" s="138">
        <v>2.5529999999999999</v>
      </c>
      <c r="U489" s="138">
        <f t="shared" si="80"/>
        <v>0</v>
      </c>
      <c r="V489" s="138">
        <f t="shared" si="81"/>
        <v>0</v>
      </c>
    </row>
    <row r="490" spans="1:32">
      <c r="A490" s="276"/>
      <c r="B490" s="276"/>
      <c r="C490" s="159" t="s">
        <v>74</v>
      </c>
      <c r="D490" s="168" t="s">
        <v>122</v>
      </c>
      <c r="E490" s="276">
        <v>0.6</v>
      </c>
      <c r="F490" s="130">
        <v>0.33</v>
      </c>
      <c r="G490" s="149">
        <v>100</v>
      </c>
      <c r="H490" s="149">
        <v>97.824108602082404</v>
      </c>
      <c r="I490" s="149">
        <v>88.742453151106503</v>
      </c>
      <c r="J490" s="149">
        <v>69.319544168287905</v>
      </c>
      <c r="K490" s="149">
        <v>42.773013985721299</v>
      </c>
      <c r="L490" s="149">
        <v>27.454764513418599</v>
      </c>
      <c r="M490" s="149">
        <v>20.397919150447599</v>
      </c>
      <c r="N490" s="149">
        <v>15.631998896852499</v>
      </c>
      <c r="O490" s="149">
        <v>12.761957829289001</v>
      </c>
      <c r="P490" s="149">
        <v>8.6126331852096705</v>
      </c>
      <c r="Q490" s="149">
        <v>5.2977462739261201</v>
      </c>
      <c r="R490" s="149">
        <v>2.7492888025162099</v>
      </c>
      <c r="S490" s="138">
        <v>2.6659999999999999</v>
      </c>
      <c r="T490" s="138">
        <v>2.5350000000000001</v>
      </c>
      <c r="U490" s="138">
        <f>F490/S490*$E$477</f>
        <v>7.4268567141785494E-2</v>
      </c>
      <c r="V490" s="138">
        <f>F490/T490*$E$477</f>
        <v>7.8106508875739597E-2</v>
      </c>
      <c r="AC490" s="2"/>
      <c r="AE490" s="154">
        <v>4.2631118247267796</v>
      </c>
    </row>
    <row r="491" spans="1:32">
      <c r="A491" s="276"/>
      <c r="B491" s="276"/>
      <c r="C491" s="159" t="s">
        <v>74</v>
      </c>
      <c r="D491" s="168" t="s">
        <v>79</v>
      </c>
      <c r="E491" s="276"/>
      <c r="F491" s="130">
        <v>0.33</v>
      </c>
      <c r="G491" s="149">
        <v>100</v>
      </c>
      <c r="H491" s="149">
        <v>100</v>
      </c>
      <c r="I491" s="149">
        <v>100</v>
      </c>
      <c r="J491" s="149">
        <v>98.474269459529395</v>
      </c>
      <c r="K491" s="149">
        <v>61.158520817170903</v>
      </c>
      <c r="L491" s="149">
        <v>25.5667614860788</v>
      </c>
      <c r="M491" s="149">
        <v>19.6189983622101</v>
      </c>
      <c r="N491" s="149">
        <v>16.369278510473201</v>
      </c>
      <c r="O491" s="149">
        <v>14.2660115507284</v>
      </c>
      <c r="P491" s="149">
        <v>10.6801137832945</v>
      </c>
      <c r="Q491" s="149">
        <v>6.0425825359882701</v>
      </c>
      <c r="R491" s="149">
        <v>3.2928195845185502</v>
      </c>
      <c r="S491" s="138">
        <v>2.714</v>
      </c>
      <c r="T491" s="138">
        <v>2.5529999999999999</v>
      </c>
      <c r="U491" s="138">
        <f>F491/S491*$E$477</f>
        <v>7.2955047899778899E-2</v>
      </c>
      <c r="V491" s="138">
        <f>F491/T491*$E$477</f>
        <v>7.75558166862515E-2</v>
      </c>
      <c r="AC491" s="2"/>
      <c r="AE491" s="154">
        <v>3.77365911114941</v>
      </c>
    </row>
    <row r="492" spans="1:32">
      <c r="A492" s="276"/>
      <c r="B492" s="276"/>
      <c r="C492" s="159" t="s">
        <v>76</v>
      </c>
      <c r="D492" s="168" t="s">
        <v>68</v>
      </c>
      <c r="E492" s="276"/>
      <c r="F492" s="130">
        <v>0.34</v>
      </c>
      <c r="G492" s="149">
        <v>100</v>
      </c>
      <c r="H492" s="149">
        <v>100</v>
      </c>
      <c r="I492" s="149">
        <v>100</v>
      </c>
      <c r="J492" s="149">
        <v>100</v>
      </c>
      <c r="K492" s="149">
        <v>100</v>
      </c>
      <c r="L492" s="149">
        <v>87.73</v>
      </c>
      <c r="M492" s="149">
        <v>60.642998628675898</v>
      </c>
      <c r="N492" s="149">
        <v>46.061252476001798</v>
      </c>
      <c r="O492" s="149">
        <v>36.995276550358099</v>
      </c>
      <c r="P492" s="149">
        <v>22.337345726039899</v>
      </c>
      <c r="Q492" s="149">
        <v>11.3515160749657</v>
      </c>
      <c r="R492" s="149">
        <v>5.8662197165930197</v>
      </c>
      <c r="S492" s="138">
        <v>2.6930000000000001</v>
      </c>
      <c r="T492" s="138">
        <v>2.4729999999999999</v>
      </c>
      <c r="U492" s="138">
        <f>F492/S492*$E$477</f>
        <v>7.5751949498700302E-2</v>
      </c>
      <c r="V492" s="138">
        <f>F492/T492*$E$477</f>
        <v>8.2490901738778794E-2</v>
      </c>
      <c r="AC492" s="2"/>
      <c r="AE492" s="154">
        <v>6.5488179896213898</v>
      </c>
    </row>
    <row r="493" spans="1:32" ht="14.4">
      <c r="A493" s="276"/>
      <c r="B493" s="276"/>
      <c r="C493"/>
      <c r="D493" s="157"/>
      <c r="F493" s="129" t="s">
        <v>240</v>
      </c>
      <c r="G493" s="149">
        <f>$E$29*($F$29*G484+$F$30*G485+$F$31*G486+$F$32*G487+$F$33*G488+$F$34*G489+$F$35*G490)+$E$36*($F$36*G491+$F$37*G492)</f>
        <v>100</v>
      </c>
      <c r="H493" s="149">
        <f>E484*(F484*H484+F485*H485+F486*H486+F487*H487+F488*H488+F489*H489)+E490*(F491*H491+F492*H492+F490*H490)</f>
        <v>96.7143735032123</v>
      </c>
      <c r="I493" s="149">
        <f>E484*(F484*I484+F485*I485+F486*I486+F487*I487+F488*I488+F489*I489)+E490*(F491*I491+F492*I492+F490*I490)</f>
        <v>86.820259942453006</v>
      </c>
      <c r="J493" s="149">
        <f>E484*(F484*J484+F485*J485+F486*J486+F487*J487+F488*J488+F489*J489)+E490*(F491*J491+F492*J492+F490*J490)</f>
        <v>79.576106771890096</v>
      </c>
      <c r="K493" s="149">
        <f>E484*(F484*K484+F485*K485+F486*K486+F487*K487+F488*K488+F489*K489)+E490*(F491*K491+F492*K492+F490*K490)</f>
        <v>51.880722397196699</v>
      </c>
      <c r="L493" s="149">
        <f>E484*(F484*L484+F485*L485+F486*L486+F487*L487+F488*L488+F489*L489)+E490*(F491*L491+F492*L492+F490*L490)</f>
        <v>28.765096632546399</v>
      </c>
      <c r="M493" s="149">
        <f>E484*(F484*M484+F485*M485+F486*M486+F487*M487+F488*M488+F489*M489)+E490*(F491*M491+F492*M492+F490*M490)</f>
        <v>20.341877416276098</v>
      </c>
      <c r="N493" s="149">
        <f>E484*(F484*N484+F485*N485+F486*N486+F487*N487+F488*N488+F489*N489)+E490*(F491*N491+F492*N492+F490*N490)</f>
        <v>15.780104460274799</v>
      </c>
      <c r="O493" s="149">
        <f>E484*(F484*O484+F485*O485+F486*O486+F487*O487+F488*O488+F489*O489)+E490*(F491*O491+F492*O492+F490*O490)</f>
        <v>12.945930382036501</v>
      </c>
      <c r="P493" s="149">
        <f>E484*(F484*P484+F485*P485+F486*P486+F487*P487+F488*P488+F489*P489)+E490*(F491*P491+F492*P492+F490*P490)</f>
        <v>8.4241384563959603</v>
      </c>
      <c r="Q493" s="149">
        <f>E484*(F484*Q484+F485*Q485+F486*Q486+F487*Q487+F488*Q488+F489*Q489)+E490*(F491*Q491+F492*Q492+F490*Q490)</f>
        <v>4.6084504121760501</v>
      </c>
      <c r="R493" s="149">
        <f>E484*(F484*R484+F485*R485+F486*R486+F487*R487+F488*R488+F489*R489)+E490*(F491*R491+F492*R492+F490*R490)</f>
        <v>2.4404023113378499</v>
      </c>
      <c r="AC493" s="2"/>
    </row>
    <row r="494" spans="1:32" ht="14.4">
      <c r="A494" s="276"/>
      <c r="B494" s="276"/>
      <c r="C494"/>
      <c r="D494" s="157"/>
      <c r="F494" s="129" t="s">
        <v>241</v>
      </c>
      <c r="G494" s="149">
        <v>100</v>
      </c>
      <c r="H494" s="149">
        <v>100</v>
      </c>
      <c r="I494" s="149">
        <v>92</v>
      </c>
      <c r="J494" s="149">
        <v>80</v>
      </c>
      <c r="K494" s="149">
        <v>72</v>
      </c>
      <c r="L494" s="149">
        <v>56</v>
      </c>
      <c r="M494" s="149">
        <v>44</v>
      </c>
      <c r="N494" s="149">
        <v>33</v>
      </c>
      <c r="O494" s="149">
        <v>24</v>
      </c>
      <c r="P494" s="149">
        <v>17</v>
      </c>
      <c r="Q494" s="149">
        <v>13</v>
      </c>
      <c r="R494" s="149">
        <v>7</v>
      </c>
      <c r="AC494" s="2"/>
      <c r="AE494" s="137"/>
      <c r="AF494" s="137"/>
    </row>
    <row r="495" spans="1:32" ht="14.4">
      <c r="A495" s="276"/>
      <c r="B495" s="276"/>
      <c r="C495"/>
      <c r="D495" s="157"/>
      <c r="F495" s="129" t="s">
        <v>242</v>
      </c>
      <c r="G495" s="149">
        <f t="shared" ref="G495:R495" si="82">(G494+G496)/2</f>
        <v>100</v>
      </c>
      <c r="H495" s="149">
        <f t="shared" si="82"/>
        <v>95</v>
      </c>
      <c r="I495" s="149">
        <f t="shared" si="82"/>
        <v>85</v>
      </c>
      <c r="J495" s="149">
        <f t="shared" si="82"/>
        <v>71</v>
      </c>
      <c r="K495" s="149">
        <f t="shared" si="82"/>
        <v>61</v>
      </c>
      <c r="L495" s="149">
        <f t="shared" si="82"/>
        <v>41</v>
      </c>
      <c r="M495" s="149">
        <f t="shared" si="82"/>
        <v>30</v>
      </c>
      <c r="N495" s="149">
        <f t="shared" si="82"/>
        <v>22.5</v>
      </c>
      <c r="O495" s="149">
        <f t="shared" si="82"/>
        <v>16</v>
      </c>
      <c r="P495" s="149">
        <f t="shared" si="82"/>
        <v>11</v>
      </c>
      <c r="Q495" s="149">
        <f t="shared" si="82"/>
        <v>8.5</v>
      </c>
      <c r="R495" s="149">
        <f t="shared" si="82"/>
        <v>5</v>
      </c>
      <c r="AC495" s="2"/>
      <c r="AE495" s="137"/>
      <c r="AF495" s="137"/>
    </row>
    <row r="496" spans="1:32" ht="14.4">
      <c r="A496" s="276"/>
      <c r="B496" s="276"/>
      <c r="C496"/>
      <c r="D496" s="157"/>
      <c r="F496" s="129" t="s">
        <v>243</v>
      </c>
      <c r="G496" s="149">
        <v>100</v>
      </c>
      <c r="H496" s="149">
        <v>90</v>
      </c>
      <c r="I496" s="149">
        <v>78</v>
      </c>
      <c r="J496" s="149">
        <v>62</v>
      </c>
      <c r="K496" s="149">
        <v>50</v>
      </c>
      <c r="L496" s="149">
        <v>26</v>
      </c>
      <c r="M496" s="149">
        <v>16</v>
      </c>
      <c r="N496" s="149">
        <v>12</v>
      </c>
      <c r="O496" s="149">
        <v>8</v>
      </c>
      <c r="P496" s="149">
        <v>5</v>
      </c>
      <c r="Q496" s="149">
        <v>4</v>
      </c>
      <c r="R496" s="149">
        <v>3</v>
      </c>
      <c r="AC496" s="2"/>
      <c r="AE496" s="137"/>
      <c r="AF496" s="137"/>
    </row>
    <row r="497" spans="1:32">
      <c r="A497" s="276" t="s">
        <v>123</v>
      </c>
      <c r="B497" s="276" t="s">
        <v>218</v>
      </c>
      <c r="C497" s="159" t="s">
        <v>81</v>
      </c>
      <c r="D497" s="157" t="s">
        <v>79</v>
      </c>
      <c r="E497" s="276">
        <v>0.5</v>
      </c>
      <c r="F497" s="149">
        <v>0.2</v>
      </c>
      <c r="G497" s="149">
        <v>100</v>
      </c>
      <c r="H497" s="149">
        <v>100</v>
      </c>
      <c r="I497" s="149">
        <v>100</v>
      </c>
      <c r="J497" s="149">
        <v>63.619744058500899</v>
      </c>
      <c r="K497" s="149">
        <v>8.8398842169408898</v>
      </c>
      <c r="L497" s="149">
        <v>0.52940280316880695</v>
      </c>
      <c r="M497" s="149">
        <v>0.52940280316880695</v>
      </c>
      <c r="N497" s="149">
        <v>0.52940280316880695</v>
      </c>
      <c r="O497" s="149">
        <v>0.52940280316880695</v>
      </c>
      <c r="P497" s="149">
        <v>0.52940280316880695</v>
      </c>
      <c r="Q497" s="149">
        <v>0.52940280316880695</v>
      </c>
      <c r="R497" s="149">
        <v>0.52940280316880695</v>
      </c>
      <c r="S497" s="138">
        <v>2.77060631461302</v>
      </c>
      <c r="T497" s="138">
        <v>2.70117134295832</v>
      </c>
      <c r="U497" s="138">
        <f>[2]级配!F471/S497*E497</f>
        <v>3.6093182734973799E-2</v>
      </c>
      <c r="V497" s="138">
        <f>[2]级配!F471/T497*E497</f>
        <v>3.7020976200080699E-2</v>
      </c>
      <c r="W497" s="138">
        <f>1/SUM(U497:U505)</f>
        <v>2.7368113587657001</v>
      </c>
      <c r="X497" s="153">
        <v>0.4</v>
      </c>
      <c r="Y497" s="138">
        <f>0.033*X497*X497-0.2936*X497+0.9336</f>
        <v>0.82143999999999995</v>
      </c>
      <c r="Z497" s="138">
        <f>0.033*Y497*Y497-0.2936*Y497+0.9336</f>
        <v>0.71469241722879995</v>
      </c>
      <c r="AA497" s="138">
        <v>2.5464866676839502</v>
      </c>
      <c r="AB497" s="138">
        <f>1/SUM(V497:V505)</f>
        <v>2.6543130829688901</v>
      </c>
      <c r="AC497" s="160">
        <v>4.8</v>
      </c>
      <c r="AD497" s="138">
        <f>100*AC497/(100+AC497)</f>
        <v>4.5801526717557302</v>
      </c>
      <c r="AF497" s="154">
        <f>AC497-E504*F504*AE504-E504*F505*AE505</f>
        <v>2.7126413382077699</v>
      </c>
    </row>
    <row r="498" spans="1:32">
      <c r="A498" s="276"/>
      <c r="B498" s="276"/>
      <c r="C498" s="159" t="s">
        <v>81</v>
      </c>
      <c r="D498" s="157" t="s">
        <v>63</v>
      </c>
      <c r="E498" s="276"/>
      <c r="F498" s="129">
        <v>0.3</v>
      </c>
      <c r="G498" s="149">
        <v>100</v>
      </c>
      <c r="H498" s="149">
        <v>100</v>
      </c>
      <c r="I498" s="149">
        <v>100</v>
      </c>
      <c r="J498" s="149">
        <v>100</v>
      </c>
      <c r="K498" s="149">
        <v>94.446666666666701</v>
      </c>
      <c r="L498" s="149">
        <v>5.9733333333333301</v>
      </c>
      <c r="M498" s="149">
        <v>0.35999999999999899</v>
      </c>
      <c r="N498" s="149">
        <v>0.35999999999999899</v>
      </c>
      <c r="O498" s="149">
        <v>0.35999999999999899</v>
      </c>
      <c r="P498" s="149">
        <v>0.35999999999999899</v>
      </c>
      <c r="Q498" s="149">
        <v>0.35999999999999899</v>
      </c>
      <c r="R498" s="149">
        <v>0.35999999999999899</v>
      </c>
      <c r="S498" s="138">
        <v>2.7524901334335699</v>
      </c>
      <c r="T498" s="138">
        <v>2.68241758241758</v>
      </c>
      <c r="U498" s="138">
        <f>[2]级配!F472/S498*E497</f>
        <v>4.54134234603304E-2</v>
      </c>
      <c r="V498" s="138">
        <f>[2]级配!F472/T498*E497</f>
        <v>4.65997541990988E-2</v>
      </c>
      <c r="W498" s="138"/>
      <c r="X498" s="138"/>
      <c r="Y498" s="151"/>
      <c r="Z498" s="151"/>
      <c r="AA498" s="153"/>
    </row>
    <row r="499" spans="1:32">
      <c r="A499" s="276"/>
      <c r="B499" s="276"/>
      <c r="C499" s="159" t="s">
        <v>82</v>
      </c>
      <c r="D499" s="157" t="s">
        <v>65</v>
      </c>
      <c r="E499" s="276"/>
      <c r="F499" s="129">
        <v>0.5</v>
      </c>
      <c r="G499" s="149">
        <v>100</v>
      </c>
      <c r="H499" s="149">
        <v>100</v>
      </c>
      <c r="I499" s="149">
        <v>100</v>
      </c>
      <c r="J499" s="149">
        <v>100</v>
      </c>
      <c r="K499" s="149">
        <v>100</v>
      </c>
      <c r="L499" s="149">
        <v>98.066666666666706</v>
      </c>
      <c r="M499" s="149">
        <v>62.4</v>
      </c>
      <c r="N499" s="149">
        <v>37.266666666666701</v>
      </c>
      <c r="O499" s="149">
        <v>26.441666666666698</v>
      </c>
      <c r="P499" s="149">
        <v>16.7083333333333</v>
      </c>
      <c r="Q499" s="149">
        <v>11.675000000000001</v>
      </c>
      <c r="R499" s="149">
        <v>8.4500000000000206</v>
      </c>
      <c r="S499" s="138">
        <v>2.7265193370165699</v>
      </c>
      <c r="T499" s="138">
        <v>2.6320000000000001</v>
      </c>
      <c r="U499" s="138">
        <f>[2]级配!F473/S499*E497</f>
        <v>4.5845997973657598E-2</v>
      </c>
      <c r="V499" s="138">
        <f>[2]级配!F473/T499*E497</f>
        <v>4.7492401215805502E-2</v>
      </c>
      <c r="AA499" s="153"/>
      <c r="AB499" s="138"/>
      <c r="AC499" s="160"/>
      <c r="AD499" s="138"/>
    </row>
    <row r="500" spans="1:32" ht="14.4">
      <c r="A500" s="276"/>
      <c r="B500" s="276"/>
      <c r="C500" s="164" t="s">
        <v>99</v>
      </c>
      <c r="D500" s="157" t="s">
        <v>91</v>
      </c>
      <c r="E500" s="276"/>
      <c r="F500" s="129">
        <v>0</v>
      </c>
      <c r="G500" s="149">
        <v>100</v>
      </c>
      <c r="H500" s="149">
        <v>98.643559281741503</v>
      </c>
      <c r="I500" s="149">
        <v>92.921063565134901</v>
      </c>
      <c r="J500" s="149">
        <v>82.7436811661603</v>
      </c>
      <c r="K500" s="149">
        <v>59.990677308880997</v>
      </c>
      <c r="L500" s="149">
        <v>37.070398489773098</v>
      </c>
      <c r="M500" s="149">
        <v>25.87154168815</v>
      </c>
      <c r="N500" s="149">
        <v>18.5625564349575</v>
      </c>
      <c r="O500" s="149">
        <v>14.995833692901201</v>
      </c>
      <c r="P500" s="149">
        <v>10.9982235917061</v>
      </c>
      <c r="Q500" s="149">
        <v>8.8797216125645608</v>
      </c>
      <c r="R500" s="149">
        <v>7.1282720051018398</v>
      </c>
      <c r="S500" s="138">
        <v>2.6789999999999998</v>
      </c>
      <c r="T500" s="138">
        <v>2.6789999999999998</v>
      </c>
      <c r="U500" s="138">
        <f>[2]级配!F474/S500*E497</f>
        <v>5.5991041433370699E-2</v>
      </c>
      <c r="V500" s="138">
        <f>[2]级配!F474/T500*E497</f>
        <v>5.5991041433370699E-2</v>
      </c>
      <c r="AA500" s="153"/>
    </row>
    <row r="501" spans="1:32" ht="14.4">
      <c r="A501" s="276"/>
      <c r="B501" s="276"/>
      <c r="C501" s="164" t="s">
        <v>99</v>
      </c>
      <c r="D501" s="157" t="s">
        <v>91</v>
      </c>
      <c r="E501" s="276"/>
      <c r="F501" s="129">
        <v>0</v>
      </c>
      <c r="G501" s="149">
        <v>100</v>
      </c>
      <c r="H501" s="149">
        <v>100</v>
      </c>
      <c r="I501" s="149">
        <v>100</v>
      </c>
      <c r="J501" s="149">
        <v>100</v>
      </c>
      <c r="K501" s="149">
        <v>95.528385241345404</v>
      </c>
      <c r="L501" s="149">
        <v>70.546834364063699</v>
      </c>
      <c r="M501" s="149">
        <v>44.760791780407203</v>
      </c>
      <c r="N501" s="149">
        <v>27.108199836069002</v>
      </c>
      <c r="O501" s="149">
        <v>19.493419943699202</v>
      </c>
      <c r="P501" s="149">
        <v>13.008802238617299</v>
      </c>
      <c r="Q501" s="149">
        <v>9.6302110760562503</v>
      </c>
      <c r="R501" s="149">
        <v>6.6583203771381401</v>
      </c>
      <c r="S501" s="138">
        <v>2.8290000000000002</v>
      </c>
      <c r="T501" s="138">
        <v>2.7650000000000001</v>
      </c>
      <c r="U501" s="138">
        <f>[2]级配!F475/S501*E497</f>
        <v>0</v>
      </c>
      <c r="V501" s="138">
        <f>[2]级配!F475/T501*E497</f>
        <v>0</v>
      </c>
      <c r="AA501" s="153"/>
    </row>
    <row r="502" spans="1:32" ht="14.4">
      <c r="A502" s="276"/>
      <c r="B502" s="276"/>
      <c r="C502" s="164" t="s">
        <v>99</v>
      </c>
      <c r="D502" s="157" t="s">
        <v>91</v>
      </c>
      <c r="E502" s="276"/>
      <c r="F502" s="129">
        <v>0</v>
      </c>
      <c r="G502" s="149">
        <v>100</v>
      </c>
      <c r="H502" s="149">
        <v>100</v>
      </c>
      <c r="I502" s="149">
        <v>100</v>
      </c>
      <c r="J502" s="149">
        <v>100</v>
      </c>
      <c r="K502" s="149">
        <v>100</v>
      </c>
      <c r="L502" s="149">
        <v>87.73</v>
      </c>
      <c r="M502" s="149">
        <v>60.642998628675898</v>
      </c>
      <c r="N502" s="149">
        <v>46.061252476001798</v>
      </c>
      <c r="O502" s="149">
        <v>36.995276550358099</v>
      </c>
      <c r="P502" s="149">
        <v>22.337345726039899</v>
      </c>
      <c r="Q502" s="149">
        <v>11.3515160749657</v>
      </c>
      <c r="R502" s="149">
        <v>5.8662197165930197</v>
      </c>
      <c r="S502" s="138">
        <v>2.76</v>
      </c>
      <c r="T502" s="138">
        <v>2.7</v>
      </c>
      <c r="U502" s="138">
        <f>[2]级配!F476/S502*E497</f>
        <v>0</v>
      </c>
      <c r="V502" s="138">
        <f>[2]级配!F476/T502*E497</f>
        <v>0</v>
      </c>
      <c r="AA502" s="153"/>
    </row>
    <row r="503" spans="1:32" ht="14.4">
      <c r="A503" s="276"/>
      <c r="B503" s="276"/>
      <c r="C503" s="164" t="s">
        <v>99</v>
      </c>
      <c r="D503" s="157" t="s">
        <v>91</v>
      </c>
      <c r="E503" s="276"/>
      <c r="F503" s="129">
        <v>0</v>
      </c>
      <c r="G503" s="149">
        <v>100</v>
      </c>
      <c r="H503" s="149">
        <v>100</v>
      </c>
      <c r="I503" s="149">
        <v>100</v>
      </c>
      <c r="J503" s="149">
        <v>100</v>
      </c>
      <c r="K503" s="149">
        <v>100</v>
      </c>
      <c r="L503" s="149">
        <v>100</v>
      </c>
      <c r="M503" s="149">
        <v>100</v>
      </c>
      <c r="N503" s="149">
        <v>100</v>
      </c>
      <c r="O503" s="149">
        <v>100</v>
      </c>
      <c r="P503" s="149">
        <v>99.6875</v>
      </c>
      <c r="Q503" s="149">
        <v>97.112499999999997</v>
      </c>
      <c r="R503" s="149">
        <v>76.612499999999997</v>
      </c>
      <c r="S503" s="138">
        <v>2.8519999999999999</v>
      </c>
      <c r="T503" s="138">
        <v>2.7229999999999999</v>
      </c>
      <c r="U503" s="138">
        <f>[2]级配!F477/S503*E497</f>
        <v>0</v>
      </c>
      <c r="V503" s="138">
        <f>[2]级配!F477/T503*E497</f>
        <v>0</v>
      </c>
      <c r="AA503" s="153"/>
    </row>
    <row r="504" spans="1:32">
      <c r="A504" s="276"/>
      <c r="B504" s="276"/>
      <c r="C504" s="159" t="s">
        <v>74</v>
      </c>
      <c r="D504" s="157" t="s">
        <v>96</v>
      </c>
      <c r="E504" s="276">
        <v>0.5</v>
      </c>
      <c r="F504" s="129">
        <v>0.4</v>
      </c>
      <c r="G504" s="149">
        <v>100</v>
      </c>
      <c r="H504" s="149">
        <v>98.643559281741503</v>
      </c>
      <c r="I504" s="149">
        <v>92.921063565134901</v>
      </c>
      <c r="J504" s="149">
        <v>82.7436811661603</v>
      </c>
      <c r="K504" s="149">
        <v>59.990677308880997</v>
      </c>
      <c r="L504" s="149">
        <v>37.070398489773098</v>
      </c>
      <c r="M504" s="149">
        <v>25.87154168815</v>
      </c>
      <c r="N504" s="149">
        <v>18.5625564349575</v>
      </c>
      <c r="O504" s="149">
        <v>14.995833692901201</v>
      </c>
      <c r="P504" s="149">
        <v>10.9982235917061</v>
      </c>
      <c r="Q504" s="149">
        <v>8.8797216125645608</v>
      </c>
      <c r="R504" s="149">
        <v>7.1282720051018398</v>
      </c>
      <c r="S504" s="138">
        <v>2.7471123556177801</v>
      </c>
      <c r="T504" s="138">
        <v>2.6497299122214701</v>
      </c>
      <c r="U504" s="138">
        <f>[2]级配!F478/S504*E504</f>
        <v>5.4602790342103601E-2</v>
      </c>
      <c r="V504" s="138">
        <f>[2]级配!F478/T504*E504</f>
        <v>5.6609543224820098E-2</v>
      </c>
      <c r="AA504" s="153"/>
      <c r="AE504" s="154">
        <v>3.89708757231198</v>
      </c>
    </row>
    <row r="505" spans="1:32">
      <c r="A505" s="276"/>
      <c r="B505" s="276"/>
      <c r="C505" s="159" t="s">
        <v>76</v>
      </c>
      <c r="D505" s="157" t="s">
        <v>97</v>
      </c>
      <c r="E505" s="276"/>
      <c r="F505" s="129">
        <v>0.6</v>
      </c>
      <c r="G505" s="149">
        <v>100</v>
      </c>
      <c r="H505" s="149">
        <v>100</v>
      </c>
      <c r="I505" s="149">
        <v>100</v>
      </c>
      <c r="J505" s="149">
        <v>100</v>
      </c>
      <c r="K505" s="149">
        <v>95.528385241345404</v>
      </c>
      <c r="L505" s="149">
        <v>70.546834364063699</v>
      </c>
      <c r="M505" s="149">
        <v>44.760791780407203</v>
      </c>
      <c r="N505" s="149">
        <v>27.108199836069002</v>
      </c>
      <c r="O505" s="149">
        <v>19.493419943699202</v>
      </c>
      <c r="P505" s="149">
        <v>13.008802238617299</v>
      </c>
      <c r="Q505" s="149">
        <v>9.6302110760562503</v>
      </c>
      <c r="R505" s="149">
        <v>6.6583203771381401</v>
      </c>
      <c r="S505" s="138">
        <v>2.7463412308719102</v>
      </c>
      <c r="T505" s="138">
        <v>2.6309540119651098</v>
      </c>
      <c r="U505" s="138">
        <f>[2]级配!F479/S505*E504</f>
        <v>0.12744228432563801</v>
      </c>
      <c r="V505" s="138">
        <f>[2]级配!F479/T505*E504</f>
        <v>0.133031591737546</v>
      </c>
      <c r="AA505" s="153"/>
      <c r="AE505" s="154">
        <v>4.3598038244327704</v>
      </c>
    </row>
    <row r="506" spans="1:32" ht="14.4">
      <c r="A506" s="276"/>
      <c r="B506" s="276"/>
      <c r="C506"/>
      <c r="F506" s="129" t="s">
        <v>240</v>
      </c>
      <c r="G506" s="170">
        <f>$E$29*($F$29*G497+$F$30*G498+$F$31*G499+$F$32*G500+$F$33*G501+$F$34*G502+$F$35*G503)+$E$36*($F$36*G504+$F$37*G505)</f>
        <v>100</v>
      </c>
      <c r="H506" s="170">
        <f>E497*(F497*H497+F498*H498+F499*H499+F500*H500+F501*H501+F502*H502+F503*H503)+E504*(F504*H504+F505*H505)</f>
        <v>99.728711856348298</v>
      </c>
      <c r="I506" s="170">
        <f>E497*(F497*I497+F498*I498+F499*I499+F500*I500+F501*I501+F502*I502+F503*I503)+E504*(F504*I504+F505*I505)</f>
        <v>98.584212713027</v>
      </c>
      <c r="J506" s="170">
        <f>E497*(F497*J497+F498*J498+F499*J499+F500*J500+F501*J501+F502*J502+F503*J503)+E504*(F504*J504+F505*J505)</f>
        <v>92.910710639082197</v>
      </c>
      <c r="K506" s="170">
        <f>E497*(F497*K497+F498*K498+F499*K499+F500*K500+F501*K501+F502*K502+F503*K503)+E504*(F504*K504+F505*K505)</f>
        <v>80.707639455873903</v>
      </c>
      <c r="L506" s="170">
        <f>E497*(F497*L497+F498*L498+F499*L499+F500*L500+F501*L501+F502*L502+F503*L503)+E504*(F504*L504+F505*L505)</f>
        <v>54.043736954157303</v>
      </c>
      <c r="M506" s="170">
        <f>E497*(F497*M497+F498*M498+F499*M499+F500*M500+F501*M501+F502*M502+F503*M503)+E504*(F504*M504+F505*M505)</f>
        <v>34.309486152068999</v>
      </c>
      <c r="N506" s="170">
        <f>E497*(F497*N497+F498*N498+F499*N499+F500*N500+F501*N501+F502*N502+F503*N503)+E504*(F504*N504+F505*N505)</f>
        <v>21.2685781847958</v>
      </c>
      <c r="O506" s="170">
        <f>E497*(F497*O497+F498*O498+F499*O499+F500*O500+F501*O501+F502*O502+F503*O503)+E504*(F504*O504+F505*O505)</f>
        <v>15.5645496686736</v>
      </c>
      <c r="P506" s="170">
        <f>E497*(F497*P497+F498*P498+F499*P499+F500*P500+F501*P501+F502*P502+F503*P503)+E504*(F504*P504+F505*P505)</f>
        <v>10.386309003576599</v>
      </c>
      <c r="Q506" s="170">
        <f>E497*(F497*Q497+F498*Q498+F499*Q499+F500*Q500+F501*Q501+F502*Q502+F503*Q503)+E504*(F504*Q504+F505*Q505)</f>
        <v>7.6906979256466697</v>
      </c>
      <c r="R506" s="170">
        <f>E497*(F497*R497+F498*R498+F499*R499+F500*R500+F501*R501+F502*R502+F503*R503)+E504*(F504*R504+F505*R505)</f>
        <v>5.6425907944786999</v>
      </c>
      <c r="S506" s="138"/>
      <c r="T506" s="138"/>
      <c r="AA506" s="153"/>
    </row>
    <row r="507" spans="1:32" ht="14.4">
      <c r="A507" s="276"/>
      <c r="B507" s="276"/>
      <c r="C507"/>
      <c r="F507" s="129" t="s">
        <v>241</v>
      </c>
      <c r="G507" s="149">
        <v>100</v>
      </c>
      <c r="H507" s="149">
        <v>100</v>
      </c>
      <c r="I507" s="129">
        <v>100</v>
      </c>
      <c r="J507" s="129">
        <v>100</v>
      </c>
      <c r="K507" s="129">
        <v>85</v>
      </c>
      <c r="L507" s="129">
        <v>68</v>
      </c>
      <c r="M507" s="129">
        <v>50</v>
      </c>
      <c r="N507" s="129">
        <v>38</v>
      </c>
      <c r="O507" s="129">
        <v>28</v>
      </c>
      <c r="P507" s="129">
        <v>20</v>
      </c>
      <c r="Q507" s="129">
        <v>15</v>
      </c>
      <c r="R507" s="129">
        <v>8</v>
      </c>
      <c r="S507" s="138"/>
      <c r="T507" s="138"/>
      <c r="AA507" s="153"/>
    </row>
    <row r="508" spans="1:32" ht="14.4">
      <c r="A508" s="276"/>
      <c r="B508" s="276"/>
      <c r="C508"/>
      <c r="F508" s="129" t="s">
        <v>242</v>
      </c>
      <c r="G508" s="149">
        <f t="shared" ref="G508" si="83">(G507+G509)/2</f>
        <v>100</v>
      </c>
      <c r="H508" s="149">
        <v>100</v>
      </c>
      <c r="I508" s="129">
        <v>100</v>
      </c>
      <c r="J508" s="129">
        <f t="shared" ref="J508:R508" si="84">(J507+J509)/2</f>
        <v>95</v>
      </c>
      <c r="K508" s="129">
        <f t="shared" si="84"/>
        <v>76.5</v>
      </c>
      <c r="L508" s="129">
        <f t="shared" si="84"/>
        <v>53</v>
      </c>
      <c r="M508" s="129">
        <f t="shared" si="84"/>
        <v>37</v>
      </c>
      <c r="N508" s="129">
        <f t="shared" si="84"/>
        <v>26.5</v>
      </c>
      <c r="O508" s="129">
        <f t="shared" si="84"/>
        <v>19</v>
      </c>
      <c r="P508" s="129">
        <f t="shared" si="84"/>
        <v>13.5</v>
      </c>
      <c r="Q508" s="129">
        <f t="shared" si="84"/>
        <v>10</v>
      </c>
      <c r="R508" s="129">
        <f t="shared" si="84"/>
        <v>6</v>
      </c>
      <c r="S508" s="138"/>
      <c r="T508" s="138"/>
      <c r="AA508" s="153"/>
    </row>
    <row r="509" spans="1:32" ht="14.4">
      <c r="A509" s="276"/>
      <c r="B509" s="276"/>
      <c r="C509"/>
      <c r="F509" s="129" t="s">
        <v>243</v>
      </c>
      <c r="G509" s="149">
        <v>100</v>
      </c>
      <c r="H509" s="149">
        <v>100</v>
      </c>
      <c r="I509" s="129">
        <v>100</v>
      </c>
      <c r="J509" s="129">
        <v>90</v>
      </c>
      <c r="K509" s="129">
        <v>68</v>
      </c>
      <c r="L509" s="129">
        <v>38</v>
      </c>
      <c r="M509" s="129">
        <v>24</v>
      </c>
      <c r="N509" s="129">
        <v>15</v>
      </c>
      <c r="O509" s="129">
        <v>10</v>
      </c>
      <c r="P509" s="129">
        <v>7</v>
      </c>
      <c r="Q509" s="129">
        <v>5</v>
      </c>
      <c r="R509" s="129">
        <v>4</v>
      </c>
      <c r="S509" s="138"/>
      <c r="T509" s="138"/>
      <c r="AA509" s="153"/>
    </row>
    <row r="510" spans="1:32">
      <c r="A510" s="276" t="s">
        <v>124</v>
      </c>
      <c r="B510" s="276" t="s">
        <v>254</v>
      </c>
      <c r="C510" s="159" t="s">
        <v>81</v>
      </c>
      <c r="D510" s="157" t="s">
        <v>79</v>
      </c>
      <c r="E510" s="276">
        <v>0.5</v>
      </c>
      <c r="F510" s="136">
        <v>0.15</v>
      </c>
      <c r="G510" s="149">
        <v>100</v>
      </c>
      <c r="H510" s="149">
        <v>100</v>
      </c>
      <c r="I510" s="149">
        <v>97.033333333333303</v>
      </c>
      <c r="J510" s="149">
        <v>75.873333333333306</v>
      </c>
      <c r="K510" s="149">
        <v>21.37</v>
      </c>
      <c r="L510" s="149">
        <v>1.85666666666666</v>
      </c>
      <c r="M510" s="149">
        <v>1.02000000000001</v>
      </c>
      <c r="N510" s="149">
        <v>1.02000000000001</v>
      </c>
      <c r="O510" s="149">
        <v>1.02000000000001</v>
      </c>
      <c r="P510" s="149">
        <v>1.02000000000001</v>
      </c>
      <c r="Q510" s="149">
        <v>1.02</v>
      </c>
      <c r="R510" s="149">
        <v>1.02000000000001</v>
      </c>
      <c r="S510" s="138">
        <v>2.7095396792334898</v>
      </c>
      <c r="T510" s="138">
        <v>2.6755450431921002</v>
      </c>
      <c r="U510" s="138">
        <f>级配!F510/S510*E510</f>
        <v>2.7679978475612099E-2</v>
      </c>
      <c r="V510" s="138">
        <f>级配!F510/T510*E510</f>
        <v>2.8031671599338899E-2</v>
      </c>
      <c r="W510" s="138">
        <f>1/SUM(U510:U518)</f>
        <v>2.7214881405203801</v>
      </c>
      <c r="X510" s="153">
        <v>0.4</v>
      </c>
      <c r="Y510" s="138">
        <f>0.033*X510*X510-0.2936*X510+0.9336</f>
        <v>0.82143999999999995</v>
      </c>
      <c r="Z510" s="138">
        <f>0.033*Y510*Y510-0.2936*Y510+0.9336</f>
        <v>0.71469241722879995</v>
      </c>
      <c r="AA510" s="138">
        <v>2.4888350620172299</v>
      </c>
      <c r="AB510" s="138">
        <f>1/SUM(V510:V518)</f>
        <v>2.64593319938268</v>
      </c>
      <c r="AC510" s="160">
        <v>4.5999999999999996</v>
      </c>
      <c r="AD510" s="138">
        <f>100*AC510/(100+AC510)</f>
        <v>4.3977055449330802</v>
      </c>
      <c r="AF510" s="154">
        <f>AC510-E517*F517*AE517-E517*F518*AE518</f>
        <v>2.4908366785198099</v>
      </c>
    </row>
    <row r="511" spans="1:32">
      <c r="A511" s="276"/>
      <c r="B511" s="276"/>
      <c r="C511" s="159" t="s">
        <v>81</v>
      </c>
      <c r="D511" s="157" t="s">
        <v>63</v>
      </c>
      <c r="E511" s="276"/>
      <c r="F511" s="129">
        <v>0.2</v>
      </c>
      <c r="G511" s="149">
        <v>100</v>
      </c>
      <c r="H511" s="149">
        <v>100</v>
      </c>
      <c r="I511" s="149">
        <v>100</v>
      </c>
      <c r="J511" s="149">
        <v>100</v>
      </c>
      <c r="K511" s="149">
        <v>95.394999999999996</v>
      </c>
      <c r="L511" s="149">
        <v>3.52</v>
      </c>
      <c r="M511" s="149">
        <v>0.73500000000000698</v>
      </c>
      <c r="N511" s="149">
        <v>0.41450000000001103</v>
      </c>
      <c r="O511" s="149">
        <v>0.41450000000001103</v>
      </c>
      <c r="P511" s="149">
        <v>0.41450000000001103</v>
      </c>
      <c r="Q511" s="149">
        <v>0.41450000000001103</v>
      </c>
      <c r="R511" s="149">
        <v>0.41450000000001103</v>
      </c>
      <c r="S511" s="138">
        <v>2.71616871704745</v>
      </c>
      <c r="T511" s="138">
        <v>2.6778465346534701</v>
      </c>
      <c r="U511" s="138">
        <f>级配!F511/S511*E510</f>
        <v>3.6816564218699499E-2</v>
      </c>
      <c r="V511" s="138">
        <f>级配!F511/T511*E510</f>
        <v>3.7343439478670699E-2</v>
      </c>
      <c r="W511" s="138"/>
      <c r="X511" s="138"/>
      <c r="Y511" s="151"/>
      <c r="Z511" s="151"/>
      <c r="AA511" s="153">
        <v>2.4517318431774</v>
      </c>
      <c r="AB511" s="153">
        <v>2.64593319938268</v>
      </c>
      <c r="AC511" s="159">
        <v>4.5999999999999996</v>
      </c>
      <c r="AD511" s="153">
        <v>4.3977055449330802</v>
      </c>
      <c r="AF511" s="154">
        <f>AC511-E517*F517*AE517-E517*F518*AE518</f>
        <v>2.4908366785198099</v>
      </c>
    </row>
    <row r="512" spans="1:32">
      <c r="A512" s="276"/>
      <c r="B512" s="276"/>
      <c r="C512" s="159" t="s">
        <v>82</v>
      </c>
      <c r="D512" s="157" t="s">
        <v>65</v>
      </c>
      <c r="E512" s="276"/>
      <c r="F512" s="129">
        <v>0.3</v>
      </c>
      <c r="G512" s="149">
        <v>100</v>
      </c>
      <c r="H512" s="149">
        <v>100</v>
      </c>
      <c r="I512" s="149">
        <v>100</v>
      </c>
      <c r="J512" s="149">
        <v>100</v>
      </c>
      <c r="K512" s="149">
        <v>100</v>
      </c>
      <c r="L512" s="149">
        <v>39.11</v>
      </c>
      <c r="M512" s="149">
        <v>2.0699999999999901</v>
      </c>
      <c r="N512" s="149">
        <v>1.3684999999999901</v>
      </c>
      <c r="O512" s="149">
        <v>0.88849999999999296</v>
      </c>
      <c r="P512" s="149">
        <v>0.57849999999999802</v>
      </c>
      <c r="Q512" s="149">
        <v>0.57849999999999802</v>
      </c>
      <c r="R512" s="149">
        <v>0.57849999999999802</v>
      </c>
      <c r="S512" s="138">
        <v>2.7342908438061002</v>
      </c>
      <c r="T512" s="138">
        <v>2.68133802816901</v>
      </c>
      <c r="U512" s="138">
        <f>级配!F512/S512*E510</f>
        <v>5.4858831254103797E-2</v>
      </c>
      <c r="V512" s="138">
        <f>级配!F512/T512*E510</f>
        <v>5.5942219304005301E-2</v>
      </c>
      <c r="AA512" s="153"/>
      <c r="AB512" s="138"/>
      <c r="AC512" s="160"/>
      <c r="AD512" s="138"/>
    </row>
    <row r="513" spans="1:32" ht="14.4">
      <c r="A513" s="276"/>
      <c r="B513" s="276"/>
      <c r="C513" s="164" t="s">
        <v>82</v>
      </c>
      <c r="D513" s="157" t="s">
        <v>125</v>
      </c>
      <c r="E513" s="276"/>
      <c r="F513" s="129">
        <v>0.35</v>
      </c>
      <c r="G513" s="149">
        <v>100</v>
      </c>
      <c r="H513" s="149">
        <v>100</v>
      </c>
      <c r="I513" s="149">
        <v>100</v>
      </c>
      <c r="J513" s="149">
        <v>100</v>
      </c>
      <c r="K513" s="149">
        <v>100</v>
      </c>
      <c r="L513" s="149">
        <v>100</v>
      </c>
      <c r="M513" s="149">
        <v>84.566666666666706</v>
      </c>
      <c r="N513" s="149">
        <v>54.441666666666698</v>
      </c>
      <c r="O513" s="149">
        <v>36.566666666666698</v>
      </c>
      <c r="P513" s="149">
        <v>17.024999999999999</v>
      </c>
      <c r="Q513" s="149">
        <v>9.1166666666666707</v>
      </c>
      <c r="R513" s="149">
        <v>6.2750000000000101</v>
      </c>
      <c r="S513" s="138">
        <v>2.7048568437343499</v>
      </c>
      <c r="T513" s="138">
        <v>2.63563381531092</v>
      </c>
      <c r="U513" s="138">
        <f>级配!F513/S513*E510</f>
        <v>6.4698433266580396E-2</v>
      </c>
      <c r="V513" s="138">
        <f>级配!F513/T513*E510</f>
        <v>6.6397691129697206E-2</v>
      </c>
      <c r="AA513" s="153"/>
    </row>
    <row r="514" spans="1:32" ht="14.4">
      <c r="A514" s="276"/>
      <c r="B514" s="276"/>
      <c r="C514" s="164" t="s">
        <v>99</v>
      </c>
      <c r="D514" s="157" t="s">
        <v>91</v>
      </c>
      <c r="E514" s="276"/>
      <c r="F514" s="129">
        <v>0</v>
      </c>
      <c r="G514" s="149">
        <v>100</v>
      </c>
      <c r="H514" s="149">
        <v>100</v>
      </c>
      <c r="I514" s="149">
        <v>95.109673240202099</v>
      </c>
      <c r="J514" s="149">
        <v>77.987177792164502</v>
      </c>
      <c r="K514" s="149">
        <v>46.3611169369997</v>
      </c>
      <c r="L514" s="149">
        <v>24.187846453279398</v>
      </c>
      <c r="M514" s="149">
        <v>17.040236021531701</v>
      </c>
      <c r="N514" s="149">
        <v>12.657432047973099</v>
      </c>
      <c r="O514" s="149">
        <v>10.3839431478753</v>
      </c>
      <c r="P514" s="149">
        <v>7.5574870833503702</v>
      </c>
      <c r="Q514" s="149">
        <v>5.5758207571831404</v>
      </c>
      <c r="R514" s="149">
        <v>3.8146299551751999</v>
      </c>
      <c r="S514" s="138">
        <v>2.7256596275587999</v>
      </c>
      <c r="T514" s="138">
        <v>2.6036636504083002</v>
      </c>
      <c r="U514" s="138">
        <f>级配!F514/S514*E510</f>
        <v>0</v>
      </c>
      <c r="V514" s="138">
        <f>级配!F514/T514*E510</f>
        <v>0</v>
      </c>
      <c r="AA514" s="153"/>
    </row>
    <row r="515" spans="1:32" ht="14.4">
      <c r="A515" s="276"/>
      <c r="B515" s="276"/>
      <c r="C515" s="164" t="s">
        <v>99</v>
      </c>
      <c r="D515" s="157" t="s">
        <v>91</v>
      </c>
      <c r="E515" s="276"/>
      <c r="F515" s="129">
        <v>0</v>
      </c>
      <c r="G515" s="149">
        <v>100</v>
      </c>
      <c r="H515" s="149">
        <v>100</v>
      </c>
      <c r="I515" s="149">
        <v>100</v>
      </c>
      <c r="J515" s="149">
        <v>100</v>
      </c>
      <c r="K515" s="149">
        <v>99.333303744032804</v>
      </c>
      <c r="L515" s="149">
        <v>72.879852645283506</v>
      </c>
      <c r="M515" s="149">
        <v>44.955714680238302</v>
      </c>
      <c r="N515" s="149">
        <v>30.5080976052393</v>
      </c>
      <c r="O515" s="149">
        <v>23.538978971870399</v>
      </c>
      <c r="P515" s="149">
        <v>15.647931707894401</v>
      </c>
      <c r="Q515" s="149">
        <v>10.7683601609658</v>
      </c>
      <c r="R515" s="149">
        <v>6.9240196078431504</v>
      </c>
      <c r="S515" s="138">
        <v>2.76</v>
      </c>
      <c r="T515" s="138">
        <v>2.7</v>
      </c>
      <c r="U515" s="138">
        <f>级配!F515/S515*E510</f>
        <v>0</v>
      </c>
      <c r="V515" s="138">
        <f>级配!F515/T515*E510</f>
        <v>0</v>
      </c>
      <c r="AA515" s="153"/>
    </row>
    <row r="516" spans="1:32" ht="14.4">
      <c r="A516" s="276"/>
      <c r="B516" s="276"/>
      <c r="C516" s="164" t="s">
        <v>99</v>
      </c>
      <c r="D516" s="157" t="s">
        <v>91</v>
      </c>
      <c r="E516" s="276"/>
      <c r="F516" s="129">
        <v>0</v>
      </c>
      <c r="G516" s="149">
        <v>100</v>
      </c>
      <c r="H516" s="149">
        <v>100</v>
      </c>
      <c r="I516" s="149">
        <v>100</v>
      </c>
      <c r="J516" s="149">
        <v>100</v>
      </c>
      <c r="K516" s="149">
        <v>100</v>
      </c>
      <c r="L516" s="149">
        <v>100</v>
      </c>
      <c r="M516" s="149">
        <v>100</v>
      </c>
      <c r="N516" s="149">
        <v>100</v>
      </c>
      <c r="O516" s="149">
        <v>100</v>
      </c>
      <c r="P516" s="149">
        <v>99.6875</v>
      </c>
      <c r="Q516" s="149">
        <v>97.112499999999997</v>
      </c>
      <c r="R516" s="149">
        <v>76.612499999999997</v>
      </c>
      <c r="S516" s="138">
        <v>2.8519999999999999</v>
      </c>
      <c r="T516" s="138">
        <v>2.7229999999999999</v>
      </c>
      <c r="U516" s="138">
        <f>级配!F516/S516*E510</f>
        <v>0</v>
      </c>
      <c r="V516" s="138">
        <f>级配!F516/T516*E510</f>
        <v>0</v>
      </c>
      <c r="AA516" s="153"/>
    </row>
    <row r="517" spans="1:32">
      <c r="A517" s="276"/>
      <c r="B517" s="276"/>
      <c r="C517" s="159" t="s">
        <v>74</v>
      </c>
      <c r="D517" s="157" t="s">
        <v>96</v>
      </c>
      <c r="E517" s="276">
        <v>0.5</v>
      </c>
      <c r="F517" s="129">
        <v>0.4</v>
      </c>
      <c r="G517" s="149">
        <v>100</v>
      </c>
      <c r="H517" s="149">
        <v>100</v>
      </c>
      <c r="I517" s="149">
        <v>95.109673240202099</v>
      </c>
      <c r="J517" s="149">
        <v>77.987177792164502</v>
      </c>
      <c r="K517" s="149">
        <v>46.3611169369997</v>
      </c>
      <c r="L517" s="149">
        <v>24.187846453279398</v>
      </c>
      <c r="M517" s="149">
        <v>17.040236021531701</v>
      </c>
      <c r="N517" s="149">
        <v>12.657432047973099</v>
      </c>
      <c r="O517" s="149">
        <v>10.3839431478753</v>
      </c>
      <c r="P517" s="149">
        <v>7.5574870833503702</v>
      </c>
      <c r="Q517" s="149">
        <v>5.5758207571831404</v>
      </c>
      <c r="R517" s="149">
        <v>3.8146299551751999</v>
      </c>
      <c r="S517" s="138">
        <v>2.7315589353612202</v>
      </c>
      <c r="T517" s="138">
        <v>2.6324661048002902</v>
      </c>
      <c r="U517" s="138">
        <f>级配!F517/S517*E517</f>
        <v>7.3218262806236001E-2</v>
      </c>
      <c r="V517" s="138">
        <f>级配!F517/T517*E517</f>
        <v>7.5974387527839707E-2</v>
      </c>
      <c r="AA517" s="153"/>
      <c r="AE517" s="154">
        <v>3.0742959549411202</v>
      </c>
    </row>
    <row r="518" spans="1:32">
      <c r="A518" s="276"/>
      <c r="B518" s="276"/>
      <c r="C518" s="159" t="s">
        <v>76</v>
      </c>
      <c r="D518" s="157" t="s">
        <v>97</v>
      </c>
      <c r="E518" s="276"/>
      <c r="F518" s="129">
        <v>0.6</v>
      </c>
      <c r="G518" s="149">
        <v>100</v>
      </c>
      <c r="H518" s="149">
        <v>100</v>
      </c>
      <c r="I518" s="149">
        <v>100</v>
      </c>
      <c r="J518" s="149">
        <v>100</v>
      </c>
      <c r="K518" s="149">
        <v>99.333303744032804</v>
      </c>
      <c r="L518" s="149">
        <v>72.879852645283506</v>
      </c>
      <c r="M518" s="149">
        <v>44.955714680238302</v>
      </c>
      <c r="N518" s="149">
        <v>30.5080976052393</v>
      </c>
      <c r="O518" s="149">
        <v>23.538978971870399</v>
      </c>
      <c r="P518" s="149">
        <v>15.647931707894401</v>
      </c>
      <c r="Q518" s="149">
        <v>10.7683601609658</v>
      </c>
      <c r="R518" s="149">
        <v>6.9240196078431504</v>
      </c>
      <c r="S518" s="138">
        <v>2.7229665974712201</v>
      </c>
      <c r="T518" s="138">
        <v>2.6258416742493198</v>
      </c>
      <c r="U518" s="138">
        <f>级配!F518/S518*E517</f>
        <v>0.110173955229053</v>
      </c>
      <c r="V518" s="138">
        <f>级配!F518/T518*E517</f>
        <v>0.114249081710444</v>
      </c>
      <c r="AA518" s="153"/>
      <c r="AE518" s="154">
        <v>4.9810137683065596</v>
      </c>
    </row>
    <row r="519" spans="1:32" ht="14.4">
      <c r="A519" s="276"/>
      <c r="B519" s="276"/>
      <c r="C519"/>
      <c r="F519" s="129" t="s">
        <v>240</v>
      </c>
      <c r="G519" s="170">
        <f>$E$29*($F$29*G510+$F$30*G511+$F$31*G512+$F$32*G513+$F$33*G514+$F$34*G515+$F$35*G516)+$E$36*($F$36*G517+$F$37*G518)</f>
        <v>100</v>
      </c>
      <c r="H519" s="170">
        <f>E510*(F510*H510+F511*H511+F512*H512+F513*H513+F514*H514+F515*H515+F516*H516)+E517*(F517*H517+F518*H518)</f>
        <v>100</v>
      </c>
      <c r="I519" s="170">
        <f>E510*(F510*I510+F511*I511+F512*I512+F513*I513+F514*I514+F515*I515+F516*I516)+E517*(F517*I517+F518*I518)</f>
        <v>98.799434648040403</v>
      </c>
      <c r="J519" s="170">
        <f>E510*(F510*J510+F511*J511+F512*J512+F513*J513+F514*J514+F515*J515+F516*J516)+E517*(F517*J517+F518*J518)</f>
        <v>93.787935558432906</v>
      </c>
      <c r="K519" s="170">
        <f>E510*(F510*K510+F511*K511+F512*K512+F513*K513+F514*K514+F515*K515+F516*K516)+E517*(F517*K517+F518*K518)</f>
        <v>82.714464510609801</v>
      </c>
      <c r="L519" s="170">
        <f>E510*(F510*L510+F511*L511+F512*L512+F513*L513+F514*L514+F515*L515+F516*L516)+E517*(F517*L517+F518*L518)</f>
        <v>50.559275084240902</v>
      </c>
      <c r="M519" s="170">
        <f>E510*(F510*M510+F511*M511+F512*M512+F513*M513+F514*M514+F515*M515+F516*M516)+E517*(F517*M517+F518*M518)</f>
        <v>32.154428275044502</v>
      </c>
      <c r="N519" s="170">
        <f>E510*(F510*N510+F511*N511+F512*N512+F513*N513+F514*N514+F515*N515+F516*N516)+E517*(F517*N517+F518*N518)</f>
        <v>21.534432357833101</v>
      </c>
      <c r="O519" s="170">
        <f>E510*(F510*O510+F511*O511+F512*O512+F513*O513+F514*O514+F515*O515+F516*O516)+E517*(F517*O517+F518*O518)</f>
        <v>15.7888739878029</v>
      </c>
      <c r="P519" s="170">
        <f>E510*(F510*P510+F511*P511+F512*P512+F513*P513+F514*P514+F515*P515+F516*P516)+E517*(F517*P517+F518*P518)</f>
        <v>9.3899769290384008</v>
      </c>
      <c r="Q519" s="170">
        <f>E510*(F510*Q510+F511*Q511+F512*Q512+F513*Q513+F514*Q514+F515*Q515+F516*Q516)+E517*(F517*Q517+F518*Q518)</f>
        <v>6.1458138663930404</v>
      </c>
      <c r="R519" s="170">
        <f>E510*(F510*R510+F511*R511+F512*R512+F513*R513+F514*R514+F515*R515+F516*R516)+E517*(F517*R517+F518*R518)</f>
        <v>4.1429818733879902</v>
      </c>
      <c r="S519" s="138"/>
      <c r="T519" s="138"/>
      <c r="AA519" s="153"/>
    </row>
    <row r="520" spans="1:32" ht="14.4">
      <c r="A520" s="276"/>
      <c r="B520" s="276"/>
      <c r="C520"/>
      <c r="F520" s="129" t="s">
        <v>241</v>
      </c>
      <c r="G520" s="149">
        <v>100</v>
      </c>
      <c r="H520" s="149">
        <v>100</v>
      </c>
      <c r="I520" s="129">
        <v>100</v>
      </c>
      <c r="J520" s="129">
        <v>100</v>
      </c>
      <c r="K520" s="129">
        <v>85</v>
      </c>
      <c r="L520" s="129">
        <v>68</v>
      </c>
      <c r="M520" s="129">
        <v>50</v>
      </c>
      <c r="N520" s="129">
        <v>38</v>
      </c>
      <c r="O520" s="129">
        <v>28</v>
      </c>
      <c r="P520" s="129">
        <v>20</v>
      </c>
      <c r="Q520" s="129">
        <v>15</v>
      </c>
      <c r="R520" s="129">
        <v>8</v>
      </c>
      <c r="S520" s="138"/>
      <c r="T520" s="138"/>
      <c r="AA520" s="153"/>
    </row>
    <row r="521" spans="1:32" ht="14.4">
      <c r="A521" s="276"/>
      <c r="B521" s="276"/>
      <c r="C521"/>
      <c r="F521" s="129" t="s">
        <v>242</v>
      </c>
      <c r="G521" s="149">
        <f t="shared" ref="G521" si="85">(G520+G522)/2</f>
        <v>100</v>
      </c>
      <c r="H521" s="149">
        <v>100</v>
      </c>
      <c r="I521" s="129">
        <v>100</v>
      </c>
      <c r="J521" s="129">
        <f t="shared" ref="J521:R521" si="86">(J520+J522)/2</f>
        <v>95</v>
      </c>
      <c r="K521" s="129">
        <f t="shared" si="86"/>
        <v>76.5</v>
      </c>
      <c r="L521" s="129">
        <f t="shared" si="86"/>
        <v>53</v>
      </c>
      <c r="M521" s="129">
        <f t="shared" si="86"/>
        <v>37</v>
      </c>
      <c r="N521" s="129">
        <f t="shared" si="86"/>
        <v>26.5</v>
      </c>
      <c r="O521" s="129">
        <f t="shared" si="86"/>
        <v>19</v>
      </c>
      <c r="P521" s="129">
        <f t="shared" si="86"/>
        <v>13.5</v>
      </c>
      <c r="Q521" s="129">
        <f t="shared" si="86"/>
        <v>10</v>
      </c>
      <c r="R521" s="129">
        <f t="shared" si="86"/>
        <v>6</v>
      </c>
      <c r="S521" s="138"/>
      <c r="T521" s="138"/>
      <c r="AA521" s="153"/>
    </row>
    <row r="522" spans="1:32" ht="14.4">
      <c r="A522" s="276"/>
      <c r="B522" s="276"/>
      <c r="C522"/>
      <c r="F522" s="129" t="s">
        <v>243</v>
      </c>
      <c r="G522" s="149">
        <v>100</v>
      </c>
      <c r="H522" s="149">
        <v>100</v>
      </c>
      <c r="I522" s="129">
        <v>100</v>
      </c>
      <c r="J522" s="129">
        <v>90</v>
      </c>
      <c r="K522" s="129">
        <v>68</v>
      </c>
      <c r="L522" s="129">
        <v>38</v>
      </c>
      <c r="M522" s="129">
        <v>24</v>
      </c>
      <c r="N522" s="129">
        <v>15</v>
      </c>
      <c r="O522" s="129">
        <v>10</v>
      </c>
      <c r="P522" s="129">
        <v>7</v>
      </c>
      <c r="Q522" s="129">
        <v>5</v>
      </c>
      <c r="R522" s="129">
        <v>4</v>
      </c>
      <c r="S522" s="138"/>
      <c r="T522" s="138"/>
      <c r="AA522" s="153"/>
    </row>
    <row r="523" spans="1:32">
      <c r="A523" s="276" t="s">
        <v>124</v>
      </c>
      <c r="B523" s="276" t="s">
        <v>255</v>
      </c>
      <c r="C523" s="159" t="s">
        <v>81</v>
      </c>
      <c r="D523" s="157" t="s">
        <v>79</v>
      </c>
      <c r="E523" s="276">
        <v>0.3</v>
      </c>
      <c r="F523" s="136">
        <v>0.2</v>
      </c>
      <c r="G523" s="149">
        <v>100</v>
      </c>
      <c r="H523" s="149">
        <v>100</v>
      </c>
      <c r="I523" s="149">
        <v>100</v>
      </c>
      <c r="J523" s="149">
        <v>63.619744058500899</v>
      </c>
      <c r="K523" s="149">
        <v>8.8398842169408898</v>
      </c>
      <c r="L523" s="149">
        <v>0.52940280316880695</v>
      </c>
      <c r="M523" s="149">
        <v>0.52940280316880695</v>
      </c>
      <c r="N523" s="149">
        <v>0.52940280316880695</v>
      </c>
      <c r="O523" s="149">
        <v>0.52940280316880695</v>
      </c>
      <c r="P523" s="149">
        <v>0.52940280316880695</v>
      </c>
      <c r="Q523" s="149">
        <v>0.52940280316880695</v>
      </c>
      <c r="R523" s="149">
        <v>0.52940280316880695</v>
      </c>
      <c r="S523" s="138">
        <v>2.7095396792334898</v>
      </c>
      <c r="T523" s="138">
        <v>2.6755450431921002</v>
      </c>
      <c r="U523" s="138">
        <f>级配!F523/S523*E523</f>
        <v>2.21439827804897E-2</v>
      </c>
      <c r="V523" s="138">
        <f>级配!F523/T523*E523</f>
        <v>2.2425337279471099E-2</v>
      </c>
      <c r="W523" s="138">
        <f>1/SUM(U523:U531)</f>
        <v>2.7226496358318801</v>
      </c>
      <c r="X523" s="153">
        <v>0.4</v>
      </c>
      <c r="Y523" s="138">
        <f>0.033*X523*X523-0.2936*X523+0.9336</f>
        <v>0.82143999999999995</v>
      </c>
      <c r="Z523" s="138">
        <f>0.033*Y523*Y523-0.2936*Y523+0.9336</f>
        <v>0.71469241722879995</v>
      </c>
      <c r="AA523" s="138">
        <v>2.51452511328409</v>
      </c>
      <c r="AB523" s="138">
        <f>1/SUM(V523:V531)</f>
        <v>2.6390004352667402</v>
      </c>
      <c r="AC523" s="160">
        <v>4.5999999999999996</v>
      </c>
      <c r="AD523" s="138">
        <f>100*AC523/(100+AC523)</f>
        <v>4.3977055449330802</v>
      </c>
      <c r="AF523" s="154">
        <f>AC523-E530*F530*AE530-E530*F531*AE531</f>
        <v>1.5137011029921501</v>
      </c>
    </row>
    <row r="524" spans="1:32">
      <c r="A524" s="276"/>
      <c r="B524" s="276"/>
      <c r="C524" s="159" t="s">
        <v>81</v>
      </c>
      <c r="D524" s="157" t="s">
        <v>63</v>
      </c>
      <c r="E524" s="276"/>
      <c r="F524" s="129">
        <v>0.25</v>
      </c>
      <c r="G524" s="149">
        <v>100</v>
      </c>
      <c r="H524" s="149">
        <v>100</v>
      </c>
      <c r="I524" s="149">
        <v>100</v>
      </c>
      <c r="J524" s="149">
        <v>100</v>
      </c>
      <c r="K524" s="149">
        <v>94.446666666666701</v>
      </c>
      <c r="L524" s="149">
        <v>5.9733333333333301</v>
      </c>
      <c r="M524" s="149">
        <v>0.35999999999999899</v>
      </c>
      <c r="N524" s="149">
        <v>0.35999999999999899</v>
      </c>
      <c r="O524" s="149">
        <v>0.35999999999999899</v>
      </c>
      <c r="P524" s="149">
        <v>0.35999999999999899</v>
      </c>
      <c r="Q524" s="149">
        <v>0.35999999999999899</v>
      </c>
      <c r="R524" s="149">
        <v>0.35999999999999899</v>
      </c>
      <c r="S524" s="138">
        <v>2.71616871704745</v>
      </c>
      <c r="T524" s="138">
        <v>2.6778465346534701</v>
      </c>
      <c r="U524" s="138">
        <f>级配!F524/S524*E523</f>
        <v>2.76124231640246E-2</v>
      </c>
      <c r="V524" s="138">
        <f>级配!F524/T524*E523</f>
        <v>2.8007579609002999E-2</v>
      </c>
      <c r="W524" s="138"/>
      <c r="X524" s="138"/>
      <c r="Y524" s="151"/>
      <c r="Z524" s="151"/>
      <c r="AA524" s="153">
        <v>2.4944291613182301</v>
      </c>
      <c r="AB524" s="138">
        <v>2.6390004352667402</v>
      </c>
      <c r="AC524" s="160">
        <v>4.5999999999999996</v>
      </c>
      <c r="AD524" s="138">
        <v>4.3977055449330802</v>
      </c>
      <c r="AF524" s="154">
        <f>AC524-E530*F530*AE530-E530*F531*AE531</f>
        <v>1.5137011029921501</v>
      </c>
    </row>
    <row r="525" spans="1:32">
      <c r="A525" s="276"/>
      <c r="B525" s="276"/>
      <c r="C525" s="159" t="s">
        <v>82</v>
      </c>
      <c r="D525" s="157" t="s">
        <v>65</v>
      </c>
      <c r="E525" s="276"/>
      <c r="F525" s="129">
        <v>0.25</v>
      </c>
      <c r="G525" s="149">
        <v>100</v>
      </c>
      <c r="H525" s="149">
        <v>100</v>
      </c>
      <c r="I525" s="149">
        <v>100</v>
      </c>
      <c r="J525" s="149">
        <v>100</v>
      </c>
      <c r="K525" s="149">
        <v>100</v>
      </c>
      <c r="L525" s="149">
        <v>98.066666666666706</v>
      </c>
      <c r="M525" s="149">
        <v>62.4</v>
      </c>
      <c r="N525" s="149">
        <v>37.266666666666701</v>
      </c>
      <c r="O525" s="149">
        <v>26.441666666666698</v>
      </c>
      <c r="P525" s="149">
        <v>16.7083333333333</v>
      </c>
      <c r="Q525" s="149">
        <v>11.675000000000001</v>
      </c>
      <c r="R525" s="149">
        <v>8.4500000000000206</v>
      </c>
      <c r="S525" s="138">
        <v>2.7342908438061002</v>
      </c>
      <c r="T525" s="138">
        <v>2.68133802816901</v>
      </c>
      <c r="U525" s="138">
        <f>级配!F525/S525*E523</f>
        <v>2.7429415627051899E-2</v>
      </c>
      <c r="V525" s="138">
        <f>级配!F525/T525*E523</f>
        <v>2.7971109652002699E-2</v>
      </c>
      <c r="AA525" s="153"/>
      <c r="AB525" s="138"/>
      <c r="AC525" s="160"/>
      <c r="AD525" s="138"/>
    </row>
    <row r="526" spans="1:32" ht="14.4">
      <c r="A526" s="276"/>
      <c r="B526" s="276"/>
      <c r="C526" s="164" t="s">
        <v>82</v>
      </c>
      <c r="D526" s="157" t="s">
        <v>125</v>
      </c>
      <c r="E526" s="276"/>
      <c r="F526" s="129">
        <v>0.3</v>
      </c>
      <c r="G526" s="149">
        <v>100</v>
      </c>
      <c r="H526" s="149">
        <v>98.643559281741503</v>
      </c>
      <c r="I526" s="149">
        <v>92.921063565134901</v>
      </c>
      <c r="J526" s="149">
        <v>82.7436811661603</v>
      </c>
      <c r="K526" s="149">
        <v>59.990677308880997</v>
      </c>
      <c r="L526" s="149">
        <v>37.070398489773098</v>
      </c>
      <c r="M526" s="149">
        <v>25.87154168815</v>
      </c>
      <c r="N526" s="149">
        <v>18.5625564349575</v>
      </c>
      <c r="O526" s="149">
        <v>14.995833692901201</v>
      </c>
      <c r="P526" s="149">
        <v>10.9982235917061</v>
      </c>
      <c r="Q526" s="149">
        <v>8.8797216125645608</v>
      </c>
      <c r="R526" s="149">
        <v>7.1282720051018398</v>
      </c>
      <c r="S526" s="138">
        <v>2.7048568437343499</v>
      </c>
      <c r="T526" s="138">
        <v>2.63563381531092</v>
      </c>
      <c r="U526" s="138">
        <f>级配!F526/S526*E523</f>
        <v>3.32734799656699E-2</v>
      </c>
      <c r="V526" s="138">
        <f>级配!F526/T526*E523</f>
        <v>3.41473840095586E-2</v>
      </c>
      <c r="AA526" s="153"/>
    </row>
    <row r="527" spans="1:32" ht="14.4">
      <c r="A527" s="276"/>
      <c r="B527" s="276"/>
      <c r="C527" s="164" t="s">
        <v>99</v>
      </c>
      <c r="D527" s="157" t="s">
        <v>91</v>
      </c>
      <c r="E527" s="276"/>
      <c r="F527" s="129">
        <v>0</v>
      </c>
      <c r="G527" s="149">
        <v>100</v>
      </c>
      <c r="H527" s="149">
        <v>100</v>
      </c>
      <c r="I527" s="149">
        <v>100</v>
      </c>
      <c r="J527" s="149">
        <v>100</v>
      </c>
      <c r="K527" s="149">
        <v>95.528385241345404</v>
      </c>
      <c r="L527" s="149">
        <v>70.546834364063699</v>
      </c>
      <c r="M527" s="149">
        <v>44.760791780407203</v>
      </c>
      <c r="N527" s="149">
        <v>27.108199836069002</v>
      </c>
      <c r="O527" s="149">
        <v>19.493419943699202</v>
      </c>
      <c r="P527" s="149">
        <v>13.008802238617299</v>
      </c>
      <c r="Q527" s="149">
        <v>9.6302110760562503</v>
      </c>
      <c r="R527" s="149">
        <v>6.6583203771381401</v>
      </c>
      <c r="S527" s="138">
        <v>2.7256596275587999</v>
      </c>
      <c r="T527" s="138">
        <v>2.6036636504083002</v>
      </c>
      <c r="U527" s="138">
        <f>级配!F527/S527*E523</f>
        <v>0</v>
      </c>
      <c r="V527" s="138">
        <f>级配!F527/T527*E523</f>
        <v>0</v>
      </c>
      <c r="AA527" s="153"/>
    </row>
    <row r="528" spans="1:32" ht="14.4">
      <c r="A528" s="276"/>
      <c r="B528" s="276"/>
      <c r="C528" s="164" t="s">
        <v>99</v>
      </c>
      <c r="D528" s="157" t="s">
        <v>91</v>
      </c>
      <c r="E528" s="276"/>
      <c r="F528" s="129">
        <v>0</v>
      </c>
      <c r="G528" s="149">
        <v>100</v>
      </c>
      <c r="H528" s="149">
        <v>100</v>
      </c>
      <c r="I528" s="149">
        <v>100</v>
      </c>
      <c r="J528" s="149">
        <v>100</v>
      </c>
      <c r="K528" s="149">
        <v>100</v>
      </c>
      <c r="L528" s="149">
        <v>87.73</v>
      </c>
      <c r="M528" s="149">
        <v>60.642998628675898</v>
      </c>
      <c r="N528" s="149">
        <v>46.061252476001798</v>
      </c>
      <c r="O528" s="149">
        <v>36.995276550358099</v>
      </c>
      <c r="P528" s="149">
        <v>22.337345726039899</v>
      </c>
      <c r="Q528" s="149">
        <v>11.3515160749657</v>
      </c>
      <c r="R528" s="149">
        <v>5.8662197165930197</v>
      </c>
      <c r="S528" s="138">
        <v>2.76</v>
      </c>
      <c r="T528" s="138">
        <v>2.7</v>
      </c>
      <c r="U528" s="138">
        <f>级配!F528/S528*E523</f>
        <v>0</v>
      </c>
      <c r="V528" s="138">
        <f>级配!F528/T528*E523</f>
        <v>0</v>
      </c>
      <c r="AA528" s="153"/>
    </row>
    <row r="529" spans="1:32" ht="14.4">
      <c r="A529" s="276"/>
      <c r="B529" s="276"/>
      <c r="C529" s="164" t="s">
        <v>99</v>
      </c>
      <c r="D529" s="157" t="s">
        <v>91</v>
      </c>
      <c r="E529" s="276"/>
      <c r="F529" s="129">
        <v>0</v>
      </c>
      <c r="G529" s="149">
        <v>100</v>
      </c>
      <c r="H529" s="149">
        <v>100</v>
      </c>
      <c r="I529" s="149">
        <v>100</v>
      </c>
      <c r="J529" s="149">
        <v>100</v>
      </c>
      <c r="K529" s="149">
        <v>100</v>
      </c>
      <c r="L529" s="149">
        <v>100</v>
      </c>
      <c r="M529" s="149">
        <v>100</v>
      </c>
      <c r="N529" s="149">
        <v>100</v>
      </c>
      <c r="O529" s="149">
        <v>100</v>
      </c>
      <c r="P529" s="149">
        <v>99.6875</v>
      </c>
      <c r="Q529" s="149">
        <v>97.112499999999997</v>
      </c>
      <c r="R529" s="149">
        <v>76.612499999999997</v>
      </c>
      <c r="S529" s="138">
        <v>2.8519999999999999</v>
      </c>
      <c r="T529" s="138">
        <v>2.7229999999999999</v>
      </c>
      <c r="U529" s="138">
        <f>级配!F529/S529*E523</f>
        <v>0</v>
      </c>
      <c r="V529" s="138">
        <f>级配!F529/T529*E523</f>
        <v>0</v>
      </c>
      <c r="AA529" s="153"/>
    </row>
    <row r="530" spans="1:32">
      <c r="A530" s="276"/>
      <c r="B530" s="276"/>
      <c r="C530" s="159" t="s">
        <v>74</v>
      </c>
      <c r="D530" s="157" t="s">
        <v>96</v>
      </c>
      <c r="E530" s="276">
        <v>0.7</v>
      </c>
      <c r="F530" s="129">
        <v>0.3</v>
      </c>
      <c r="G530" s="149">
        <v>100</v>
      </c>
      <c r="H530" s="149">
        <v>98.643559281741503</v>
      </c>
      <c r="I530" s="149">
        <v>92.921063565134901</v>
      </c>
      <c r="J530" s="149">
        <v>82.7436811661603</v>
      </c>
      <c r="K530" s="149">
        <v>59.990677308880997</v>
      </c>
      <c r="L530" s="149">
        <v>37.070398489773098</v>
      </c>
      <c r="M530" s="149">
        <v>25.87154168815</v>
      </c>
      <c r="N530" s="149">
        <v>18.5625564349575</v>
      </c>
      <c r="O530" s="149">
        <v>14.995833692901201</v>
      </c>
      <c r="P530" s="149">
        <v>10.9982235917061</v>
      </c>
      <c r="Q530" s="149">
        <v>8.8797216125645608</v>
      </c>
      <c r="R530" s="149">
        <v>7.1282720051018398</v>
      </c>
      <c r="S530" s="138">
        <v>2.7315589353612202</v>
      </c>
      <c r="T530" s="138">
        <v>2.6324661048002902</v>
      </c>
      <c r="U530" s="138">
        <f>级配!F530/S530*E530</f>
        <v>7.6879175946547806E-2</v>
      </c>
      <c r="V530" s="138">
        <f>级配!F530/T530*E530</f>
        <v>7.97731069042317E-2</v>
      </c>
      <c r="AA530" s="153"/>
      <c r="AE530" s="154">
        <v>3.0742959549411202</v>
      </c>
    </row>
    <row r="531" spans="1:32">
      <c r="A531" s="276"/>
      <c r="B531" s="276"/>
      <c r="C531" s="159" t="s">
        <v>76</v>
      </c>
      <c r="D531" s="157" t="s">
        <v>97</v>
      </c>
      <c r="E531" s="276"/>
      <c r="F531" s="129">
        <v>0.7</v>
      </c>
      <c r="G531" s="149">
        <v>100</v>
      </c>
      <c r="H531" s="149">
        <v>100</v>
      </c>
      <c r="I531" s="149">
        <v>100</v>
      </c>
      <c r="J531" s="149">
        <v>100</v>
      </c>
      <c r="K531" s="149">
        <v>95.528385241345404</v>
      </c>
      <c r="L531" s="149">
        <v>70.546834364063699</v>
      </c>
      <c r="M531" s="149">
        <v>44.760791780407203</v>
      </c>
      <c r="N531" s="149">
        <v>27.108199836069002</v>
      </c>
      <c r="O531" s="149">
        <v>19.493419943699202</v>
      </c>
      <c r="P531" s="149">
        <v>13.008802238617299</v>
      </c>
      <c r="Q531" s="149">
        <v>9.6302110760562503</v>
      </c>
      <c r="R531" s="149">
        <v>6.6583203771381401</v>
      </c>
      <c r="S531" s="138">
        <v>2.7229665974712201</v>
      </c>
      <c r="T531" s="138">
        <v>2.6258416742493198</v>
      </c>
      <c r="U531" s="138">
        <f>级配!F531/S531*E530</f>
        <v>0.179950793540786</v>
      </c>
      <c r="V531" s="138">
        <f>级配!F531/T531*E530</f>
        <v>0.186606833460392</v>
      </c>
      <c r="AA531" s="153"/>
      <c r="AE531" s="154">
        <v>4.9810137683065596</v>
      </c>
    </row>
    <row r="532" spans="1:32" ht="14.4">
      <c r="A532" s="276"/>
      <c r="B532" s="276"/>
      <c r="C532"/>
      <c r="F532" s="129" t="s">
        <v>240</v>
      </c>
      <c r="G532" s="170">
        <f>$E$29*($F$29*G523+$F$30*G524+$F$31*G525+$F$32*G526+$F$33*G527+$F$34*G528+$F$35*G529)+$E$36*($F$36*G530+$F$37*G531)</f>
        <v>100</v>
      </c>
      <c r="H532" s="170">
        <f>E523*(F523*H523+F524*H524+F525*H525+F526*H526+F527*H527+F528*H528+F529*H529)+E530*(F530*H530+F531*H531)</f>
        <v>99.593067784522404</v>
      </c>
      <c r="I532" s="170">
        <f>E523*(F523*I523+F524*I524+F525*I525+F526*I526+F527*I527+F528*I528+F529*I529)+E530*(F530*I530+F531*I531)</f>
        <v>97.8763190695405</v>
      </c>
      <c r="J532" s="170">
        <f>E523*(F523*J523+F524*J524+F525*J525+F526*J526+F527*J527+F528*J528+F529*J529)+E530*(F530*J530+F531*J531)</f>
        <v>92.640288993358098</v>
      </c>
      <c r="K532" s="170">
        <f>E523*(F523*K523+F524*K524+F525*K525+F526*K526+F527*K527+F528*K528+F529*K529)+E530*(F530*K530+F531*K531)</f>
        <v>79.920005013939999</v>
      </c>
      <c r="L532" s="170">
        <f>E523*(F523*L523+F524*L524+F525*L525+F526*L526+F527*L527+F528*L528+F529*L529)+E530*(F530*L530+F531*L531)</f>
        <v>53.523832553513301</v>
      </c>
      <c r="M532" s="170">
        <f>E523*(F523*M523+F524*M524+F525*M525+F526*M526+F527*M527+F528*M528+F529*M529)+E530*(F530*M530+F531*M531)</f>
        <v>34.433014647034703</v>
      </c>
      <c r="N532" s="170">
        <f>E523*(F523*N523+F524*N524+F525*N525+F526*N526+F527*N527+F528*N528+F529*N529)+E530*(F530*N530+F531*N531)</f>
        <v>21.705549018351199</v>
      </c>
      <c r="O532" s="170">
        <f>E523*(F523*O523+F524*O524+F525*O525+F526*O526+F527*O527+F528*O528+F529*O529)+E530*(F530*O530+F531*O531)</f>
        <v>16.0924150484731</v>
      </c>
      <c r="P532" s="170">
        <f>E523*(F523*P523+F524*P524+F525*P525+F526*P526+F527*P527+F528*P528+F529*P529)+E530*(F530*P530+F531*P531)</f>
        <v>10.9856693426244</v>
      </c>
      <c r="Q532" s="170">
        <f>E523*(F523*Q523+F524*Q524+F525*Q525+F526*Q526+F527*Q527+F528*Q528+F529*Q529)+E530*(F530*Q530+F531*Q531)</f>
        <v>8.3171090792270608</v>
      </c>
      <c r="R532" s="170">
        <f>E523*(F523*R523+F524*R524+F525*R525+F526*R526+F527*R527+F528*R528+F529*R529)+E530*(F530*R530+F531*R531)</f>
        <v>6.0935727545183704</v>
      </c>
      <c r="S532" s="138"/>
      <c r="T532" s="138"/>
      <c r="AA532" s="153"/>
    </row>
    <row r="533" spans="1:32" ht="14.4">
      <c r="A533" s="276"/>
      <c r="B533" s="276"/>
      <c r="C533"/>
      <c r="F533" s="129" t="s">
        <v>241</v>
      </c>
      <c r="G533" s="149">
        <v>100</v>
      </c>
      <c r="H533" s="149">
        <v>100</v>
      </c>
      <c r="I533" s="129">
        <v>100</v>
      </c>
      <c r="J533" s="129">
        <v>100</v>
      </c>
      <c r="K533" s="129">
        <v>85</v>
      </c>
      <c r="L533" s="129">
        <v>68</v>
      </c>
      <c r="M533" s="129">
        <v>50</v>
      </c>
      <c r="N533" s="129">
        <v>38</v>
      </c>
      <c r="O533" s="129">
        <v>28</v>
      </c>
      <c r="P533" s="129">
        <v>20</v>
      </c>
      <c r="Q533" s="129">
        <v>15</v>
      </c>
      <c r="R533" s="129">
        <v>8</v>
      </c>
      <c r="S533" s="138"/>
      <c r="T533" s="138"/>
      <c r="AA533" s="153"/>
    </row>
    <row r="534" spans="1:32" ht="14.4">
      <c r="A534" s="276"/>
      <c r="B534" s="276"/>
      <c r="C534"/>
      <c r="F534" s="129" t="s">
        <v>242</v>
      </c>
      <c r="G534" s="149">
        <f t="shared" ref="G534" si="87">(G533+G535)/2</f>
        <v>100</v>
      </c>
      <c r="H534" s="149">
        <v>100</v>
      </c>
      <c r="I534" s="129">
        <v>100</v>
      </c>
      <c r="J534" s="129">
        <f t="shared" ref="J534:R534" si="88">(J533+J535)/2</f>
        <v>95</v>
      </c>
      <c r="K534" s="129">
        <f t="shared" si="88"/>
        <v>76.5</v>
      </c>
      <c r="L534" s="129">
        <f t="shared" si="88"/>
        <v>53</v>
      </c>
      <c r="M534" s="129">
        <f t="shared" si="88"/>
        <v>37</v>
      </c>
      <c r="N534" s="129">
        <f t="shared" si="88"/>
        <v>26.5</v>
      </c>
      <c r="O534" s="129">
        <f t="shared" si="88"/>
        <v>19</v>
      </c>
      <c r="P534" s="129">
        <f t="shared" si="88"/>
        <v>13.5</v>
      </c>
      <c r="Q534" s="129">
        <f t="shared" si="88"/>
        <v>10</v>
      </c>
      <c r="R534" s="129">
        <f t="shared" si="88"/>
        <v>6</v>
      </c>
      <c r="S534" s="138"/>
      <c r="T534" s="138"/>
      <c r="AA534" s="153"/>
    </row>
    <row r="535" spans="1:32" ht="14.4">
      <c r="A535" s="276"/>
      <c r="B535" s="276"/>
      <c r="C535"/>
      <c r="F535" s="129" t="s">
        <v>243</v>
      </c>
      <c r="G535" s="149">
        <v>100</v>
      </c>
      <c r="H535" s="149">
        <v>100</v>
      </c>
      <c r="I535" s="129">
        <v>100</v>
      </c>
      <c r="J535" s="129">
        <v>90</v>
      </c>
      <c r="K535" s="129">
        <v>68</v>
      </c>
      <c r="L535" s="129">
        <v>38</v>
      </c>
      <c r="M535" s="129">
        <v>24</v>
      </c>
      <c r="N535" s="129">
        <v>15</v>
      </c>
      <c r="O535" s="129">
        <v>10</v>
      </c>
      <c r="P535" s="129">
        <v>7</v>
      </c>
      <c r="Q535" s="129">
        <v>5</v>
      </c>
      <c r="R535" s="129">
        <v>4</v>
      </c>
      <c r="S535" s="138"/>
      <c r="T535" s="138"/>
      <c r="AA535" s="153"/>
    </row>
    <row r="536" spans="1:32">
      <c r="A536" s="276" t="s">
        <v>126</v>
      </c>
      <c r="B536" s="276" t="s">
        <v>218</v>
      </c>
      <c r="C536" s="159" t="s">
        <v>81</v>
      </c>
      <c r="D536" s="157" t="s">
        <v>79</v>
      </c>
      <c r="E536" s="276">
        <v>0.5</v>
      </c>
      <c r="F536" s="136">
        <v>0.34</v>
      </c>
      <c r="G536" s="149">
        <v>100</v>
      </c>
      <c r="H536" s="149">
        <v>100</v>
      </c>
      <c r="I536" s="149">
        <v>100</v>
      </c>
      <c r="J536" s="149">
        <v>63.6</v>
      </c>
      <c r="K536" s="149">
        <v>8.8000000000000007</v>
      </c>
      <c r="L536" s="149">
        <v>0.53036936893595099</v>
      </c>
      <c r="M536" s="149">
        <v>0.53036936893595099</v>
      </c>
      <c r="N536" s="149">
        <v>0.53036936893595099</v>
      </c>
      <c r="O536" s="149">
        <v>0.53036936893595099</v>
      </c>
      <c r="P536" s="149">
        <v>0.53036936893595099</v>
      </c>
      <c r="Q536" s="149">
        <v>0.53036936893595099</v>
      </c>
      <c r="R536" s="149">
        <v>0.53036936893595099</v>
      </c>
      <c r="S536" s="138">
        <v>2.7095396792334898</v>
      </c>
      <c r="T536" s="138">
        <v>2.6755450431921002</v>
      </c>
      <c r="U536" s="138">
        <f>[3]级配!F523/S536*E536</f>
        <v>5.1669293154475902E-2</v>
      </c>
      <c r="V536" s="138">
        <f>[3]级配!F523/T536*E536</f>
        <v>5.2325786985432603E-2</v>
      </c>
      <c r="W536" s="138">
        <f>1/SUM(U536:U544)</f>
        <v>2.7230986736889702</v>
      </c>
      <c r="X536" s="153">
        <v>0.4</v>
      </c>
      <c r="Y536" s="138">
        <f>0.033*X536*X536-0.2936*X536+0.9336</f>
        <v>0.82143999999999995</v>
      </c>
      <c r="Z536" s="138">
        <f>0.033*Y536*Y536-0.2936*Y536+0.9336</f>
        <v>0.71469241722879995</v>
      </c>
      <c r="AA536" s="138">
        <v>2.5539999999999998</v>
      </c>
      <c r="AB536" s="138">
        <f>1/SUM(V536:V544)</f>
        <v>2.6479330227609701</v>
      </c>
      <c r="AC536" s="160">
        <v>4.5999999999999996</v>
      </c>
      <c r="AD536" s="138">
        <f>100*AC536/(100+AC536)</f>
        <v>4.3977055449330802</v>
      </c>
      <c r="AE536" s="137"/>
      <c r="AF536" s="154">
        <f>AC536-E543*F543*AE543-E543*F544*AE544</f>
        <v>2.0434641295355198</v>
      </c>
    </row>
    <row r="537" spans="1:32">
      <c r="A537" s="276"/>
      <c r="B537" s="276"/>
      <c r="C537" s="159" t="s">
        <v>81</v>
      </c>
      <c r="D537" s="157" t="s">
        <v>63</v>
      </c>
      <c r="E537" s="276"/>
      <c r="F537" s="129">
        <v>0.3</v>
      </c>
      <c r="G537" s="149">
        <v>100</v>
      </c>
      <c r="H537" s="149">
        <v>100</v>
      </c>
      <c r="I537" s="149">
        <v>100</v>
      </c>
      <c r="J537" s="149">
        <v>100</v>
      </c>
      <c r="K537" s="149">
        <v>94.4</v>
      </c>
      <c r="L537" s="149">
        <v>6</v>
      </c>
      <c r="M537" s="149">
        <v>0.4</v>
      </c>
      <c r="N537" s="149">
        <v>0.4</v>
      </c>
      <c r="O537" s="149">
        <v>0.4</v>
      </c>
      <c r="P537" s="149">
        <v>0.4</v>
      </c>
      <c r="Q537" s="149">
        <v>0.4</v>
      </c>
      <c r="R537" s="149">
        <v>0.4</v>
      </c>
      <c r="S537" s="138">
        <v>2.71616871704745</v>
      </c>
      <c r="T537" s="138">
        <v>2.6778465346534701</v>
      </c>
      <c r="U537" s="138">
        <f>[3]级配!F524/S537*E536</f>
        <v>3.6816564218699499E-2</v>
      </c>
      <c r="V537" s="138">
        <f>[3]级配!F524/T537*E536</f>
        <v>3.7343439478670797E-2</v>
      </c>
      <c r="W537" s="138"/>
      <c r="X537" s="138"/>
      <c r="Y537" s="151"/>
      <c r="Z537" s="151"/>
      <c r="AA537" s="153"/>
      <c r="AB537" s="138"/>
      <c r="AC537" s="160"/>
      <c r="AD537" s="138"/>
      <c r="AE537" s="137"/>
      <c r="AF537" s="137"/>
    </row>
    <row r="538" spans="1:32">
      <c r="A538" s="276"/>
      <c r="B538" s="276"/>
      <c r="C538" s="159" t="s">
        <v>82</v>
      </c>
      <c r="D538" s="157" t="s">
        <v>65</v>
      </c>
      <c r="E538" s="276"/>
      <c r="F538" s="129">
        <v>0.36</v>
      </c>
      <c r="G538" s="149">
        <v>100</v>
      </c>
      <c r="H538" s="149">
        <v>100</v>
      </c>
      <c r="I538" s="149">
        <v>100</v>
      </c>
      <c r="J538" s="149">
        <v>100</v>
      </c>
      <c r="K538" s="149">
        <v>100</v>
      </c>
      <c r="L538" s="149">
        <v>98.1</v>
      </c>
      <c r="M538" s="149">
        <v>62.4</v>
      </c>
      <c r="N538" s="149">
        <v>37.299999999999997</v>
      </c>
      <c r="O538" s="149">
        <v>26.4</v>
      </c>
      <c r="P538" s="149">
        <v>16.7</v>
      </c>
      <c r="Q538" s="149">
        <v>11.7</v>
      </c>
      <c r="R538" s="149">
        <v>8.5</v>
      </c>
      <c r="S538" s="138">
        <v>2.7342908438061002</v>
      </c>
      <c r="T538" s="138">
        <v>2.68133802816901</v>
      </c>
      <c r="U538" s="138">
        <f>[3]级配!F525/S538*E536</f>
        <v>3.6572554169402499E-2</v>
      </c>
      <c r="V538" s="138">
        <f>[3]级配!F525/T538*E536</f>
        <v>3.7294812869336801E-2</v>
      </c>
      <c r="AA538" s="153"/>
      <c r="AE538" s="137"/>
      <c r="AF538" s="137"/>
    </row>
    <row r="539" spans="1:32" ht="14.4">
      <c r="A539" s="276"/>
      <c r="B539" s="276"/>
      <c r="C539" s="164" t="s">
        <v>82</v>
      </c>
      <c r="D539" s="157" t="s">
        <v>125</v>
      </c>
      <c r="E539" s="276"/>
      <c r="F539" s="129">
        <v>0</v>
      </c>
      <c r="G539" s="149">
        <v>100</v>
      </c>
      <c r="H539" s="149">
        <v>100</v>
      </c>
      <c r="I539" s="149">
        <v>100</v>
      </c>
      <c r="J539" s="149">
        <v>100</v>
      </c>
      <c r="K539" s="149">
        <v>100</v>
      </c>
      <c r="L539" s="149">
        <v>100</v>
      </c>
      <c r="M539" s="149">
        <v>84.566666666666706</v>
      </c>
      <c r="N539" s="149">
        <v>54.441666666666698</v>
      </c>
      <c r="O539" s="149">
        <v>36.566666666666698</v>
      </c>
      <c r="P539" s="149">
        <v>17.024999999999999</v>
      </c>
      <c r="Q539" s="149">
        <v>9.1166666666666707</v>
      </c>
      <c r="R539" s="149">
        <v>6.2750000000000101</v>
      </c>
      <c r="S539" s="138">
        <v>2.7048568437343499</v>
      </c>
      <c r="T539" s="138">
        <v>2.63563381531092</v>
      </c>
      <c r="U539" s="138">
        <f>[3]级配!F526/S539*E536</f>
        <v>5.5455799942783102E-2</v>
      </c>
      <c r="V539" s="138">
        <f>[3]级配!F526/T539*E536</f>
        <v>5.6912306682597703E-2</v>
      </c>
      <c r="AA539" s="153"/>
      <c r="AE539" s="137"/>
      <c r="AF539" s="137"/>
    </row>
    <row r="540" spans="1:32" ht="14.4">
      <c r="A540" s="276"/>
      <c r="B540" s="276"/>
      <c r="C540" s="164" t="s">
        <v>99</v>
      </c>
      <c r="D540" s="157" t="s">
        <v>91</v>
      </c>
      <c r="E540" s="276"/>
      <c r="F540" s="129">
        <v>0</v>
      </c>
      <c r="G540" s="149">
        <v>100</v>
      </c>
      <c r="H540" s="149">
        <v>100</v>
      </c>
      <c r="I540" s="149">
        <v>95.109673240202099</v>
      </c>
      <c r="J540" s="149">
        <v>77.987177792164502</v>
      </c>
      <c r="K540" s="149">
        <v>46.3611169369997</v>
      </c>
      <c r="L540" s="149">
        <v>24.187846453279398</v>
      </c>
      <c r="M540" s="149">
        <v>17.040236021531701</v>
      </c>
      <c r="N540" s="149">
        <v>12.657432047973099</v>
      </c>
      <c r="O540" s="149">
        <v>10.3839431478753</v>
      </c>
      <c r="P540" s="149">
        <v>7.5574870833503702</v>
      </c>
      <c r="Q540" s="149">
        <v>5.5758207571831404</v>
      </c>
      <c r="R540" s="149">
        <v>3.8146299551751999</v>
      </c>
      <c r="S540" s="138">
        <v>2.7256596275587999</v>
      </c>
      <c r="T540" s="138">
        <v>2.6036636504083002</v>
      </c>
      <c r="U540" s="138">
        <f>[3]级配!F527/S540*E536</f>
        <v>3.6688366731088698E-3</v>
      </c>
      <c r="V540" s="138">
        <f>[3]级配!F527/T540*E536</f>
        <v>3.8407418709524299E-3</v>
      </c>
      <c r="AA540" s="153"/>
      <c r="AE540" s="137"/>
      <c r="AF540" s="137"/>
    </row>
    <row r="541" spans="1:32" ht="14.4">
      <c r="A541" s="276"/>
      <c r="B541" s="276"/>
      <c r="C541" s="164" t="s">
        <v>99</v>
      </c>
      <c r="D541" s="157" t="s">
        <v>91</v>
      </c>
      <c r="E541" s="276"/>
      <c r="F541" s="129">
        <v>0</v>
      </c>
      <c r="G541" s="149">
        <v>100</v>
      </c>
      <c r="H541" s="149">
        <v>100</v>
      </c>
      <c r="I541" s="149">
        <v>100</v>
      </c>
      <c r="J541" s="149">
        <v>100</v>
      </c>
      <c r="K541" s="149">
        <v>99.333303744032804</v>
      </c>
      <c r="L541" s="149">
        <v>72.879852645283506</v>
      </c>
      <c r="M541" s="149">
        <v>44.955714680238302</v>
      </c>
      <c r="N541" s="149">
        <v>30.5080976052393</v>
      </c>
      <c r="O541" s="149">
        <v>23.538978971870399</v>
      </c>
      <c r="P541" s="149">
        <v>15.647931707894401</v>
      </c>
      <c r="Q541" s="149">
        <v>10.7683601609658</v>
      </c>
      <c r="R541" s="149">
        <v>6.9240196078431504</v>
      </c>
      <c r="S541" s="138">
        <v>2.76</v>
      </c>
      <c r="T541" s="138">
        <v>2.7</v>
      </c>
      <c r="U541" s="138">
        <f>[3]级配!F528/S541*E536</f>
        <v>0</v>
      </c>
      <c r="V541" s="138">
        <f>[3]级配!F528/T541*E536</f>
        <v>0</v>
      </c>
      <c r="AA541" s="153"/>
      <c r="AE541" s="137"/>
      <c r="AF541" s="137"/>
    </row>
    <row r="542" spans="1:32" ht="14.4">
      <c r="A542" s="276"/>
      <c r="B542" s="276"/>
      <c r="C542" s="164" t="s">
        <v>99</v>
      </c>
      <c r="D542" s="157" t="s">
        <v>91</v>
      </c>
      <c r="E542" s="276"/>
      <c r="F542" s="129">
        <v>0</v>
      </c>
      <c r="G542" s="149">
        <v>100</v>
      </c>
      <c r="H542" s="149">
        <v>100</v>
      </c>
      <c r="I542" s="149">
        <v>100</v>
      </c>
      <c r="J542" s="149">
        <v>100</v>
      </c>
      <c r="K542" s="149">
        <v>100</v>
      </c>
      <c r="L542" s="149">
        <v>100</v>
      </c>
      <c r="M542" s="149">
        <v>100</v>
      </c>
      <c r="N542" s="149">
        <v>100</v>
      </c>
      <c r="O542" s="149">
        <v>100</v>
      </c>
      <c r="P542" s="149">
        <v>99.6875</v>
      </c>
      <c r="Q542" s="149">
        <v>97.112499999999997</v>
      </c>
      <c r="R542" s="149">
        <v>76.612499999999997</v>
      </c>
      <c r="S542" s="138">
        <v>2.8519999999999999</v>
      </c>
      <c r="T542" s="138">
        <v>2.7229999999999999</v>
      </c>
      <c r="U542" s="138">
        <f>[3]级配!F529/S542*E536</f>
        <v>0</v>
      </c>
      <c r="V542" s="138">
        <f>[3]级配!F529/T542*E536</f>
        <v>0</v>
      </c>
      <c r="AA542" s="153"/>
      <c r="AE542" s="137"/>
      <c r="AF542" s="137"/>
    </row>
    <row r="543" spans="1:32">
      <c r="A543" s="276"/>
      <c r="B543" s="276"/>
      <c r="C543" s="159" t="s">
        <v>74</v>
      </c>
      <c r="D543" s="157" t="s">
        <v>111</v>
      </c>
      <c r="E543" s="276">
        <v>0.5</v>
      </c>
      <c r="F543" s="129">
        <v>1</v>
      </c>
      <c r="G543" s="149">
        <v>100</v>
      </c>
      <c r="H543" s="149">
        <v>100</v>
      </c>
      <c r="I543" s="149">
        <v>100</v>
      </c>
      <c r="J543" s="149">
        <v>97.549232406212496</v>
      </c>
      <c r="K543" s="149">
        <v>91.257527106233198</v>
      </c>
      <c r="L543" s="149">
        <v>69.294213614497295</v>
      </c>
      <c r="M543" s="149">
        <v>49.670525672573497</v>
      </c>
      <c r="N543" s="149">
        <v>35.809807317090403</v>
      </c>
      <c r="O543" s="149">
        <v>27.7274233998731</v>
      </c>
      <c r="P543" s="149">
        <v>18.139166039489702</v>
      </c>
      <c r="Q543" s="149">
        <v>11.287906849086699</v>
      </c>
      <c r="R543" s="149">
        <v>5.8495603076823999</v>
      </c>
      <c r="S543" s="138">
        <v>2.7315589353612202</v>
      </c>
      <c r="T543" s="138">
        <v>2.6324661048002902</v>
      </c>
      <c r="U543" s="138">
        <f>[3]级配!F530/S543*E543</f>
        <v>0.18304565701559</v>
      </c>
      <c r="V543" s="138">
        <f>[3]级配!F530/T543*E543</f>
        <v>0.18993596881959901</v>
      </c>
      <c r="AA543" s="153"/>
      <c r="AE543" s="137">
        <v>5.1130717409289597</v>
      </c>
      <c r="AF543" s="137"/>
    </row>
    <row r="544" spans="1:32">
      <c r="A544" s="276"/>
      <c r="B544" s="276"/>
      <c r="C544" s="159" t="s">
        <v>76</v>
      </c>
      <c r="D544" s="157" t="s">
        <v>97</v>
      </c>
      <c r="E544" s="276"/>
      <c r="F544" s="129">
        <v>0</v>
      </c>
      <c r="G544" s="149">
        <v>100</v>
      </c>
      <c r="H544" s="149">
        <v>100</v>
      </c>
      <c r="I544" s="149">
        <v>100</v>
      </c>
      <c r="J544" s="149">
        <v>100</v>
      </c>
      <c r="K544" s="149">
        <v>99.333303744032804</v>
      </c>
      <c r="L544" s="149">
        <v>72.879852645283506</v>
      </c>
      <c r="M544" s="149">
        <v>44.955714680238302</v>
      </c>
      <c r="N544" s="149">
        <v>30.5080976052393</v>
      </c>
      <c r="O544" s="149">
        <v>23.538978971870399</v>
      </c>
      <c r="P544" s="149">
        <v>15.647931707894401</v>
      </c>
      <c r="Q544" s="149">
        <v>10.7683601609658</v>
      </c>
      <c r="R544" s="149">
        <v>6.9240196078431504</v>
      </c>
      <c r="S544" s="138">
        <v>2.7229665974712201</v>
      </c>
      <c r="T544" s="138">
        <v>2.6258416742493198</v>
      </c>
      <c r="U544" s="138">
        <f>[3]级配!F531/S544*E543</f>
        <v>0</v>
      </c>
      <c r="V544" s="138">
        <f>[3]级配!F531/T544*E543</f>
        <v>0</v>
      </c>
      <c r="AA544" s="153"/>
      <c r="AE544" s="137"/>
      <c r="AF544" s="137"/>
    </row>
    <row r="545" spans="1:32" ht="14.4">
      <c r="A545" s="276"/>
      <c r="B545" s="276"/>
      <c r="C545"/>
      <c r="F545" s="129" t="s">
        <v>240</v>
      </c>
      <c r="G545" s="170">
        <f>$E$29*($F$29*G536+$F$30*G537+$F$31*G538+$F$32*G539+$F$33*G540+$F$34*G541+$F$35*G542)+$E$36*($F$36*G543+$F$37*G544)</f>
        <v>100</v>
      </c>
      <c r="H545" s="170">
        <f>E536*(F536*H536+F537*H537+F538*H538+F539*H539+F540*H540+F541*H541+F542*H542)+E543*(F543*H543+F544*H544)</f>
        <v>100</v>
      </c>
      <c r="I545" s="170">
        <f>E536*(F536*I536+F537*I537+F538*I538+F539*I539+F540*I540+F541*I541+F542*I542)+E543*(F543*I543+F544*I544)</f>
        <v>100</v>
      </c>
      <c r="J545" s="170">
        <f>E536*(F536*J536+F537*J537+F538*J538+F539*J539+F540*J540+F541*J541+F542*J542)+E543*(F543*J543+F544*J544)</f>
        <v>92.586616203106203</v>
      </c>
      <c r="K545" s="170">
        <f>E536*(F536*K536+F537*K537+F538*K538+F539*K539+F540*K540+F541*K541+F542*K542)+E543*(F543*K543+F544*K544)</f>
        <v>79.284763553116605</v>
      </c>
      <c r="L545" s="170">
        <f>E536*(F536*L536+F537*L537+F538*L538+F539*L539+F540*L540+F541*L541+F542*L542)+E543*(F543*L543+F544*L544)</f>
        <v>53.295269599967803</v>
      </c>
      <c r="M545" s="170">
        <f>E536*(F536*M536+F537*M537+F538*M538+F539*M539+F540*M540+F541*M541+F542*M542)+E543*(F543*M543+F544*M544)</f>
        <v>36.217425629005902</v>
      </c>
      <c r="N545" s="170">
        <f>E536*(F536*N536+F537*N537+F538*N538+F539*N539+F540*N540+F541*N541+F542*N542)+E543*(F543*N543+F544*N544)</f>
        <v>24.769066451264301</v>
      </c>
      <c r="O545" s="170">
        <f>E536*(F536*O536+F537*O537+F538*O538+F539*O539+F540*O540+F541*O541+F542*O542)+E543*(F543*O543+F544*O544)</f>
        <v>18.765874492655598</v>
      </c>
      <c r="P545" s="170">
        <f>E536*(F536*P536+F537*P537+F538*P538+F539*P539+F540*P540+F541*P541+F542*P542)+E543*(F543*P543+F544*P544)</f>
        <v>12.225745812464</v>
      </c>
      <c r="Q545" s="170">
        <f>E536*(F536*Q536+F537*Q537+F538*Q538+F539*Q539+F540*Q540+F541*Q541+F542*Q542)+E543*(F543*Q543+F544*Q544)</f>
        <v>7.9001162172624602</v>
      </c>
      <c r="R545" s="170">
        <f>E536*(F536*R536+F537*R537+F538*R538+F539*R539+F540*R540+F541*R541+F542*R542)+E543*(F543*R543+F544*R544)</f>
        <v>4.6049429465603096</v>
      </c>
      <c r="S545" s="138"/>
      <c r="T545" s="138"/>
      <c r="AA545" s="153"/>
      <c r="AE545" s="137"/>
      <c r="AF545" s="137"/>
    </row>
    <row r="546" spans="1:32" ht="14.4">
      <c r="A546" s="276"/>
      <c r="B546" s="276"/>
      <c r="C546"/>
      <c r="F546" s="129" t="s">
        <v>241</v>
      </c>
      <c r="G546" s="149">
        <v>100</v>
      </c>
      <c r="H546" s="149">
        <v>100</v>
      </c>
      <c r="I546" s="129">
        <v>100</v>
      </c>
      <c r="J546" s="129">
        <v>100</v>
      </c>
      <c r="K546" s="129">
        <v>85</v>
      </c>
      <c r="L546" s="129">
        <v>68</v>
      </c>
      <c r="M546" s="129">
        <v>50</v>
      </c>
      <c r="N546" s="129">
        <v>38</v>
      </c>
      <c r="O546" s="129">
        <v>28</v>
      </c>
      <c r="P546" s="129">
        <v>20</v>
      </c>
      <c r="Q546" s="129">
        <v>15</v>
      </c>
      <c r="R546" s="129">
        <v>8</v>
      </c>
      <c r="S546" s="138"/>
      <c r="T546" s="138"/>
      <c r="AA546" s="153"/>
      <c r="AE546" s="137"/>
      <c r="AF546" s="137"/>
    </row>
    <row r="547" spans="1:32" ht="14.4">
      <c r="A547" s="276"/>
      <c r="B547" s="276"/>
      <c r="C547"/>
      <c r="F547" s="129" t="s">
        <v>242</v>
      </c>
      <c r="G547" s="149">
        <f t="shared" ref="G547" si="89">(G546+G548)/2</f>
        <v>100</v>
      </c>
      <c r="H547" s="149">
        <v>100</v>
      </c>
      <c r="I547" s="129">
        <v>100</v>
      </c>
      <c r="J547" s="129">
        <f t="shared" ref="J547:R547" si="90">(J546+J548)/2</f>
        <v>95</v>
      </c>
      <c r="K547" s="129">
        <f t="shared" si="90"/>
        <v>76.5</v>
      </c>
      <c r="L547" s="129">
        <f t="shared" si="90"/>
        <v>53</v>
      </c>
      <c r="M547" s="129">
        <f t="shared" si="90"/>
        <v>37</v>
      </c>
      <c r="N547" s="129">
        <f t="shared" si="90"/>
        <v>26.5</v>
      </c>
      <c r="O547" s="129">
        <f t="shared" si="90"/>
        <v>19</v>
      </c>
      <c r="P547" s="129">
        <f t="shared" si="90"/>
        <v>13.5</v>
      </c>
      <c r="Q547" s="129">
        <f t="shared" si="90"/>
        <v>10</v>
      </c>
      <c r="R547" s="129">
        <f t="shared" si="90"/>
        <v>6</v>
      </c>
      <c r="S547" s="138"/>
      <c r="T547" s="138"/>
      <c r="AA547" s="153"/>
      <c r="AE547" s="137"/>
      <c r="AF547" s="137"/>
    </row>
    <row r="548" spans="1:32" ht="14.4">
      <c r="A548" s="276"/>
      <c r="B548" s="276"/>
      <c r="C548"/>
      <c r="F548" s="129" t="s">
        <v>243</v>
      </c>
      <c r="G548" s="149">
        <v>100</v>
      </c>
      <c r="H548" s="149">
        <v>100</v>
      </c>
      <c r="I548" s="129">
        <v>100</v>
      </c>
      <c r="J548" s="129">
        <v>90</v>
      </c>
      <c r="K548" s="129">
        <v>68</v>
      </c>
      <c r="L548" s="129">
        <v>38</v>
      </c>
      <c r="M548" s="129">
        <v>24</v>
      </c>
      <c r="N548" s="129">
        <v>15</v>
      </c>
      <c r="O548" s="129">
        <v>10</v>
      </c>
      <c r="P548" s="129">
        <v>7</v>
      </c>
      <c r="Q548" s="129">
        <v>5</v>
      </c>
      <c r="R548" s="129">
        <v>4</v>
      </c>
      <c r="S548" s="138"/>
      <c r="T548" s="138"/>
      <c r="AA548" s="153"/>
      <c r="AE548" s="137"/>
      <c r="AF548" s="137"/>
    </row>
    <row r="549" spans="1:32" ht="14.4">
      <c r="A549" s="276" t="s">
        <v>127</v>
      </c>
      <c r="B549" s="276" t="s">
        <v>262</v>
      </c>
      <c r="C549" s="159" t="s">
        <v>61</v>
      </c>
      <c r="D549" s="129" t="s">
        <v>128</v>
      </c>
      <c r="E549" s="276">
        <v>0.3</v>
      </c>
      <c r="F549" s="136">
        <v>0.33</v>
      </c>
      <c r="G549" s="134">
        <v>98.082682248056798</v>
      </c>
      <c r="H549" s="134">
        <v>9.2888274687689592</v>
      </c>
      <c r="I549" s="134">
        <v>0.101102701185845</v>
      </c>
      <c r="J549" s="134">
        <v>0.101102701185845</v>
      </c>
      <c r="K549" s="134">
        <v>0.101102701185845</v>
      </c>
      <c r="L549" s="134">
        <v>0.101102701185845</v>
      </c>
      <c r="M549" s="134">
        <v>0.101102701185845</v>
      </c>
      <c r="N549" s="134">
        <v>0.101102701185845</v>
      </c>
      <c r="O549" s="134">
        <v>0.101102701185845</v>
      </c>
      <c r="P549" s="134">
        <v>0.101102701185845</v>
      </c>
      <c r="Q549" s="134">
        <v>0.101102701185845</v>
      </c>
      <c r="R549" s="134">
        <v>0.101102701185845</v>
      </c>
      <c r="S549" s="138">
        <v>2.7095396792334898</v>
      </c>
      <c r="T549" s="138">
        <v>2.6755450431921002</v>
      </c>
      <c r="U549" s="138">
        <f>[3]级配!F536/S549*E549</f>
        <v>3.9859169004881401E-2</v>
      </c>
      <c r="V549" s="138">
        <f>[3]级配!F536/T549*E549</f>
        <v>4.0365607103047998E-2</v>
      </c>
      <c r="W549" s="138">
        <f>1/SUM(U549:U557)</f>
        <v>2.7266189969289201</v>
      </c>
      <c r="X549" s="153">
        <v>0.4</v>
      </c>
      <c r="Y549" s="138">
        <f>0.033*X549*X549-0.2936*X549+0.9336</f>
        <v>0.82143999999999995</v>
      </c>
      <c r="Z549" s="138">
        <f>0.033*Y549*Y549-0.2936*Y549+0.9336</f>
        <v>0.71469241722879995</v>
      </c>
      <c r="AA549" s="138">
        <v>2.5720000000000001</v>
      </c>
      <c r="AB549" s="138">
        <f>1/SUM(V549:V557)</f>
        <v>2.6431537298724002</v>
      </c>
      <c r="AC549" s="160">
        <v>4</v>
      </c>
      <c r="AD549" s="138">
        <f>100*AC549/(100+AC549)</f>
        <v>3.8461538461538498</v>
      </c>
      <c r="AE549" s="137"/>
      <c r="AF549" s="154">
        <f>AC549-E556*F556*AE556-E556*F557*AE557</f>
        <v>0.70229060082512096</v>
      </c>
    </row>
    <row r="550" spans="1:32" ht="14.4">
      <c r="A550" s="276"/>
      <c r="B550" s="276"/>
      <c r="C550" s="159" t="s">
        <v>61</v>
      </c>
      <c r="D550" s="134" t="s">
        <v>86</v>
      </c>
      <c r="E550" s="276"/>
      <c r="F550" s="129">
        <v>0.5</v>
      </c>
      <c r="G550" s="134">
        <v>100</v>
      </c>
      <c r="H550" s="134">
        <v>77.953780439121701</v>
      </c>
      <c r="I550" s="134">
        <v>8.7413852295408994</v>
      </c>
      <c r="J550" s="134">
        <v>0.52540119760477899</v>
      </c>
      <c r="K550" s="134">
        <v>0.17979640718562701</v>
      </c>
      <c r="L550" s="134">
        <v>0.14781636726546299</v>
      </c>
      <c r="M550" s="134">
        <v>0.123848303393203</v>
      </c>
      <c r="N550" s="134">
        <v>0.123848303393203</v>
      </c>
      <c r="O550" s="134">
        <v>0.123848303393203</v>
      </c>
      <c r="P550" s="134">
        <v>0.123848303393203</v>
      </c>
      <c r="Q550" s="134">
        <v>0.123848303393203</v>
      </c>
      <c r="R550" s="134">
        <v>0.123848303393203</v>
      </c>
      <c r="S550" s="138">
        <v>2.71616871704745</v>
      </c>
      <c r="T550" s="138">
        <v>2.6778465346534701</v>
      </c>
      <c r="U550" s="138">
        <f>[3]级配!F537/S550*E549</f>
        <v>2.8716920090585601E-2</v>
      </c>
      <c r="V550" s="138">
        <f>[3]级配!F537/T550*E549</f>
        <v>2.9127882793363199E-2</v>
      </c>
      <c r="W550" s="138"/>
      <c r="X550" s="138"/>
      <c r="Y550" s="151"/>
      <c r="Z550" s="151"/>
      <c r="AA550" s="153"/>
      <c r="AB550" s="138"/>
      <c r="AC550" s="160"/>
      <c r="AD550" s="138"/>
      <c r="AE550" s="137"/>
      <c r="AF550" s="137"/>
    </row>
    <row r="551" spans="1:32" ht="14.4">
      <c r="A551" s="276"/>
      <c r="B551" s="276"/>
      <c r="C551" s="159" t="s">
        <v>61</v>
      </c>
      <c r="D551" s="134" t="s">
        <v>87</v>
      </c>
      <c r="E551" s="276"/>
      <c r="F551" s="129">
        <v>0.17</v>
      </c>
      <c r="G551" s="134">
        <v>100</v>
      </c>
      <c r="H551" s="134">
        <v>100</v>
      </c>
      <c r="I551" s="134">
        <v>99.068006491545901</v>
      </c>
      <c r="J551" s="134">
        <v>75.690028683574894</v>
      </c>
      <c r="K551" s="134">
        <v>3.45067934782608</v>
      </c>
      <c r="L551" s="134">
        <v>9.7731733091798306E-2</v>
      </c>
      <c r="M551" s="134">
        <v>9.3383907004849095E-2</v>
      </c>
      <c r="N551" s="134">
        <v>9.3383907004849095E-2</v>
      </c>
      <c r="O551" s="134">
        <v>9.3383907004849095E-2</v>
      </c>
      <c r="P551" s="134">
        <v>9.3383907004849095E-2</v>
      </c>
      <c r="Q551" s="134">
        <v>9.3383907004849095E-2</v>
      </c>
      <c r="R551" s="134">
        <v>9.3383907004849095E-2</v>
      </c>
      <c r="S551" s="138">
        <v>2.7342908438061002</v>
      </c>
      <c r="T551" s="138">
        <v>2.68133802816901</v>
      </c>
      <c r="U551" s="138">
        <f>[3]级配!F538/S551*E549</f>
        <v>1.9749179251477299E-2</v>
      </c>
      <c r="V551" s="138">
        <f>[3]级配!F538/T551*E549</f>
        <v>2.0139198949441901E-2</v>
      </c>
      <c r="AA551" s="153"/>
      <c r="AE551" s="137"/>
      <c r="AF551" s="137"/>
    </row>
    <row r="552" spans="1:32" ht="14.4">
      <c r="A552" s="276"/>
      <c r="B552" s="276"/>
      <c r="C552" s="159" t="s">
        <v>61</v>
      </c>
      <c r="D552" s="134" t="s">
        <v>116</v>
      </c>
      <c r="E552" s="276"/>
      <c r="F552" s="129">
        <v>0</v>
      </c>
      <c r="G552" s="134">
        <v>100</v>
      </c>
      <c r="H552" s="134">
        <v>100</v>
      </c>
      <c r="I552" s="134">
        <v>100</v>
      </c>
      <c r="J552" s="134">
        <v>100</v>
      </c>
      <c r="K552" s="134">
        <v>89.344714396382699</v>
      </c>
      <c r="L552" s="134">
        <v>0.36038386137987299</v>
      </c>
      <c r="M552" s="134">
        <v>0.20380778473408201</v>
      </c>
      <c r="N552" s="134">
        <v>0.20380778473408201</v>
      </c>
      <c r="O552" s="134">
        <v>0.20380778473408201</v>
      </c>
      <c r="P552" s="134">
        <v>0.20380778473408201</v>
      </c>
      <c r="Q552" s="134">
        <v>0.20380778473408201</v>
      </c>
      <c r="R552" s="134">
        <v>0.20380778473408201</v>
      </c>
      <c r="S552" s="138">
        <v>2.7048568437343499</v>
      </c>
      <c r="T552" s="138">
        <v>2.63563381531092</v>
      </c>
      <c r="U552" s="138">
        <f>[3]级配!F539/S552*E549</f>
        <v>1.9964087979401898E-2</v>
      </c>
      <c r="V552" s="138">
        <f>[3]级配!F539/T552*E549</f>
        <v>2.0488430405735201E-2</v>
      </c>
      <c r="AA552" s="153"/>
      <c r="AE552" s="137"/>
      <c r="AF552" s="137"/>
    </row>
    <row r="553" spans="1:32" ht="14.4">
      <c r="A553" s="276"/>
      <c r="B553" s="276"/>
      <c r="C553" s="159" t="s">
        <v>61</v>
      </c>
      <c r="D553" s="134" t="s">
        <v>117</v>
      </c>
      <c r="E553" s="276"/>
      <c r="F553" s="129">
        <v>0</v>
      </c>
      <c r="G553" s="134">
        <v>100</v>
      </c>
      <c r="H553" s="134">
        <v>100</v>
      </c>
      <c r="I553" s="134">
        <v>100</v>
      </c>
      <c r="J553" s="134">
        <v>100</v>
      </c>
      <c r="K553" s="134">
        <v>100</v>
      </c>
      <c r="L553" s="134">
        <v>52.4622352487768</v>
      </c>
      <c r="M553" s="134">
        <v>0.51434488035925396</v>
      </c>
      <c r="N553" s="134">
        <v>0.459399825414195</v>
      </c>
      <c r="O553" s="134">
        <v>0.459399825414195</v>
      </c>
      <c r="P553" s="134">
        <v>0.459399825414195</v>
      </c>
      <c r="Q553" s="134">
        <v>0.459399825414195</v>
      </c>
      <c r="R553" s="134">
        <v>0.459399825414195</v>
      </c>
      <c r="S553" s="138">
        <v>2.7256596275587999</v>
      </c>
      <c r="T553" s="138">
        <v>2.6036636504083002</v>
      </c>
      <c r="U553" s="138">
        <f>[3]级配!F540/S553*E549</f>
        <v>2.20130200386532E-3</v>
      </c>
      <c r="V553" s="138">
        <f>[3]级配!F540/T553*E549</f>
        <v>2.3044451225714599E-3</v>
      </c>
      <c r="AA553" s="153"/>
      <c r="AE553" s="137"/>
      <c r="AF553" s="137"/>
    </row>
    <row r="554" spans="1:32" ht="14.4">
      <c r="A554" s="276"/>
      <c r="B554" s="276"/>
      <c r="C554" s="159" t="s">
        <v>64</v>
      </c>
      <c r="D554" s="134" t="s">
        <v>71</v>
      </c>
      <c r="E554" s="276"/>
      <c r="F554" s="129">
        <v>0</v>
      </c>
      <c r="G554" s="134">
        <v>100</v>
      </c>
      <c r="H554" s="134">
        <v>100</v>
      </c>
      <c r="I554" s="134">
        <v>100</v>
      </c>
      <c r="J554" s="134">
        <v>100</v>
      </c>
      <c r="K554" s="134">
        <v>100</v>
      </c>
      <c r="L554" s="134">
        <v>99.401030689494704</v>
      </c>
      <c r="M554" s="134">
        <v>79.221482148035406</v>
      </c>
      <c r="N554" s="134">
        <v>55.043577348548098</v>
      </c>
      <c r="O554" s="134">
        <v>43.703289875565901</v>
      </c>
      <c r="P554" s="134">
        <v>22.869784644390698</v>
      </c>
      <c r="Q554" s="134">
        <v>7.9757733658992498</v>
      </c>
      <c r="R554" s="134">
        <v>5.6150280567173096</v>
      </c>
      <c r="S554" s="138">
        <v>2.76</v>
      </c>
      <c r="T554" s="138">
        <v>2.7</v>
      </c>
      <c r="U554" s="138">
        <f>[3]级配!F541/S554*E549</f>
        <v>0</v>
      </c>
      <c r="V554" s="138">
        <f>[3]级配!F541/T554*E549</f>
        <v>0</v>
      </c>
      <c r="AA554" s="153"/>
      <c r="AE554" s="137"/>
      <c r="AF554" s="137"/>
    </row>
    <row r="555" spans="1:32" ht="14.4">
      <c r="A555" s="276"/>
      <c r="B555" s="276"/>
      <c r="C555" s="164" t="s">
        <v>99</v>
      </c>
      <c r="D555" s="157" t="s">
        <v>91</v>
      </c>
      <c r="E555" s="276"/>
      <c r="F555" s="129">
        <v>0</v>
      </c>
      <c r="G555" s="149">
        <v>100</v>
      </c>
      <c r="H555" s="149">
        <v>100</v>
      </c>
      <c r="I555" s="149">
        <v>100</v>
      </c>
      <c r="J555" s="149">
        <v>100</v>
      </c>
      <c r="K555" s="149">
        <v>100</v>
      </c>
      <c r="L555" s="149">
        <v>100</v>
      </c>
      <c r="M555" s="149">
        <v>100</v>
      </c>
      <c r="N555" s="149">
        <v>100</v>
      </c>
      <c r="O555" s="149">
        <v>100</v>
      </c>
      <c r="P555" s="149">
        <v>99.6875</v>
      </c>
      <c r="Q555" s="149">
        <v>97.112499999999997</v>
      </c>
      <c r="R555" s="149">
        <v>76.612499999999997</v>
      </c>
      <c r="S555" s="138">
        <v>2.8519999999999999</v>
      </c>
      <c r="T555" s="138">
        <v>2.7229999999999999</v>
      </c>
      <c r="U555" s="138">
        <f>[3]级配!F542/S555*E549</f>
        <v>0</v>
      </c>
      <c r="V555" s="138">
        <f>[3]级配!F542/T555*E549</f>
        <v>0</v>
      </c>
      <c r="AA555" s="153"/>
      <c r="AE555" s="137"/>
      <c r="AF555" s="137"/>
    </row>
    <row r="556" spans="1:32">
      <c r="A556" s="276"/>
      <c r="B556" s="276"/>
      <c r="C556" s="159" t="s">
        <v>74</v>
      </c>
      <c r="D556" s="157" t="s">
        <v>62</v>
      </c>
      <c r="E556" s="276">
        <v>0.7</v>
      </c>
      <c r="F556" s="129">
        <v>0.43</v>
      </c>
      <c r="G556" s="134">
        <v>100</v>
      </c>
      <c r="H556" s="134">
        <v>100</v>
      </c>
      <c r="I556" s="134">
        <v>99.077835990798405</v>
      </c>
      <c r="J556" s="134">
        <v>97.581984864379294</v>
      </c>
      <c r="K556" s="134">
        <v>83.078084537865493</v>
      </c>
      <c r="L556" s="134">
        <v>40.8310940823119</v>
      </c>
      <c r="M556" s="134">
        <v>28.898020024862898</v>
      </c>
      <c r="N556" s="134">
        <v>20.774242193563701</v>
      </c>
      <c r="O556" s="134">
        <v>16.773130661063</v>
      </c>
      <c r="P556" s="134">
        <v>12.950207692180699</v>
      </c>
      <c r="Q556" s="134">
        <v>9.7840617998030197</v>
      </c>
      <c r="R556" s="134">
        <v>8.4228059151357506</v>
      </c>
      <c r="S556" s="138">
        <v>2.7315589353612202</v>
      </c>
      <c r="T556" s="138">
        <v>2.6324661048002902</v>
      </c>
      <c r="U556" s="138">
        <f>[3]级配!F543/S556*E556</f>
        <v>0.256263919821826</v>
      </c>
      <c r="V556" s="138">
        <f>[3]级配!F543/T556*E556</f>
        <v>0.26591035634743898</v>
      </c>
      <c r="AA556" s="153"/>
      <c r="AE556" s="137">
        <v>4.9986948577394896</v>
      </c>
      <c r="AF556" s="137"/>
    </row>
    <row r="557" spans="1:32">
      <c r="A557" s="276"/>
      <c r="B557" s="276"/>
      <c r="C557" s="159" t="s">
        <v>76</v>
      </c>
      <c r="D557" s="134" t="s">
        <v>68</v>
      </c>
      <c r="E557" s="276"/>
      <c r="F557" s="129">
        <v>0.56999999999999995</v>
      </c>
      <c r="G557" s="134">
        <v>100</v>
      </c>
      <c r="H557" s="134">
        <v>100</v>
      </c>
      <c r="I557" s="134">
        <v>100</v>
      </c>
      <c r="J557" s="134">
        <v>100</v>
      </c>
      <c r="K557" s="134">
        <v>99.021066002588597</v>
      </c>
      <c r="L557" s="134">
        <v>76.491489062093805</v>
      </c>
      <c r="M557" s="134">
        <v>51.165351001864302</v>
      </c>
      <c r="N557" s="134">
        <v>32.830053723649897</v>
      </c>
      <c r="O557" s="134">
        <v>24.432386168893299</v>
      </c>
      <c r="P557" s="134">
        <v>17.979834140129899</v>
      </c>
      <c r="Q557" s="134">
        <v>13.847592513415</v>
      </c>
      <c r="R557" s="134">
        <v>12.086160812899299</v>
      </c>
      <c r="S557" s="138">
        <v>2.7229665974712201</v>
      </c>
      <c r="T557" s="138">
        <v>2.6258416742493198</v>
      </c>
      <c r="U557" s="138">
        <f>[3]级配!F544/S557*E556</f>
        <v>0</v>
      </c>
      <c r="V557" s="138">
        <f>[3]级配!F544/T557*E556</f>
        <v>0</v>
      </c>
      <c r="AA557" s="153"/>
      <c r="AE557" s="137">
        <v>4.4939905939731704</v>
      </c>
      <c r="AF557" s="137"/>
    </row>
    <row r="558" spans="1:32" ht="14.4">
      <c r="A558" s="276"/>
      <c r="B558" s="276"/>
      <c r="C558"/>
      <c r="F558" s="129" t="s">
        <v>240</v>
      </c>
      <c r="G558" s="170">
        <f>$E$29*($F$29*G549+$F$30*G550+$F$31*G551+$F$32*G552+$F$33*G553+$F$34*G554+$F$35*G555)+$E$36*($F$36*G556+$F$37*G557)</f>
        <v>99.827441402325107</v>
      </c>
      <c r="H558" s="170">
        <f>E549*(F549*H549+F550*H550+F551*H551+F552*H552+F553*H553+F554*H554+F555*H555)+E556*(F556*H556+F557*H557)</f>
        <v>87.712660985276401</v>
      </c>
      <c r="I558" s="170">
        <f>E549*(F549*I549+F550*I550+F551*I551+F552*I552+F553*I553+F554*I554+F555*I555)+E556*(F556*I556+F557*I557)</f>
        <v>76.096113916147701</v>
      </c>
      <c r="J558" s="170">
        <f>E549*(F549*J549+F550*J550+F551*J551+F552*J552+F553*J553+F554*J554+F555*J555)+E556*(F556*J556+F557*J557)</f>
        <v>73.221188254098607</v>
      </c>
      <c r="K558" s="170">
        <f>E549*(F549*K549+F550*K550+F551*K551+F552*K552+F553*K553+F554*K554+F555*K555)+E556*(F556*K556+F557*K557)</f>
        <v>64.728872056164704</v>
      </c>
      <c r="L558" s="170">
        <f>E549*(F549*L549+F550*L550+F551*L551+F552*L552+F553*L553+F554*L554+F555*L555)+E556*(F556*L556+F557*L557)</f>
        <v>42.847429395446198</v>
      </c>
      <c r="M558" s="170">
        <f>E549*(F549*M549+F550*M550+F551*M551+F552*M552+F553*M553+F554*M554+F555*M555)+E556*(F556*M556+F557*M557)</f>
        <v>29.1466280694112</v>
      </c>
      <c r="N558" s="170">
        <f>E549*(F549*N549+F550*N550+F551*N551+F552*N552+F553*N553+F554*N554+F555*N555)+E556*(F556*N556+F557*N557)</f>
        <v>19.385587328182599</v>
      </c>
      <c r="O558" s="170">
        <f>E549*(F549*O549+F550*O550+F551*O551+F552*O552+F553*O553+F554*O554+F555*O555)+E556*(F556*O556+F557*O557)</f>
        <v>14.830583402552</v>
      </c>
      <c r="P558" s="170">
        <f>E549*(F549*P549+F550*P550+F551*P551+F552*P552+F553*P553+F554*P554+F555*P555)+E556*(F556*P556+F557*P557)</f>
        <v>11.105315329441799</v>
      </c>
      <c r="Q558" s="170">
        <f>E549*(F549*Q549+F550*Q550+F551*Q551+F552*Q552+F553*Q553+F554*Q554+F555*Q555)+E556*(F556*Q556+F557*Q557)</f>
        <v>8.5035410067769206</v>
      </c>
      <c r="R558" s="170">
        <f>E549*(F549*R549+F550*R550+F551*R551+F552*R552+F553*R553+F554*R554+F555*R555)+E556*(F556*R556+F557*R557)</f>
        <v>7.3909917369863098</v>
      </c>
      <c r="S558" s="138"/>
      <c r="T558" s="138"/>
      <c r="AA558" s="153"/>
      <c r="AE558" s="137"/>
      <c r="AF558" s="137"/>
    </row>
    <row r="559" spans="1:32" ht="14.4">
      <c r="A559" s="276"/>
      <c r="B559" s="276"/>
      <c r="C559"/>
      <c r="F559" s="129" t="s">
        <v>241</v>
      </c>
      <c r="G559" s="134">
        <v>100</v>
      </c>
      <c r="H559" s="134">
        <v>90</v>
      </c>
      <c r="I559" s="134">
        <v>83</v>
      </c>
      <c r="J559" s="134">
        <v>76</v>
      </c>
      <c r="K559" s="134">
        <v>65</v>
      </c>
      <c r="L559" s="134">
        <v>52</v>
      </c>
      <c r="M559" s="134">
        <v>44</v>
      </c>
      <c r="N559" s="134">
        <v>33</v>
      </c>
      <c r="O559" s="134">
        <v>24</v>
      </c>
      <c r="P559" s="134">
        <v>17</v>
      </c>
      <c r="Q559" s="134">
        <v>13</v>
      </c>
      <c r="R559" s="134">
        <v>7</v>
      </c>
      <c r="S559" s="138"/>
      <c r="T559" s="138"/>
      <c r="AA559" s="153"/>
      <c r="AE559" s="137"/>
      <c r="AF559" s="137"/>
    </row>
    <row r="560" spans="1:32" ht="14.4">
      <c r="A560" s="276"/>
      <c r="B560" s="276"/>
      <c r="C560"/>
      <c r="F560" s="129" t="s">
        <v>242</v>
      </c>
      <c r="G560" s="134">
        <f t="shared" ref="G560:R560" si="91">(G559+G561)/2</f>
        <v>95</v>
      </c>
      <c r="H560" s="134">
        <f t="shared" si="91"/>
        <v>82.5</v>
      </c>
      <c r="I560" s="134">
        <f t="shared" si="91"/>
        <v>74</v>
      </c>
      <c r="J560" s="134">
        <f t="shared" si="91"/>
        <v>66.5</v>
      </c>
      <c r="K560" s="134">
        <f t="shared" si="91"/>
        <v>55</v>
      </c>
      <c r="L560" s="134">
        <f t="shared" si="91"/>
        <v>38</v>
      </c>
      <c r="M560" s="134">
        <f t="shared" si="91"/>
        <v>30</v>
      </c>
      <c r="N560" s="134">
        <f t="shared" si="91"/>
        <v>22.5</v>
      </c>
      <c r="O560" s="134">
        <f t="shared" si="91"/>
        <v>16</v>
      </c>
      <c r="P560" s="134">
        <f t="shared" si="91"/>
        <v>11</v>
      </c>
      <c r="Q560" s="134">
        <f t="shared" si="91"/>
        <v>8.5</v>
      </c>
      <c r="R560" s="134">
        <f t="shared" si="91"/>
        <v>5</v>
      </c>
      <c r="S560" s="138"/>
      <c r="T560" s="138"/>
      <c r="AA560" s="153"/>
      <c r="AE560" s="137"/>
      <c r="AF560" s="137"/>
    </row>
    <row r="561" spans="1:32" ht="14.4">
      <c r="A561" s="276"/>
      <c r="B561" s="276"/>
      <c r="C561"/>
      <c r="F561" s="129" t="s">
        <v>243</v>
      </c>
      <c r="G561" s="134">
        <v>90</v>
      </c>
      <c r="H561" s="134">
        <v>75</v>
      </c>
      <c r="I561" s="134">
        <v>65</v>
      </c>
      <c r="J561" s="134">
        <v>57</v>
      </c>
      <c r="K561" s="134">
        <v>45</v>
      </c>
      <c r="L561" s="134">
        <v>24</v>
      </c>
      <c r="M561" s="134">
        <v>16</v>
      </c>
      <c r="N561" s="134">
        <v>12</v>
      </c>
      <c r="O561" s="134">
        <v>8</v>
      </c>
      <c r="P561" s="134">
        <v>5</v>
      </c>
      <c r="Q561" s="134">
        <v>4</v>
      </c>
      <c r="R561" s="134">
        <v>3</v>
      </c>
      <c r="S561" s="138"/>
      <c r="T561" s="138"/>
      <c r="AA561" s="153"/>
      <c r="AE561" s="137"/>
      <c r="AF561" s="137"/>
    </row>
    <row r="562" spans="1:32" s="227" customFormat="1" ht="13.8" customHeight="1">
      <c r="A562" s="279" t="s">
        <v>127</v>
      </c>
      <c r="B562" s="279" t="s">
        <v>255</v>
      </c>
      <c r="C562" s="225" t="s">
        <v>61</v>
      </c>
      <c r="D562" s="207" t="s">
        <v>128</v>
      </c>
      <c r="E562" s="279">
        <v>0.4</v>
      </c>
      <c r="F562" s="226">
        <v>0</v>
      </c>
      <c r="G562" s="211">
        <v>98.082682248056798</v>
      </c>
      <c r="H562" s="211">
        <v>9.2888274687689592</v>
      </c>
      <c r="I562" s="211">
        <v>0.101102701185845</v>
      </c>
      <c r="J562" s="211">
        <v>0.101102701185845</v>
      </c>
      <c r="K562" s="211">
        <v>0.101102701185845</v>
      </c>
      <c r="L562" s="211">
        <v>0.101102701185845</v>
      </c>
      <c r="M562" s="211">
        <v>0.101102701185845</v>
      </c>
      <c r="N562" s="211">
        <v>0.101102701185845</v>
      </c>
      <c r="O562" s="211">
        <v>0.101102701185845</v>
      </c>
      <c r="P562" s="211">
        <v>0.101102701185845</v>
      </c>
      <c r="Q562" s="211">
        <v>0.101102701185845</v>
      </c>
      <c r="R562" s="211">
        <v>0.101102701185845</v>
      </c>
      <c r="S562" s="212">
        <v>2.7095396792334898</v>
      </c>
      <c r="T562" s="212">
        <v>2.6755450431921002</v>
      </c>
      <c r="U562" s="212">
        <v>3.9859169004881401E-2</v>
      </c>
      <c r="V562" s="212">
        <v>4.0365607103047998E-2</v>
      </c>
      <c r="W562" s="212">
        <f>1/SUM(U562:U570)</f>
        <v>2.7266189969289298</v>
      </c>
      <c r="X562" s="213">
        <v>0.4</v>
      </c>
      <c r="Y562" s="212">
        <f>0.033*X562*X562-0.2936*X562+0.9336</f>
        <v>0.82143999999999995</v>
      </c>
      <c r="Z562" s="212">
        <f>0.033*Y562*Y562-0.2936*Y562+0.9336</f>
        <v>0.71469241722879995</v>
      </c>
      <c r="AA562" s="212">
        <v>2.516</v>
      </c>
      <c r="AB562" s="212">
        <f>1/SUM(V562:V570)</f>
        <v>2.6431537298723899</v>
      </c>
      <c r="AC562" s="215">
        <v>4.8</v>
      </c>
      <c r="AD562" s="212">
        <f>100*AC562/(100+AC562)</f>
        <v>4.5801526717557302</v>
      </c>
      <c r="AE562" s="216"/>
      <c r="AF562" s="217">
        <f>AC562-E569*F569*AE569-E569*F570*AE570</f>
        <v>1.9521943644862001</v>
      </c>
    </row>
    <row r="563" spans="1:32" s="227" customFormat="1" ht="13.8" customHeight="1">
      <c r="A563" s="279"/>
      <c r="B563" s="279"/>
      <c r="C563" s="225" t="s">
        <v>61</v>
      </c>
      <c r="D563" s="211" t="s">
        <v>86</v>
      </c>
      <c r="E563" s="279"/>
      <c r="F563" s="207">
        <v>0</v>
      </c>
      <c r="G563" s="211">
        <v>100</v>
      </c>
      <c r="H563" s="211">
        <v>77.953780439121701</v>
      </c>
      <c r="I563" s="211">
        <v>8.7413852295408994</v>
      </c>
      <c r="J563" s="211">
        <v>0.52540119760477899</v>
      </c>
      <c r="K563" s="211">
        <v>0.17979640718562701</v>
      </c>
      <c r="L563" s="211">
        <v>0.14781636726546299</v>
      </c>
      <c r="M563" s="211">
        <v>0.123848303393203</v>
      </c>
      <c r="N563" s="211">
        <v>0.123848303393203</v>
      </c>
      <c r="O563" s="211">
        <v>0.123848303393203</v>
      </c>
      <c r="P563" s="211">
        <v>0.123848303393203</v>
      </c>
      <c r="Q563" s="211">
        <v>0.123848303393203</v>
      </c>
      <c r="R563" s="211">
        <v>0.123848303393203</v>
      </c>
      <c r="S563" s="212">
        <v>2.71616871704745</v>
      </c>
      <c r="T563" s="212">
        <v>2.6778465346534701</v>
      </c>
      <c r="U563" s="212">
        <v>2.8716920090585601E-2</v>
      </c>
      <c r="V563" s="212">
        <v>2.9127882793363199E-2</v>
      </c>
      <c r="W563" s="212"/>
      <c r="X563" s="212"/>
      <c r="Y563" s="228"/>
      <c r="Z563" s="228"/>
      <c r="AA563" s="213"/>
      <c r="AB563" s="212"/>
      <c r="AC563" s="215"/>
      <c r="AD563" s="212"/>
      <c r="AE563" s="216"/>
      <c r="AF563" s="216"/>
    </row>
    <row r="564" spans="1:32" s="227" customFormat="1" ht="13.8" customHeight="1">
      <c r="A564" s="279"/>
      <c r="B564" s="279"/>
      <c r="C564" s="225" t="s">
        <v>61</v>
      </c>
      <c r="D564" s="211" t="s">
        <v>87</v>
      </c>
      <c r="E564" s="279"/>
      <c r="F564" s="207">
        <v>0.375</v>
      </c>
      <c r="G564" s="211">
        <v>100</v>
      </c>
      <c r="H564" s="211">
        <v>100</v>
      </c>
      <c r="I564" s="211">
        <v>99.068006491545901</v>
      </c>
      <c r="J564" s="211">
        <v>75.690028683574894</v>
      </c>
      <c r="K564" s="211">
        <v>3.45067934782608</v>
      </c>
      <c r="L564" s="211">
        <v>9.7731733091798306E-2</v>
      </c>
      <c r="M564" s="211">
        <v>9.3383907004849095E-2</v>
      </c>
      <c r="N564" s="211">
        <v>9.3383907004849095E-2</v>
      </c>
      <c r="O564" s="211">
        <v>9.3383907004849095E-2</v>
      </c>
      <c r="P564" s="211">
        <v>9.3383907004849095E-2</v>
      </c>
      <c r="Q564" s="211">
        <v>9.3383907004849095E-2</v>
      </c>
      <c r="R564" s="211">
        <v>9.3383907004849095E-2</v>
      </c>
      <c r="S564" s="212">
        <v>2.7342908438061002</v>
      </c>
      <c r="T564" s="212">
        <v>2.68133802816901</v>
      </c>
      <c r="U564" s="212">
        <v>1.9749179251477299E-2</v>
      </c>
      <c r="V564" s="212">
        <v>2.0139198949441901E-2</v>
      </c>
      <c r="W564" s="229"/>
      <c r="X564" s="213"/>
      <c r="Y564" s="229"/>
      <c r="Z564" s="229"/>
      <c r="AA564" s="213"/>
      <c r="AB564" s="213"/>
      <c r="AC564" s="225"/>
      <c r="AD564" s="213"/>
      <c r="AE564" s="216"/>
      <c r="AF564" s="216"/>
    </row>
    <row r="565" spans="1:32" s="227" customFormat="1" ht="14.4">
      <c r="A565" s="279"/>
      <c r="B565" s="279"/>
      <c r="C565" s="225" t="s">
        <v>61</v>
      </c>
      <c r="D565" s="211" t="s">
        <v>116</v>
      </c>
      <c r="E565" s="279"/>
      <c r="F565" s="207">
        <v>0.375</v>
      </c>
      <c r="G565" s="211">
        <v>100</v>
      </c>
      <c r="H565" s="211">
        <v>100</v>
      </c>
      <c r="I565" s="211">
        <v>100</v>
      </c>
      <c r="J565" s="211">
        <v>100</v>
      </c>
      <c r="K565" s="211">
        <v>89.344714396382699</v>
      </c>
      <c r="L565" s="211">
        <v>0.36038386137987299</v>
      </c>
      <c r="M565" s="211">
        <v>0.20380778473408201</v>
      </c>
      <c r="N565" s="211">
        <v>0.20380778473408201</v>
      </c>
      <c r="O565" s="211">
        <v>0.20380778473408201</v>
      </c>
      <c r="P565" s="211">
        <v>0.20380778473408201</v>
      </c>
      <c r="Q565" s="211">
        <v>0.20380778473408201</v>
      </c>
      <c r="R565" s="211">
        <v>0.20380778473408201</v>
      </c>
      <c r="S565" s="212">
        <v>2.7048568437343499</v>
      </c>
      <c r="T565" s="212">
        <v>2.63563381531092</v>
      </c>
      <c r="U565" s="212">
        <v>1.9964087979401898E-2</v>
      </c>
      <c r="V565" s="212">
        <v>2.0488430405735201E-2</v>
      </c>
      <c r="W565" s="229"/>
      <c r="X565" s="213"/>
      <c r="Y565" s="229"/>
      <c r="Z565" s="229"/>
      <c r="AA565" s="213"/>
      <c r="AB565" s="213"/>
      <c r="AC565" s="225"/>
      <c r="AD565" s="213"/>
      <c r="AE565" s="216"/>
      <c r="AF565" s="216"/>
    </row>
    <row r="566" spans="1:32" s="227" customFormat="1" ht="14.4">
      <c r="A566" s="279"/>
      <c r="B566" s="279"/>
      <c r="C566" s="225" t="s">
        <v>61</v>
      </c>
      <c r="D566" s="211" t="s">
        <v>117</v>
      </c>
      <c r="E566" s="279"/>
      <c r="F566" s="207">
        <v>0.125</v>
      </c>
      <c r="G566" s="211">
        <v>100</v>
      </c>
      <c r="H566" s="211">
        <v>100</v>
      </c>
      <c r="I566" s="211">
        <v>100</v>
      </c>
      <c r="J566" s="211">
        <v>100</v>
      </c>
      <c r="K566" s="211">
        <v>100</v>
      </c>
      <c r="L566" s="211">
        <v>52.4622352487768</v>
      </c>
      <c r="M566" s="211">
        <v>0.51434488035925396</v>
      </c>
      <c r="N566" s="211">
        <v>0.459399825414195</v>
      </c>
      <c r="O566" s="211">
        <v>0.459399825414195</v>
      </c>
      <c r="P566" s="211">
        <v>0.459399825414195</v>
      </c>
      <c r="Q566" s="211">
        <v>0.459399825414195</v>
      </c>
      <c r="R566" s="211">
        <v>0.459399825414195</v>
      </c>
      <c r="S566" s="212">
        <v>2.7256596275587999</v>
      </c>
      <c r="T566" s="212">
        <v>2.6036636504083002</v>
      </c>
      <c r="U566" s="212">
        <v>2.20130200386532E-3</v>
      </c>
      <c r="V566" s="212">
        <v>2.3044451225714599E-3</v>
      </c>
      <c r="W566" s="229"/>
      <c r="X566" s="213"/>
      <c r="Y566" s="229"/>
      <c r="Z566" s="229"/>
      <c r="AA566" s="213"/>
      <c r="AB566" s="213"/>
      <c r="AC566" s="225"/>
      <c r="AD566" s="213"/>
      <c r="AE566" s="216"/>
      <c r="AF566" s="216"/>
    </row>
    <row r="567" spans="1:32" s="227" customFormat="1" ht="14.4">
      <c r="A567" s="279"/>
      <c r="B567" s="279"/>
      <c r="C567" s="225" t="s">
        <v>64</v>
      </c>
      <c r="D567" s="211" t="s">
        <v>71</v>
      </c>
      <c r="E567" s="279"/>
      <c r="F567" s="207">
        <v>0.125</v>
      </c>
      <c r="G567" s="211">
        <v>100</v>
      </c>
      <c r="H567" s="211">
        <v>100</v>
      </c>
      <c r="I567" s="211">
        <v>100</v>
      </c>
      <c r="J567" s="211">
        <v>100</v>
      </c>
      <c r="K567" s="211">
        <v>100</v>
      </c>
      <c r="L567" s="211">
        <v>99.401030689494704</v>
      </c>
      <c r="M567" s="211">
        <v>79.221482148035406</v>
      </c>
      <c r="N567" s="211">
        <v>55.043577348548098</v>
      </c>
      <c r="O567" s="211">
        <v>43.703289875565901</v>
      </c>
      <c r="P567" s="211">
        <v>22.869784644390698</v>
      </c>
      <c r="Q567" s="211">
        <v>7.9757733658992498</v>
      </c>
      <c r="R567" s="211">
        <v>5.6150280567173096</v>
      </c>
      <c r="S567" s="212">
        <v>2.76</v>
      </c>
      <c r="T567" s="212">
        <v>2.7</v>
      </c>
      <c r="U567" s="212">
        <v>0</v>
      </c>
      <c r="V567" s="212">
        <v>0</v>
      </c>
      <c r="W567" s="229"/>
      <c r="X567" s="213"/>
      <c r="Y567" s="229"/>
      <c r="Z567" s="229"/>
      <c r="AA567" s="213"/>
      <c r="AB567" s="213"/>
      <c r="AC567" s="225"/>
      <c r="AD567" s="213"/>
      <c r="AE567" s="216"/>
      <c r="AF567" s="216"/>
    </row>
    <row r="568" spans="1:32" s="227" customFormat="1" ht="14.4">
      <c r="A568" s="279"/>
      <c r="B568" s="279"/>
      <c r="C568" s="208" t="s">
        <v>99</v>
      </c>
      <c r="D568" s="209" t="s">
        <v>91</v>
      </c>
      <c r="E568" s="279"/>
      <c r="F568" s="207">
        <v>0</v>
      </c>
      <c r="G568" s="210">
        <v>100</v>
      </c>
      <c r="H568" s="210">
        <v>100</v>
      </c>
      <c r="I568" s="210">
        <v>100</v>
      </c>
      <c r="J568" s="210">
        <v>100</v>
      </c>
      <c r="K568" s="210">
        <v>100</v>
      </c>
      <c r="L568" s="210">
        <v>100</v>
      </c>
      <c r="M568" s="210">
        <v>100</v>
      </c>
      <c r="N568" s="210">
        <v>100</v>
      </c>
      <c r="O568" s="210">
        <v>100</v>
      </c>
      <c r="P568" s="210">
        <v>99.6875</v>
      </c>
      <c r="Q568" s="210">
        <v>97.112499999999997</v>
      </c>
      <c r="R568" s="210">
        <v>76.612499999999997</v>
      </c>
      <c r="S568" s="212">
        <v>2.8519999999999999</v>
      </c>
      <c r="T568" s="212">
        <v>2.7229999999999999</v>
      </c>
      <c r="U568" s="212">
        <v>0</v>
      </c>
      <c r="V568" s="212">
        <v>0</v>
      </c>
      <c r="W568" s="229"/>
      <c r="X568" s="213"/>
      <c r="Y568" s="229"/>
      <c r="Z568" s="229"/>
      <c r="AA568" s="213"/>
      <c r="AB568" s="213"/>
      <c r="AC568" s="225"/>
      <c r="AD568" s="213"/>
      <c r="AE568" s="216"/>
      <c r="AF568" s="216"/>
    </row>
    <row r="569" spans="1:32" s="227" customFormat="1" ht="13.8" customHeight="1">
      <c r="A569" s="279"/>
      <c r="B569" s="279"/>
      <c r="C569" s="225" t="s">
        <v>74</v>
      </c>
      <c r="D569" s="209" t="s">
        <v>62</v>
      </c>
      <c r="E569" s="279">
        <v>0.6</v>
      </c>
      <c r="F569" s="207">
        <v>0.5</v>
      </c>
      <c r="G569" s="211">
        <v>100</v>
      </c>
      <c r="H569" s="211">
        <v>100</v>
      </c>
      <c r="I569" s="211">
        <v>99.077835990798405</v>
      </c>
      <c r="J569" s="211">
        <v>97.581984864379294</v>
      </c>
      <c r="K569" s="211">
        <v>83.078084537865493</v>
      </c>
      <c r="L569" s="211">
        <v>40.8310940823119</v>
      </c>
      <c r="M569" s="211">
        <v>28.898020024862898</v>
      </c>
      <c r="N569" s="211">
        <v>20.774242193563701</v>
      </c>
      <c r="O569" s="211">
        <v>16.773130661063</v>
      </c>
      <c r="P569" s="211">
        <v>12.950207692180699</v>
      </c>
      <c r="Q569" s="211">
        <v>9.7840617998030197</v>
      </c>
      <c r="R569" s="211">
        <v>8.4228059151357506</v>
      </c>
      <c r="S569" s="212">
        <v>2.7315589353612202</v>
      </c>
      <c r="T569" s="212">
        <v>2.6324661048002902</v>
      </c>
      <c r="U569" s="212">
        <v>0.256263919821826</v>
      </c>
      <c r="V569" s="212">
        <v>0.26591035634743898</v>
      </c>
      <c r="W569" s="229"/>
      <c r="X569" s="213"/>
      <c r="Y569" s="229"/>
      <c r="Z569" s="229"/>
      <c r="AA569" s="213"/>
      <c r="AB569" s="213"/>
      <c r="AC569" s="225"/>
      <c r="AD569" s="213"/>
      <c r="AE569" s="216">
        <v>4.9986948577394896</v>
      </c>
      <c r="AF569" s="216"/>
    </row>
    <row r="570" spans="1:32" s="227" customFormat="1" ht="13.8" customHeight="1">
      <c r="A570" s="279"/>
      <c r="B570" s="279"/>
      <c r="C570" s="225" t="s">
        <v>76</v>
      </c>
      <c r="D570" s="211" t="s">
        <v>68</v>
      </c>
      <c r="E570" s="279"/>
      <c r="F570" s="207">
        <v>0.5</v>
      </c>
      <c r="G570" s="211">
        <v>100</v>
      </c>
      <c r="H570" s="211">
        <v>100</v>
      </c>
      <c r="I570" s="211">
        <v>100</v>
      </c>
      <c r="J570" s="211">
        <v>100</v>
      </c>
      <c r="K570" s="211">
        <v>99.021066002588597</v>
      </c>
      <c r="L570" s="211">
        <v>76.491489062093805</v>
      </c>
      <c r="M570" s="211">
        <v>51.165351001864302</v>
      </c>
      <c r="N570" s="211">
        <v>32.830053723649897</v>
      </c>
      <c r="O570" s="211">
        <v>24.432386168893299</v>
      </c>
      <c r="P570" s="211">
        <v>17.979834140129899</v>
      </c>
      <c r="Q570" s="211">
        <v>13.847592513415</v>
      </c>
      <c r="R570" s="211">
        <v>12.086160812899299</v>
      </c>
      <c r="S570" s="212">
        <v>2.7229665974712201</v>
      </c>
      <c r="T570" s="212">
        <v>2.6258416742493198</v>
      </c>
      <c r="U570" s="212">
        <v>0</v>
      </c>
      <c r="V570" s="212">
        <v>0</v>
      </c>
      <c r="W570" s="229"/>
      <c r="X570" s="213"/>
      <c r="Y570" s="229"/>
      <c r="Z570" s="229"/>
      <c r="AA570" s="213"/>
      <c r="AB570" s="213"/>
      <c r="AC570" s="225"/>
      <c r="AD570" s="213"/>
      <c r="AE570" s="216">
        <v>4.4939905939731704</v>
      </c>
      <c r="AF570" s="216"/>
    </row>
    <row r="571" spans="1:32" s="227" customFormat="1" ht="14.4">
      <c r="A571" s="279"/>
      <c r="B571" s="279"/>
      <c r="D571" s="207"/>
      <c r="E571" s="207"/>
      <c r="F571" s="207" t="s">
        <v>240</v>
      </c>
      <c r="G571" s="224">
        <v>100</v>
      </c>
      <c r="H571" s="224">
        <f>E562*(F562*H562+F563*H563+F564*H564+F565*H565+F566*H566+F567*H567+F568*H568)+E569*(F569*H569+F570*H570)</f>
        <v>100</v>
      </c>
      <c r="I571" s="224">
        <f>E562*(F562*I562+F563*I563+F564*I564+F565*I565+F566*I566+F567*I567+F568*I568)+E569*(F569*I569+F570*I570)</f>
        <v>99.583551770971397</v>
      </c>
      <c r="J571" s="224">
        <f>E562*(F562*J562+F563*J563+F564*J564+F565*J565+F566*J566+F567*J567+F568*J568)+E569*(F569*J569+F570*J570)</f>
        <v>95.628099761849995</v>
      </c>
      <c r="K571" s="224">
        <f>E562*(F562*K562+F563*K563+F564*K564+F565*K565+F566*K566+F567*K567+F568*K568)+E569*(F569*K569+F570*K570)</f>
        <v>78.549054223767499</v>
      </c>
      <c r="L571" s="224">
        <f>E562*(F562*L562+F563*L563+F564*L564+F565*L565+F566*L566+F567*L567+F568*L568)+E569*(F569*L569+F570*L570)</f>
        <v>42.858655579405998</v>
      </c>
      <c r="M571" s="224">
        <f>E562*(F562*M562+F563*M563+F564*M564+F565*M565+F566*M566+F567*M567+F568*M568)+E569*(F569*M569+F570*M570)</f>
        <v>28.0503814131987</v>
      </c>
      <c r="N571" s="224">
        <f>E562*(F562*N562+F563*N563+F564*N564+F565*N565+F566*N566+F567*N567+F568*N568)+E569*(F569*N569+F570*N570)</f>
        <v>18.901016387622999</v>
      </c>
      <c r="O571" s="224">
        <f>E562*(F562*O562+F563*O563+F564*O564+F565*O565+F566*O566+F567*O567+F568*O568)+E569*(F569*O569+F570*O570)</f>
        <v>14.614368287796699</v>
      </c>
      <c r="P571" s="224">
        <f>E562*(F562*P562+F563*P563+F564*P564+F565*P565+F566*P566+F567*P567+F568*P568)+E569*(F569*P569+F570*P570)</f>
        <v>10.4900505269443</v>
      </c>
      <c r="Q571" s="224">
        <f>E562*(F562*Q562+F563*Q563+F564*Q564+F565*Q565+F566*Q566+F567*Q567+F568*Q568)+E569*(F569*Q569+F570*Q570)</f>
        <v>7.5558337072919199</v>
      </c>
      <c r="R571" s="224">
        <f>E562*(F562*R562+F563*R563+F564*R564+F565*R565+F566*R566+F567*R567+F568*R568)+E569*(F569*R569+F570*R570)</f>
        <v>6.5009901662779299</v>
      </c>
      <c r="S571" s="212"/>
      <c r="T571" s="212"/>
      <c r="U571" s="228"/>
      <c r="V571" s="228"/>
      <c r="W571" s="229"/>
      <c r="X571" s="213"/>
      <c r="Y571" s="229"/>
      <c r="Z571" s="229"/>
      <c r="AA571" s="213"/>
      <c r="AB571" s="213"/>
      <c r="AC571" s="225"/>
      <c r="AD571" s="213"/>
      <c r="AE571" s="216"/>
      <c r="AF571" s="216"/>
    </row>
    <row r="572" spans="1:32" s="227" customFormat="1" ht="14.4">
      <c r="A572" s="279"/>
      <c r="B572" s="279"/>
      <c r="D572" s="207"/>
      <c r="E572" s="207"/>
      <c r="F572" s="207" t="s">
        <v>241</v>
      </c>
      <c r="G572" s="210">
        <v>100</v>
      </c>
      <c r="H572" s="210">
        <v>100</v>
      </c>
      <c r="I572" s="207">
        <v>100</v>
      </c>
      <c r="J572" s="207">
        <v>100</v>
      </c>
      <c r="K572" s="207">
        <v>85</v>
      </c>
      <c r="L572" s="207">
        <v>68</v>
      </c>
      <c r="M572" s="207">
        <v>50</v>
      </c>
      <c r="N572" s="207">
        <v>38</v>
      </c>
      <c r="O572" s="207">
        <v>28</v>
      </c>
      <c r="P572" s="207">
        <v>20</v>
      </c>
      <c r="Q572" s="207">
        <v>15</v>
      </c>
      <c r="R572" s="207">
        <v>8</v>
      </c>
      <c r="S572" s="212"/>
      <c r="T572" s="212"/>
      <c r="U572" s="228"/>
      <c r="V572" s="228"/>
      <c r="W572" s="229"/>
      <c r="X572" s="213"/>
      <c r="Y572" s="229"/>
      <c r="Z572" s="229"/>
      <c r="AA572" s="213"/>
      <c r="AB572" s="213"/>
      <c r="AC572" s="225"/>
      <c r="AD572" s="213"/>
      <c r="AE572" s="216"/>
      <c r="AF572" s="216"/>
    </row>
    <row r="573" spans="1:32" s="227" customFormat="1" ht="14.4">
      <c r="A573" s="279"/>
      <c r="B573" s="279"/>
      <c r="D573" s="207"/>
      <c r="E573" s="207"/>
      <c r="F573" s="207" t="s">
        <v>242</v>
      </c>
      <c r="G573" s="210">
        <f t="shared" ref="G573" si="92">(G572+G574)/2</f>
        <v>100</v>
      </c>
      <c r="H573" s="210">
        <v>100</v>
      </c>
      <c r="I573" s="207">
        <v>100</v>
      </c>
      <c r="J573" s="207">
        <f t="shared" ref="J573:R573" si="93">(J572+J574)/2</f>
        <v>95</v>
      </c>
      <c r="K573" s="207">
        <f t="shared" si="93"/>
        <v>76.5</v>
      </c>
      <c r="L573" s="207">
        <f t="shared" si="93"/>
        <v>53</v>
      </c>
      <c r="M573" s="207">
        <f t="shared" si="93"/>
        <v>37</v>
      </c>
      <c r="N573" s="207">
        <f t="shared" si="93"/>
        <v>26.5</v>
      </c>
      <c r="O573" s="207">
        <f t="shared" si="93"/>
        <v>19</v>
      </c>
      <c r="P573" s="207">
        <f t="shared" si="93"/>
        <v>13.5</v>
      </c>
      <c r="Q573" s="207">
        <f t="shared" si="93"/>
        <v>10</v>
      </c>
      <c r="R573" s="207">
        <f t="shared" si="93"/>
        <v>6</v>
      </c>
      <c r="S573" s="212"/>
      <c r="T573" s="212"/>
      <c r="U573" s="228"/>
      <c r="V573" s="228"/>
      <c r="W573" s="229"/>
      <c r="X573" s="213"/>
      <c r="Y573" s="229"/>
      <c r="Z573" s="229"/>
      <c r="AA573" s="213"/>
      <c r="AB573" s="213"/>
      <c r="AC573" s="225"/>
      <c r="AD573" s="213"/>
      <c r="AE573" s="216"/>
      <c r="AF573" s="216"/>
    </row>
    <row r="574" spans="1:32" s="227" customFormat="1" ht="14.4">
      <c r="A574" s="279"/>
      <c r="B574" s="279"/>
      <c r="D574" s="207"/>
      <c r="E574" s="207"/>
      <c r="F574" s="207" t="s">
        <v>243</v>
      </c>
      <c r="G574" s="210">
        <v>100</v>
      </c>
      <c r="H574" s="210">
        <v>100</v>
      </c>
      <c r="I574" s="207">
        <v>100</v>
      </c>
      <c r="J574" s="207">
        <v>90</v>
      </c>
      <c r="K574" s="207">
        <v>68</v>
      </c>
      <c r="L574" s="207">
        <v>38</v>
      </c>
      <c r="M574" s="207">
        <v>24</v>
      </c>
      <c r="N574" s="207">
        <v>15</v>
      </c>
      <c r="O574" s="207">
        <v>10</v>
      </c>
      <c r="P574" s="207">
        <v>7</v>
      </c>
      <c r="Q574" s="207">
        <v>5</v>
      </c>
      <c r="R574" s="207">
        <v>4</v>
      </c>
      <c r="S574" s="212"/>
      <c r="T574" s="212"/>
      <c r="U574" s="228"/>
      <c r="V574" s="228"/>
      <c r="W574" s="229"/>
      <c r="X574" s="213"/>
      <c r="Y574" s="229"/>
      <c r="Z574" s="229"/>
      <c r="AA574" s="213"/>
      <c r="AB574" s="213"/>
      <c r="AC574" s="225"/>
      <c r="AD574" s="213"/>
      <c r="AE574" s="216"/>
      <c r="AF574" s="216"/>
    </row>
    <row r="575" spans="1:32">
      <c r="A575" s="276" t="s">
        <v>129</v>
      </c>
      <c r="B575" s="276" t="s">
        <v>254</v>
      </c>
      <c r="C575" s="159" t="s">
        <v>81</v>
      </c>
      <c r="D575" s="157" t="s">
        <v>130</v>
      </c>
      <c r="E575" s="276">
        <v>0.5</v>
      </c>
      <c r="F575" s="136">
        <v>0.28000000000000003</v>
      </c>
      <c r="G575" s="149">
        <v>100</v>
      </c>
      <c r="H575" s="149">
        <v>100</v>
      </c>
      <c r="I575" s="149">
        <v>100</v>
      </c>
      <c r="J575" s="149">
        <v>90.5</v>
      </c>
      <c r="K575" s="149">
        <v>32.1</v>
      </c>
      <c r="L575" s="149">
        <v>4.3</v>
      </c>
      <c r="M575" s="149">
        <v>0.3</v>
      </c>
      <c r="N575" s="149">
        <v>2.33333333333334E-2</v>
      </c>
      <c r="O575" s="149">
        <v>2.33333333333334E-2</v>
      </c>
      <c r="P575" s="149">
        <v>2.33333333333334E-2</v>
      </c>
      <c r="Q575" s="149">
        <v>2.33333333333334E-2</v>
      </c>
      <c r="R575" s="149">
        <v>2.33333333333334E-2</v>
      </c>
      <c r="S575" s="138">
        <v>2.7095396792334898</v>
      </c>
      <c r="T575" s="138">
        <v>2.6755450431921002</v>
      </c>
      <c r="U575" s="138">
        <v>5.3145558673175199E-2</v>
      </c>
      <c r="V575" s="138">
        <v>5.3820809470730702E-2</v>
      </c>
      <c r="W575" s="138">
        <f>1/SUM(U575:U583)</f>
        <v>2.7249763189364198</v>
      </c>
      <c r="X575" s="153">
        <v>0.4</v>
      </c>
      <c r="Y575" s="138">
        <f>0.033*X575*X575-0.2936*X575+0.9336</f>
        <v>0.82143999999999995</v>
      </c>
      <c r="Z575" s="138">
        <f>0.033*Y575*Y575-0.2936*Y575+0.9336</f>
        <v>0.71469241722879995</v>
      </c>
      <c r="AA575" s="138">
        <v>2.5720000000000001</v>
      </c>
      <c r="AB575" s="138">
        <f>1/SUM(V575:V583)</f>
        <v>2.6467355825845802</v>
      </c>
      <c r="AC575" s="160">
        <v>4.5999999999999996</v>
      </c>
      <c r="AD575" s="138">
        <f>100*AC575/(100+AC575)</f>
        <v>4.3977055449330802</v>
      </c>
      <c r="AE575" s="137"/>
      <c r="AF575" s="154">
        <f>AC575-E582*F582*AE582-E582*F583*AE583</f>
        <v>2.0434641295355198</v>
      </c>
    </row>
    <row r="576" spans="1:32">
      <c r="A576" s="276"/>
      <c r="B576" s="276"/>
      <c r="C576" s="159" t="s">
        <v>81</v>
      </c>
      <c r="D576" s="157" t="s">
        <v>131</v>
      </c>
      <c r="E576" s="276"/>
      <c r="F576" s="129">
        <v>0.2</v>
      </c>
      <c r="G576" s="149">
        <v>100</v>
      </c>
      <c r="H576" s="149">
        <v>100</v>
      </c>
      <c r="I576" s="149">
        <v>100</v>
      </c>
      <c r="J576" s="149">
        <v>100</v>
      </c>
      <c r="K576" s="149">
        <v>80.5</v>
      </c>
      <c r="L576" s="149">
        <v>0.5</v>
      </c>
      <c r="M576" s="149">
        <v>0</v>
      </c>
      <c r="N576" s="149">
        <v>0</v>
      </c>
      <c r="O576" s="149">
        <v>0</v>
      </c>
      <c r="P576" s="149">
        <v>0</v>
      </c>
      <c r="Q576" s="149">
        <v>0</v>
      </c>
      <c r="R576" s="149">
        <v>0</v>
      </c>
      <c r="S576" s="138">
        <v>2.71616871704745</v>
      </c>
      <c r="T576" s="138">
        <v>2.6778465346534701</v>
      </c>
      <c r="U576" s="138">
        <v>3.8289226787447402E-2</v>
      </c>
      <c r="V576" s="138">
        <v>3.8837177057817598E-2</v>
      </c>
      <c r="W576" s="138"/>
      <c r="X576" s="138"/>
      <c r="Y576" s="151"/>
      <c r="Z576" s="151"/>
      <c r="AA576" s="153"/>
      <c r="AB576" s="138"/>
      <c r="AC576" s="160"/>
      <c r="AD576" s="138"/>
      <c r="AE576" s="137"/>
      <c r="AF576" s="137"/>
    </row>
    <row r="577" spans="1:32">
      <c r="A577" s="276"/>
      <c r="B577" s="276"/>
      <c r="C577" s="159" t="s">
        <v>81</v>
      </c>
      <c r="D577" s="157" t="s">
        <v>132</v>
      </c>
      <c r="E577" s="276"/>
      <c r="F577" s="129">
        <v>0.2</v>
      </c>
      <c r="G577" s="149">
        <v>100</v>
      </c>
      <c r="H577" s="149">
        <v>100</v>
      </c>
      <c r="I577" s="149">
        <v>100</v>
      </c>
      <c r="J577" s="149">
        <v>100</v>
      </c>
      <c r="K577" s="149">
        <v>99.1</v>
      </c>
      <c r="L577" s="149">
        <v>55.9</v>
      </c>
      <c r="M577" s="149">
        <v>2</v>
      </c>
      <c r="N577" s="149">
        <v>0.3</v>
      </c>
      <c r="O577" s="149">
        <v>0</v>
      </c>
      <c r="P577" s="149">
        <v>0</v>
      </c>
      <c r="Q577" s="149">
        <v>0</v>
      </c>
      <c r="R577" s="149">
        <v>0</v>
      </c>
      <c r="S577" s="138">
        <v>2.7342908438061002</v>
      </c>
      <c r="T577" s="138">
        <v>2.68133802816901</v>
      </c>
      <c r="U577" s="138">
        <v>2.63322390019698E-2</v>
      </c>
      <c r="V577" s="138">
        <v>2.6852265265922499E-2</v>
      </c>
      <c r="AA577" s="153"/>
      <c r="AE577" s="137"/>
      <c r="AF577" s="137"/>
    </row>
    <row r="578" spans="1:32" ht="14.4">
      <c r="A578" s="276"/>
      <c r="B578" s="276"/>
      <c r="C578" s="164" t="s">
        <v>82</v>
      </c>
      <c r="D578" s="157" t="s">
        <v>133</v>
      </c>
      <c r="E578" s="276"/>
      <c r="F578" s="129">
        <v>0.3</v>
      </c>
      <c r="G578" s="149">
        <v>100</v>
      </c>
      <c r="H578" s="149">
        <v>100</v>
      </c>
      <c r="I578" s="149">
        <v>100</v>
      </c>
      <c r="J578" s="149">
        <v>100</v>
      </c>
      <c r="K578" s="149">
        <v>100</v>
      </c>
      <c r="L578" s="149">
        <v>100</v>
      </c>
      <c r="M578" s="149">
        <v>62.6</v>
      </c>
      <c r="N578" s="149">
        <v>28.1</v>
      </c>
      <c r="O578" s="149">
        <v>12.9</v>
      </c>
      <c r="P578" s="149">
        <v>6.4</v>
      </c>
      <c r="Q578" s="149">
        <v>3.3</v>
      </c>
      <c r="R578" s="149">
        <v>2.6</v>
      </c>
      <c r="S578" s="138">
        <v>2.7048568437343499</v>
      </c>
      <c r="T578" s="138">
        <v>2.63563381531092</v>
      </c>
      <c r="U578" s="138">
        <v>2.6618783972535899E-2</v>
      </c>
      <c r="V578" s="138">
        <v>2.7317907207646899E-2</v>
      </c>
      <c r="AA578" s="153"/>
      <c r="AE578" s="137"/>
      <c r="AF578" s="137"/>
    </row>
    <row r="579" spans="1:32" ht="14.4">
      <c r="A579" s="276"/>
      <c r="B579" s="276"/>
      <c r="C579" s="164" t="s">
        <v>99</v>
      </c>
      <c r="D579" s="157" t="s">
        <v>73</v>
      </c>
      <c r="E579" s="276"/>
      <c r="F579" s="129">
        <v>0.02</v>
      </c>
      <c r="G579" s="149">
        <v>100</v>
      </c>
      <c r="H579" s="149">
        <v>100</v>
      </c>
      <c r="I579" s="149">
        <v>100</v>
      </c>
      <c r="J579" s="149">
        <v>100</v>
      </c>
      <c r="K579" s="149">
        <v>100</v>
      </c>
      <c r="L579" s="149">
        <v>100</v>
      </c>
      <c r="M579" s="149">
        <v>100</v>
      </c>
      <c r="N579" s="149">
        <v>100</v>
      </c>
      <c r="O579" s="149">
        <v>100</v>
      </c>
      <c r="P579" s="149">
        <v>100</v>
      </c>
      <c r="Q579" s="149">
        <v>100</v>
      </c>
      <c r="R579" s="149">
        <v>85</v>
      </c>
      <c r="S579" s="138">
        <v>2.7256596275587999</v>
      </c>
      <c r="T579" s="138">
        <v>2.6036636504083002</v>
      </c>
      <c r="U579" s="138">
        <v>2.9350693384871001E-3</v>
      </c>
      <c r="V579" s="138">
        <v>3.0725934967619399E-3</v>
      </c>
      <c r="AA579" s="153"/>
      <c r="AE579" s="137"/>
      <c r="AF579" s="137"/>
    </row>
    <row r="580" spans="1:32" ht="14.4">
      <c r="A580" s="276"/>
      <c r="B580" s="276"/>
      <c r="C580" s="164" t="s">
        <v>99</v>
      </c>
      <c r="D580" s="157" t="s">
        <v>91</v>
      </c>
      <c r="E580" s="276"/>
      <c r="F580" s="129">
        <v>0</v>
      </c>
      <c r="G580" s="149">
        <v>100</v>
      </c>
      <c r="H580" s="149">
        <v>100</v>
      </c>
      <c r="I580" s="149">
        <v>100</v>
      </c>
      <c r="J580" s="149">
        <v>100</v>
      </c>
      <c r="K580" s="149">
        <v>99.333303744032804</v>
      </c>
      <c r="L580" s="149">
        <v>72.879852645283506</v>
      </c>
      <c r="M580" s="149">
        <v>44.955714680238302</v>
      </c>
      <c r="N580" s="149">
        <v>30.5080976052393</v>
      </c>
      <c r="O580" s="149">
        <v>23.538978971870399</v>
      </c>
      <c r="P580" s="149">
        <v>15.647931707894401</v>
      </c>
      <c r="Q580" s="149">
        <v>10.7683601609658</v>
      </c>
      <c r="R580" s="149">
        <v>6.9240196078431504</v>
      </c>
      <c r="S580" s="138">
        <v>2.76</v>
      </c>
      <c r="T580" s="138">
        <v>2.7</v>
      </c>
      <c r="U580" s="138">
        <v>0</v>
      </c>
      <c r="V580" s="138">
        <v>0</v>
      </c>
      <c r="AA580" s="153"/>
      <c r="AE580" s="137"/>
      <c r="AF580" s="137"/>
    </row>
    <row r="581" spans="1:32" ht="14.4">
      <c r="A581" s="276"/>
      <c r="B581" s="276"/>
      <c r="C581" s="164" t="s">
        <v>99</v>
      </c>
      <c r="D581" s="157" t="s">
        <v>91</v>
      </c>
      <c r="E581" s="276"/>
      <c r="F581" s="129">
        <v>0</v>
      </c>
      <c r="G581" s="149">
        <v>100</v>
      </c>
      <c r="H581" s="149">
        <v>100</v>
      </c>
      <c r="I581" s="149">
        <v>100</v>
      </c>
      <c r="J581" s="149">
        <v>100</v>
      </c>
      <c r="K581" s="149">
        <v>100</v>
      </c>
      <c r="L581" s="149">
        <v>100</v>
      </c>
      <c r="M581" s="149">
        <v>100</v>
      </c>
      <c r="N581" s="149">
        <v>100</v>
      </c>
      <c r="O581" s="149">
        <v>100</v>
      </c>
      <c r="P581" s="149">
        <v>99.6875</v>
      </c>
      <c r="Q581" s="149">
        <v>97.112499999999997</v>
      </c>
      <c r="R581" s="149">
        <v>76.612499999999997</v>
      </c>
      <c r="S581" s="138">
        <v>2.8519999999999999</v>
      </c>
      <c r="T581" s="138">
        <v>2.7229999999999999</v>
      </c>
      <c r="U581" s="138">
        <v>0</v>
      </c>
      <c r="V581" s="138">
        <v>0</v>
      </c>
      <c r="AA581" s="153"/>
      <c r="AE581" s="137"/>
      <c r="AF581" s="137"/>
    </row>
    <row r="582" spans="1:32">
      <c r="A582" s="276"/>
      <c r="B582" s="276"/>
      <c r="C582" s="159" t="s">
        <v>74</v>
      </c>
      <c r="D582" s="157" t="s">
        <v>111</v>
      </c>
      <c r="E582" s="276">
        <v>0.5</v>
      </c>
      <c r="F582" s="129">
        <v>1</v>
      </c>
      <c r="G582" s="149">
        <v>100</v>
      </c>
      <c r="H582" s="149">
        <v>100</v>
      </c>
      <c r="I582" s="149">
        <v>100</v>
      </c>
      <c r="J582" s="149">
        <v>97.549232406212496</v>
      </c>
      <c r="K582" s="149">
        <v>91.257527106233198</v>
      </c>
      <c r="L582" s="149">
        <v>69.294213614497295</v>
      </c>
      <c r="M582" s="149">
        <v>49.670525672573497</v>
      </c>
      <c r="N582" s="149">
        <v>35.809807317090403</v>
      </c>
      <c r="O582" s="149">
        <v>27.7274233998731</v>
      </c>
      <c r="P582" s="149">
        <v>18.139166039489702</v>
      </c>
      <c r="Q582" s="149">
        <v>11.287906849086699</v>
      </c>
      <c r="R582" s="149">
        <v>5.8495603076823999</v>
      </c>
      <c r="S582" s="138">
        <v>2.7315589353612202</v>
      </c>
      <c r="T582" s="138">
        <v>2.6324661048002902</v>
      </c>
      <c r="U582" s="138">
        <v>0.219654788418708</v>
      </c>
      <c r="V582" s="138">
        <v>0.227923162583519</v>
      </c>
      <c r="AA582" s="153"/>
      <c r="AE582" s="137">
        <v>5.1130717409289597</v>
      </c>
      <c r="AF582" s="137"/>
    </row>
    <row r="583" spans="1:32">
      <c r="A583" s="276"/>
      <c r="B583" s="276"/>
      <c r="C583" s="159" t="s">
        <v>76</v>
      </c>
      <c r="D583" s="157" t="s">
        <v>97</v>
      </c>
      <c r="E583" s="276"/>
      <c r="F583" s="129">
        <v>0</v>
      </c>
      <c r="G583" s="149">
        <v>100</v>
      </c>
      <c r="H583" s="149">
        <v>100</v>
      </c>
      <c r="I583" s="149">
        <v>100</v>
      </c>
      <c r="J583" s="149">
        <v>100</v>
      </c>
      <c r="K583" s="149">
        <v>99.333303744032804</v>
      </c>
      <c r="L583" s="149">
        <v>72.879852645283506</v>
      </c>
      <c r="M583" s="149">
        <v>44.955714680238302</v>
      </c>
      <c r="N583" s="149">
        <v>30.5080976052393</v>
      </c>
      <c r="O583" s="149">
        <v>23.538978971870399</v>
      </c>
      <c r="P583" s="149">
        <v>15.647931707894401</v>
      </c>
      <c r="Q583" s="149">
        <v>10.7683601609658</v>
      </c>
      <c r="R583" s="149">
        <v>6.9240196078431504</v>
      </c>
      <c r="S583" s="138">
        <v>2.7229665974712201</v>
      </c>
      <c r="T583" s="138">
        <v>2.6258416742493198</v>
      </c>
      <c r="U583" s="138">
        <v>0</v>
      </c>
      <c r="V583" s="138">
        <v>0</v>
      </c>
      <c r="AA583" s="153"/>
      <c r="AE583" s="137"/>
      <c r="AF583" s="137"/>
    </row>
    <row r="584" spans="1:32" ht="14.4">
      <c r="A584" s="276"/>
      <c r="B584" s="276"/>
      <c r="C584"/>
      <c r="F584" s="129" t="s">
        <v>240</v>
      </c>
      <c r="G584" s="170">
        <f>$E$29*($F$29*G575+$F$30*G576+$F$31*G577+$F$32*G578+$F$33*G579+$F$34*G580+$F$35*G581)+$E$36*($F$36*G582+$F$37*G583)</f>
        <v>100</v>
      </c>
      <c r="H584" s="170">
        <f>E575*(F575*H575+F576*H576+F577*H577+F578*H578+F579*H579+F580*H580+F581*H581)+E582*(F582*H582+F583*H583)</f>
        <v>100</v>
      </c>
      <c r="I584" s="170">
        <f>E575*(F575*I575+F576*I576+F577*I577+F578*I578+F579*I579+F580*I580+F581*I581)+E582*(F582*I582+F583*I583)</f>
        <v>100</v>
      </c>
      <c r="J584" s="170">
        <f>E575*(F575*J575+F576*J576+F577*J577+F578*J578+F579*J579+F580*J580+F581*J581)+E582*(F582*J582+F583*J583)</f>
        <v>97.444616203106193</v>
      </c>
      <c r="K584" s="170">
        <f>E575*(F575*K575+F576*K576+F577*K577+F578*K578+F579*K579+F580*K580+F581*K581)+E582*(F582*K582+F583*K583)</f>
        <v>84.082763553116607</v>
      </c>
      <c r="L584" s="170">
        <f>E575*(F575*L575+F576*L576+F577*L577+F578*L578+F579*L579+F580*L580+F581*L581)+E582*(F582*L582+F583*L583)</f>
        <v>56.889106807248702</v>
      </c>
      <c r="M584" s="170">
        <f>E575*(F575*M575+F576*M576+F577*M577+F578*M578+F579*M579+F580*M580+F581*M581)+E582*(F582*M582+F583*M583)</f>
        <v>35.4672628362868</v>
      </c>
      <c r="N584" s="170">
        <f>E575*(F575*N575+F576*N576+F577*N577+F578*N578+F579*N579+F580*N580+F581*N581)+E582*(F582*N582+F583*N583)</f>
        <v>23.153170325211899</v>
      </c>
      <c r="O584" s="170">
        <f>E575*(F575*O575+F576*O576+F577*O577+F578*O578+F579*O579+F580*O580+F581*O581)+E582*(F582*O582+F583*O583)</f>
        <v>16.801978366603201</v>
      </c>
      <c r="P584" s="170">
        <f>E575*(F575*P575+F576*P576+F577*P577+F578*P578+F579*P579+F580*P580+F581*P581)+E582*(F582*P582+F583*P583)</f>
        <v>11.032849686411501</v>
      </c>
      <c r="Q584" s="170">
        <f>E575*(F575*Q575+F576*Q576+F577*Q577+F578*Q578+F579*Q579+F580*Q580+F581*Q581)+E582*(F582*Q582+F583*Q583)</f>
        <v>7.1422200912100102</v>
      </c>
      <c r="R584" s="170">
        <f>E575*(F575*R575+F576*R576+F577*R577+F578*R578+F579*R579+F580*R580+F581*R581)+E582*(F582*R582+F583*R583)</f>
        <v>4.1680468205078602</v>
      </c>
      <c r="S584" s="138"/>
      <c r="T584" s="138"/>
      <c r="AA584" s="153"/>
      <c r="AE584" s="137"/>
      <c r="AF584" s="137"/>
    </row>
    <row r="585" spans="1:32" ht="14.4">
      <c r="A585" s="276"/>
      <c r="B585" s="276"/>
      <c r="C585"/>
      <c r="F585" s="129" t="s">
        <v>241</v>
      </c>
      <c r="G585" s="149">
        <v>100</v>
      </c>
      <c r="H585" s="149">
        <v>100</v>
      </c>
      <c r="I585" s="129">
        <v>100</v>
      </c>
      <c r="J585" s="129">
        <v>100</v>
      </c>
      <c r="K585" s="129">
        <v>85</v>
      </c>
      <c r="L585" s="129">
        <v>68</v>
      </c>
      <c r="M585" s="129">
        <v>50</v>
      </c>
      <c r="N585" s="129">
        <v>38</v>
      </c>
      <c r="O585" s="129">
        <v>28</v>
      </c>
      <c r="P585" s="129">
        <v>20</v>
      </c>
      <c r="Q585" s="129">
        <v>15</v>
      </c>
      <c r="R585" s="129">
        <v>8</v>
      </c>
      <c r="S585" s="138"/>
      <c r="T585" s="138"/>
      <c r="AA585" s="153"/>
      <c r="AE585" s="137"/>
      <c r="AF585" s="137"/>
    </row>
    <row r="586" spans="1:32" ht="14.4">
      <c r="A586" s="276"/>
      <c r="B586" s="276"/>
      <c r="C586"/>
      <c r="F586" s="129" t="s">
        <v>242</v>
      </c>
      <c r="G586" s="149">
        <f t="shared" ref="G586" si="94">(G585+G587)/2</f>
        <v>100</v>
      </c>
      <c r="H586" s="149">
        <v>100</v>
      </c>
      <c r="I586" s="129">
        <v>100</v>
      </c>
      <c r="J586" s="129">
        <f t="shared" ref="J586:R586" si="95">(J585+J587)/2</f>
        <v>95</v>
      </c>
      <c r="K586" s="129">
        <f t="shared" si="95"/>
        <v>76.5</v>
      </c>
      <c r="L586" s="129">
        <f t="shared" si="95"/>
        <v>53</v>
      </c>
      <c r="M586" s="129">
        <f t="shared" si="95"/>
        <v>37</v>
      </c>
      <c r="N586" s="129">
        <f t="shared" si="95"/>
        <v>26.5</v>
      </c>
      <c r="O586" s="129">
        <f t="shared" si="95"/>
        <v>19</v>
      </c>
      <c r="P586" s="129">
        <f t="shared" si="95"/>
        <v>13.5</v>
      </c>
      <c r="Q586" s="129">
        <f t="shared" si="95"/>
        <v>10</v>
      </c>
      <c r="R586" s="129">
        <f t="shared" si="95"/>
        <v>6</v>
      </c>
      <c r="S586" s="138"/>
      <c r="T586" s="138"/>
      <c r="AA586" s="153"/>
      <c r="AE586" s="137"/>
      <c r="AF586" s="137"/>
    </row>
    <row r="587" spans="1:32" ht="14.4">
      <c r="A587" s="276"/>
      <c r="B587" s="276"/>
      <c r="C587"/>
      <c r="F587" s="129" t="s">
        <v>243</v>
      </c>
      <c r="G587" s="149">
        <v>100</v>
      </c>
      <c r="H587" s="149">
        <v>100</v>
      </c>
      <c r="I587" s="129">
        <v>100</v>
      </c>
      <c r="J587" s="129">
        <v>90</v>
      </c>
      <c r="K587" s="129">
        <v>68</v>
      </c>
      <c r="L587" s="129">
        <v>38</v>
      </c>
      <c r="M587" s="129">
        <v>24</v>
      </c>
      <c r="N587" s="129">
        <v>15</v>
      </c>
      <c r="O587" s="129">
        <v>10</v>
      </c>
      <c r="P587" s="129">
        <v>7</v>
      </c>
      <c r="Q587" s="129">
        <v>5</v>
      </c>
      <c r="R587" s="129">
        <v>4</v>
      </c>
      <c r="S587" s="138"/>
      <c r="T587" s="138"/>
      <c r="AA587" s="153"/>
      <c r="AE587" s="137"/>
      <c r="AF587" s="137"/>
    </row>
    <row r="588" spans="1:32">
      <c r="A588" s="276" t="s">
        <v>129</v>
      </c>
      <c r="B588" s="276" t="s">
        <v>255</v>
      </c>
      <c r="C588" s="159" t="s">
        <v>81</v>
      </c>
      <c r="D588" s="157" t="s">
        <v>130</v>
      </c>
      <c r="E588" s="276">
        <v>0.4</v>
      </c>
      <c r="F588" s="136">
        <v>0.36</v>
      </c>
      <c r="G588" s="149">
        <v>100</v>
      </c>
      <c r="H588" s="149">
        <v>100</v>
      </c>
      <c r="I588" s="149">
        <v>100</v>
      </c>
      <c r="J588" s="149">
        <v>90.5</v>
      </c>
      <c r="K588" s="149">
        <v>32.1</v>
      </c>
      <c r="L588" s="149">
        <v>4.3</v>
      </c>
      <c r="M588" s="149">
        <v>0.3</v>
      </c>
      <c r="N588" s="149">
        <v>2.33333333333334E-2</v>
      </c>
      <c r="O588" s="149">
        <v>2.33333333333334E-2</v>
      </c>
      <c r="P588" s="149">
        <v>2.33333333333334E-2</v>
      </c>
      <c r="Q588" s="149">
        <v>2.33333333333334E-2</v>
      </c>
      <c r="R588" s="149">
        <v>2.33333333333334E-2</v>
      </c>
      <c r="S588" s="138">
        <v>2.7095396792334898</v>
      </c>
      <c r="T588" s="138">
        <v>2.6755450431921002</v>
      </c>
      <c r="U588" s="138">
        <f>F588/S588*E588</f>
        <v>5.3145558673175199E-2</v>
      </c>
      <c r="V588" s="138">
        <f>F588/T588*E588</f>
        <v>5.3820809470730702E-2</v>
      </c>
      <c r="W588" s="138">
        <f>1/SUM(U588:U596)</f>
        <v>2.7249763189364198</v>
      </c>
      <c r="X588" s="153">
        <v>0.4</v>
      </c>
      <c r="Y588" s="138">
        <f>0.033*X588*X588-0.2936*X588+0.9336</f>
        <v>0.82143999999999995</v>
      </c>
      <c r="Z588" s="138">
        <f>0.033*Y588*Y588-0.2936*Y588+0.9336</f>
        <v>0.71469241722879995</v>
      </c>
      <c r="AA588" s="138">
        <v>2.5609999999999999</v>
      </c>
      <c r="AB588" s="138">
        <v>2.65</v>
      </c>
      <c r="AC588" s="160">
        <v>4.8</v>
      </c>
      <c r="AD588" s="138">
        <f>100*AC588/(100+AC588)</f>
        <v>4.5801526717557302</v>
      </c>
      <c r="AE588" s="137"/>
      <c r="AF588" s="154">
        <f>AC588-E595*F595*AE595-E595*F596*AE596</f>
        <v>1.7321569554426199</v>
      </c>
    </row>
    <row r="589" spans="1:32">
      <c r="A589" s="276"/>
      <c r="B589" s="276"/>
      <c r="C589" s="159" t="s">
        <v>81</v>
      </c>
      <c r="D589" s="157" t="s">
        <v>131</v>
      </c>
      <c r="E589" s="276"/>
      <c r="F589" s="129">
        <v>0.26</v>
      </c>
      <c r="G589" s="149">
        <v>100</v>
      </c>
      <c r="H589" s="149">
        <v>100</v>
      </c>
      <c r="I589" s="149">
        <v>100</v>
      </c>
      <c r="J589" s="149">
        <v>100</v>
      </c>
      <c r="K589" s="149">
        <v>80.5</v>
      </c>
      <c r="L589" s="149">
        <v>0.5</v>
      </c>
      <c r="M589" s="149">
        <v>0</v>
      </c>
      <c r="N589" s="149">
        <v>0</v>
      </c>
      <c r="O589" s="149">
        <v>0</v>
      </c>
      <c r="P589" s="149">
        <v>0</v>
      </c>
      <c r="Q589" s="149">
        <v>0</v>
      </c>
      <c r="R589" s="149">
        <v>0</v>
      </c>
      <c r="S589" s="138">
        <v>2.71616871704745</v>
      </c>
      <c r="T589" s="138">
        <v>2.6778465346534701</v>
      </c>
      <c r="U589" s="138">
        <f>F589/S589*E588</f>
        <v>3.8289226787447402E-2</v>
      </c>
      <c r="V589" s="138">
        <f>F589/T589*E588</f>
        <v>3.8837177057817598E-2</v>
      </c>
      <c r="W589" s="138"/>
      <c r="X589" s="138"/>
      <c r="Y589" s="151"/>
      <c r="Z589" s="151"/>
      <c r="AA589" s="153"/>
      <c r="AB589" s="138"/>
      <c r="AC589" s="160"/>
      <c r="AD589" s="138"/>
      <c r="AE589" s="137"/>
      <c r="AF589" s="137"/>
    </row>
    <row r="590" spans="1:32">
      <c r="A590" s="276"/>
      <c r="B590" s="276"/>
      <c r="C590" s="159" t="s">
        <v>81</v>
      </c>
      <c r="D590" s="157" t="s">
        <v>132</v>
      </c>
      <c r="E590" s="276"/>
      <c r="F590" s="129">
        <v>0.18</v>
      </c>
      <c r="G590" s="149">
        <v>100</v>
      </c>
      <c r="H590" s="149">
        <v>100</v>
      </c>
      <c r="I590" s="149">
        <v>100</v>
      </c>
      <c r="J590" s="149">
        <v>100</v>
      </c>
      <c r="K590" s="149">
        <v>99.1</v>
      </c>
      <c r="L590" s="149">
        <v>55.9</v>
      </c>
      <c r="M590" s="149">
        <v>2</v>
      </c>
      <c r="N590" s="149">
        <v>0.3</v>
      </c>
      <c r="O590" s="149">
        <v>0</v>
      </c>
      <c r="P590" s="149">
        <v>0</v>
      </c>
      <c r="Q590" s="149">
        <v>0</v>
      </c>
      <c r="R590" s="149">
        <v>0</v>
      </c>
      <c r="S590" s="138">
        <v>2.7342908438061002</v>
      </c>
      <c r="T590" s="138">
        <v>2.68133802816901</v>
      </c>
      <c r="U590" s="138">
        <f>F590/S590*E588</f>
        <v>2.63322390019698E-2</v>
      </c>
      <c r="V590" s="138">
        <f>F590/T590*E588</f>
        <v>2.6852265265922499E-2</v>
      </c>
      <c r="AA590" s="153"/>
      <c r="AE590" s="137"/>
      <c r="AF590" s="137"/>
    </row>
    <row r="591" spans="1:32" ht="14.4">
      <c r="A591" s="276"/>
      <c r="B591" s="276"/>
      <c r="C591" s="164" t="s">
        <v>82</v>
      </c>
      <c r="D591" s="157" t="s">
        <v>133</v>
      </c>
      <c r="E591" s="276"/>
      <c r="F591" s="129">
        <v>0.18</v>
      </c>
      <c r="G591" s="149">
        <v>100</v>
      </c>
      <c r="H591" s="149">
        <v>100</v>
      </c>
      <c r="I591" s="149">
        <v>100</v>
      </c>
      <c r="J591" s="149">
        <v>100</v>
      </c>
      <c r="K591" s="149">
        <v>100</v>
      </c>
      <c r="L591" s="149">
        <v>100</v>
      </c>
      <c r="M591" s="149">
        <v>62.6</v>
      </c>
      <c r="N591" s="149">
        <v>28.1</v>
      </c>
      <c r="O591" s="149">
        <v>12.9</v>
      </c>
      <c r="P591" s="149">
        <v>6.4</v>
      </c>
      <c r="Q591" s="149">
        <v>3.3</v>
      </c>
      <c r="R591" s="149">
        <v>2.6</v>
      </c>
      <c r="S591" s="138">
        <v>2.7048568437343499</v>
      </c>
      <c r="T591" s="138">
        <v>2.63563381531092</v>
      </c>
      <c r="U591" s="138">
        <f>F591/S591*E588</f>
        <v>2.6618783972535899E-2</v>
      </c>
      <c r="V591" s="138">
        <f>F591/T591*E588</f>
        <v>2.7317907207646899E-2</v>
      </c>
      <c r="AA591" s="153"/>
      <c r="AE591" s="137"/>
      <c r="AF591" s="137"/>
    </row>
    <row r="592" spans="1:32" ht="14.4">
      <c r="A592" s="276"/>
      <c r="B592" s="276"/>
      <c r="C592" s="164" t="s">
        <v>99</v>
      </c>
      <c r="D592" s="157" t="s">
        <v>73</v>
      </c>
      <c r="E592" s="276"/>
      <c r="F592" s="129">
        <v>0.02</v>
      </c>
      <c r="G592" s="149">
        <v>100</v>
      </c>
      <c r="H592" s="149">
        <v>100</v>
      </c>
      <c r="I592" s="149">
        <v>100</v>
      </c>
      <c r="J592" s="149">
        <v>100</v>
      </c>
      <c r="K592" s="149">
        <v>100</v>
      </c>
      <c r="L592" s="149">
        <v>100</v>
      </c>
      <c r="M592" s="149">
        <v>100</v>
      </c>
      <c r="N592" s="149">
        <v>100</v>
      </c>
      <c r="O592" s="149">
        <v>100</v>
      </c>
      <c r="P592" s="149">
        <v>100</v>
      </c>
      <c r="Q592" s="149">
        <v>100</v>
      </c>
      <c r="R592" s="149">
        <v>85</v>
      </c>
      <c r="S592" s="138">
        <v>2.7256596275587999</v>
      </c>
      <c r="T592" s="138">
        <v>2.6036636504083002</v>
      </c>
      <c r="U592" s="138">
        <f>F592/S592*E588</f>
        <v>2.9350693384871001E-3</v>
      </c>
      <c r="V592" s="138">
        <f>F592/T592*E588</f>
        <v>3.0725934967619399E-3</v>
      </c>
      <c r="AA592" s="153"/>
      <c r="AE592" s="137"/>
      <c r="AF592" s="137"/>
    </row>
    <row r="593" spans="1:32" ht="14.4">
      <c r="A593" s="276"/>
      <c r="B593" s="276"/>
      <c r="C593" s="164" t="s">
        <v>99</v>
      </c>
      <c r="D593" s="157" t="s">
        <v>91</v>
      </c>
      <c r="E593" s="276"/>
      <c r="F593" s="129">
        <v>0</v>
      </c>
      <c r="G593" s="149">
        <v>100</v>
      </c>
      <c r="H593" s="149">
        <v>100</v>
      </c>
      <c r="I593" s="149">
        <v>100</v>
      </c>
      <c r="J593" s="149">
        <v>100</v>
      </c>
      <c r="K593" s="149">
        <v>99.333303744032804</v>
      </c>
      <c r="L593" s="149">
        <v>72.879852645283506</v>
      </c>
      <c r="M593" s="149">
        <v>44.955714680238302</v>
      </c>
      <c r="N593" s="149">
        <v>30.5080976052393</v>
      </c>
      <c r="O593" s="149">
        <v>23.538978971870399</v>
      </c>
      <c r="P593" s="149">
        <v>15.647931707894401</v>
      </c>
      <c r="Q593" s="149">
        <v>10.7683601609658</v>
      </c>
      <c r="R593" s="149">
        <v>6.9240196078431504</v>
      </c>
      <c r="S593" s="138">
        <v>2.76</v>
      </c>
      <c r="T593" s="138">
        <v>2.7</v>
      </c>
      <c r="U593" s="138">
        <f>F593/S593*E588</f>
        <v>0</v>
      </c>
      <c r="V593" s="138">
        <f>F593/T593*E588</f>
        <v>0</v>
      </c>
      <c r="AA593" s="153"/>
      <c r="AE593" s="137"/>
      <c r="AF593" s="137"/>
    </row>
    <row r="594" spans="1:32" ht="14.4">
      <c r="A594" s="276"/>
      <c r="B594" s="276"/>
      <c r="C594" s="164" t="s">
        <v>99</v>
      </c>
      <c r="D594" s="157" t="s">
        <v>91</v>
      </c>
      <c r="E594" s="276"/>
      <c r="F594" s="129">
        <v>0</v>
      </c>
      <c r="G594" s="149">
        <v>100</v>
      </c>
      <c r="H594" s="149">
        <v>100</v>
      </c>
      <c r="I594" s="149">
        <v>100</v>
      </c>
      <c r="J594" s="149">
        <v>100</v>
      </c>
      <c r="K594" s="149">
        <v>100</v>
      </c>
      <c r="L594" s="149">
        <v>100</v>
      </c>
      <c r="M594" s="149">
        <v>100</v>
      </c>
      <c r="N594" s="149">
        <v>100</v>
      </c>
      <c r="O594" s="149">
        <v>100</v>
      </c>
      <c r="P594" s="149">
        <v>99.6875</v>
      </c>
      <c r="Q594" s="149">
        <v>97.112499999999997</v>
      </c>
      <c r="R594" s="149">
        <v>76.612499999999997</v>
      </c>
      <c r="S594" s="138">
        <v>2.8519999999999999</v>
      </c>
      <c r="T594" s="138">
        <v>2.7229999999999999</v>
      </c>
      <c r="U594" s="138">
        <f>F594/S594*E588</f>
        <v>0</v>
      </c>
      <c r="V594" s="138">
        <f>F594/T594*E588</f>
        <v>0</v>
      </c>
      <c r="AA594" s="153"/>
      <c r="AE594" s="137"/>
      <c r="AF594" s="137"/>
    </row>
    <row r="595" spans="1:32">
      <c r="A595" s="276"/>
      <c r="B595" s="276"/>
      <c r="C595" s="159" t="s">
        <v>74</v>
      </c>
      <c r="D595" s="157" t="s">
        <v>111</v>
      </c>
      <c r="E595" s="276">
        <v>0.6</v>
      </c>
      <c r="F595" s="129">
        <v>1</v>
      </c>
      <c r="G595" s="149">
        <v>100</v>
      </c>
      <c r="H595" s="149">
        <v>100</v>
      </c>
      <c r="I595" s="149">
        <v>100</v>
      </c>
      <c r="J595" s="149">
        <v>97.549232406212496</v>
      </c>
      <c r="K595" s="149">
        <v>91.257527106233198</v>
      </c>
      <c r="L595" s="149">
        <v>69.294213614497295</v>
      </c>
      <c r="M595" s="149">
        <v>49.670525672573497</v>
      </c>
      <c r="N595" s="149">
        <v>35.809807317090403</v>
      </c>
      <c r="O595" s="149">
        <v>27.7274233998731</v>
      </c>
      <c r="P595" s="149">
        <v>18.139166039489702</v>
      </c>
      <c r="Q595" s="149">
        <v>11.287906849086699</v>
      </c>
      <c r="R595" s="149">
        <v>5.8495603076823999</v>
      </c>
      <c r="S595" s="138">
        <v>2.7315589353612202</v>
      </c>
      <c r="T595" s="138">
        <v>2.6324661048002902</v>
      </c>
      <c r="U595" s="138">
        <f>F595/S595*E595</f>
        <v>0.219654788418708</v>
      </c>
      <c r="V595" s="138">
        <f>F595/T595*E595</f>
        <v>0.227923162583519</v>
      </c>
      <c r="AA595" s="153"/>
      <c r="AE595" s="137">
        <v>5.1130717409289597</v>
      </c>
      <c r="AF595" s="137"/>
    </row>
    <row r="596" spans="1:32">
      <c r="A596" s="276"/>
      <c r="B596" s="276"/>
      <c r="C596" s="159" t="s">
        <v>76</v>
      </c>
      <c r="D596" s="157" t="s">
        <v>97</v>
      </c>
      <c r="E596" s="276"/>
      <c r="F596" s="129">
        <v>0</v>
      </c>
      <c r="G596" s="149">
        <v>100</v>
      </c>
      <c r="H596" s="149">
        <v>100</v>
      </c>
      <c r="I596" s="149">
        <v>100</v>
      </c>
      <c r="J596" s="149">
        <v>100</v>
      </c>
      <c r="K596" s="149">
        <v>99.333303744032804</v>
      </c>
      <c r="L596" s="149">
        <v>72.879852645283506</v>
      </c>
      <c r="M596" s="149">
        <v>44.955714680238302</v>
      </c>
      <c r="N596" s="149">
        <v>30.5080976052393</v>
      </c>
      <c r="O596" s="149">
        <v>23.538978971870399</v>
      </c>
      <c r="P596" s="149">
        <v>15.647931707894401</v>
      </c>
      <c r="Q596" s="149">
        <v>10.7683601609658</v>
      </c>
      <c r="R596" s="149">
        <v>6.9240196078431504</v>
      </c>
      <c r="S596" s="138">
        <v>2.7229665974712201</v>
      </c>
      <c r="T596" s="138">
        <v>2.6258416742493198</v>
      </c>
      <c r="U596" s="138">
        <f>F596/S596*E595</f>
        <v>0</v>
      </c>
      <c r="V596" s="138">
        <f>F596/T596*E595</f>
        <v>0</v>
      </c>
      <c r="AA596" s="153"/>
      <c r="AE596" s="137"/>
      <c r="AF596" s="137"/>
    </row>
    <row r="597" spans="1:32" ht="14.4">
      <c r="A597" s="276"/>
      <c r="B597" s="276"/>
      <c r="C597"/>
      <c r="F597" s="129" t="s">
        <v>240</v>
      </c>
      <c r="G597" s="170">
        <f>$E$29*($F$29*G588+$F$30*G589+$F$31*G590+$F$32*G591+$F$33*G592+$F$34*G593+$F$35*G594)+$E$36*($F$36*G595+$F$37*G596)</f>
        <v>100</v>
      </c>
      <c r="H597" s="170">
        <f>E588*(F588*H588+F589*H589+F590*H590+F591*H591+F592*H592+F593*H593+F594*H594)+E595*(F595*H595+F596*H596)</f>
        <v>100</v>
      </c>
      <c r="I597" s="170">
        <f>E588*(F588*I588+F589*I589+F590*I590+F591*I591+F592*I592+F593*I593+F594*I594)+E595*(F595*I595+F596*I596)</f>
        <v>100</v>
      </c>
      <c r="J597" s="170">
        <f>E588*(F588*J588+F589*J589+F590*J590+F591*J591+F592*J592+F593*J593+F594*J594)+E595*(F595*J595+F596*J596)</f>
        <v>97.161539443727506</v>
      </c>
      <c r="K597" s="170">
        <f>E588*(F588*K588+F589*K589+F590*K590+F591*K591+F592*K592+F593*K593+F594*K594)+E595*(F595*K595+F596*K596)</f>
        <v>82.884116263739898</v>
      </c>
      <c r="L597" s="170">
        <f>E588*(F588*L588+F589*L589+F590*L590+F591*L591+F592*L592+F593*L593+F594*L594)+E595*(F595*L595+F596*L596)</f>
        <v>54.2725281686984</v>
      </c>
      <c r="M597" s="170">
        <f>E588*(F588*M588+F589*M589+F590*M590+F591*M591+F592*M592+F593*M593+F594*M594)+E595*(F595*M595+F596*M596)</f>
        <v>35.296715403544098</v>
      </c>
      <c r="N597" s="170">
        <f>E588*(F588*N588+F589*N589+F590*N590+F591*N591+F592*N592+F593*N593+F594*N594)+E595*(F595*N595+F596*N596)</f>
        <v>24.334044390254299</v>
      </c>
      <c r="O597" s="170">
        <f>E588*(F588*O588+F589*O589+F590*O590+F591*O591+F592*O592+F593*O593+F594*O594)+E595*(F595*O595+F596*O596)</f>
        <v>18.368614039923798</v>
      </c>
      <c r="P597" s="170">
        <f>E588*(F588*P588+F589*P589+F590*P590+F591*P591+F592*P592+F593*P593+F594*P594)+E595*(F595*P595+F596*P596)</f>
        <v>12.1476596236938</v>
      </c>
      <c r="Q597" s="170">
        <f>E588*(F588*Q588+F589*Q589+F590*Q590+F591*Q591+F592*Q592+F593*Q593+F594*Q594)+E595*(F595*Q595+F596*Q596)</f>
        <v>7.8137041094520097</v>
      </c>
      <c r="R597" s="170">
        <f>E588*(F588*R588+F589*R589+F590*R590+F591*R591+F592*R592+F593*R593+F594*R594)+E595*(F595*R595+F596*R596)</f>
        <v>4.3802961846094401</v>
      </c>
      <c r="S597" s="138"/>
      <c r="T597" s="138"/>
      <c r="AA597" s="153"/>
      <c r="AE597" s="137"/>
      <c r="AF597" s="137"/>
    </row>
    <row r="598" spans="1:32" ht="14.4">
      <c r="A598" s="276"/>
      <c r="B598" s="276"/>
      <c r="C598"/>
      <c r="F598" s="129" t="s">
        <v>241</v>
      </c>
      <c r="G598" s="149">
        <v>100</v>
      </c>
      <c r="H598" s="149">
        <v>100</v>
      </c>
      <c r="I598" s="129">
        <v>100</v>
      </c>
      <c r="J598" s="129">
        <v>100</v>
      </c>
      <c r="K598" s="129">
        <v>85</v>
      </c>
      <c r="L598" s="129">
        <v>68</v>
      </c>
      <c r="M598" s="129">
        <v>50</v>
      </c>
      <c r="N598" s="129">
        <v>38</v>
      </c>
      <c r="O598" s="129">
        <v>28</v>
      </c>
      <c r="P598" s="129">
        <v>20</v>
      </c>
      <c r="Q598" s="129">
        <v>15</v>
      </c>
      <c r="R598" s="129">
        <v>8</v>
      </c>
      <c r="S598" s="138"/>
      <c r="T598" s="138"/>
      <c r="AA598" s="153"/>
      <c r="AE598" s="137"/>
      <c r="AF598" s="137"/>
    </row>
    <row r="599" spans="1:32" ht="14.4">
      <c r="A599" s="276"/>
      <c r="B599" s="276"/>
      <c r="C599"/>
      <c r="F599" s="129" t="s">
        <v>242</v>
      </c>
      <c r="G599" s="149">
        <f t="shared" ref="G599" si="96">(G598+G600)/2</f>
        <v>100</v>
      </c>
      <c r="H599" s="149">
        <v>100</v>
      </c>
      <c r="I599" s="129">
        <v>100</v>
      </c>
      <c r="J599" s="129">
        <f t="shared" ref="J599:R599" si="97">(J598+J600)/2</f>
        <v>95</v>
      </c>
      <c r="K599" s="129">
        <f t="shared" si="97"/>
        <v>76.5</v>
      </c>
      <c r="L599" s="129">
        <f t="shared" si="97"/>
        <v>53</v>
      </c>
      <c r="M599" s="129">
        <f t="shared" si="97"/>
        <v>37</v>
      </c>
      <c r="N599" s="129">
        <f t="shared" si="97"/>
        <v>26.5</v>
      </c>
      <c r="O599" s="129">
        <f t="shared" si="97"/>
        <v>19</v>
      </c>
      <c r="P599" s="129">
        <f t="shared" si="97"/>
        <v>13.5</v>
      </c>
      <c r="Q599" s="129">
        <f t="shared" si="97"/>
        <v>10</v>
      </c>
      <c r="R599" s="129">
        <f t="shared" si="97"/>
        <v>6</v>
      </c>
      <c r="S599" s="138"/>
      <c r="T599" s="138"/>
      <c r="AA599" s="153"/>
      <c r="AE599" s="137"/>
      <c r="AF599" s="137"/>
    </row>
    <row r="600" spans="1:32" ht="14.4">
      <c r="A600" s="276"/>
      <c r="B600" s="276"/>
      <c r="C600"/>
      <c r="F600" s="129" t="s">
        <v>243</v>
      </c>
      <c r="G600" s="149">
        <v>100</v>
      </c>
      <c r="H600" s="149">
        <v>100</v>
      </c>
      <c r="I600" s="129">
        <v>100</v>
      </c>
      <c r="J600" s="129">
        <v>90</v>
      </c>
      <c r="K600" s="129">
        <v>68</v>
      </c>
      <c r="L600" s="129">
        <v>38</v>
      </c>
      <c r="M600" s="129">
        <v>24</v>
      </c>
      <c r="N600" s="129">
        <v>15</v>
      </c>
      <c r="O600" s="129">
        <v>10</v>
      </c>
      <c r="P600" s="129">
        <v>7</v>
      </c>
      <c r="Q600" s="129">
        <v>5</v>
      </c>
      <c r="R600" s="129">
        <v>4</v>
      </c>
      <c r="S600" s="138"/>
      <c r="T600" s="138"/>
      <c r="AA600" s="153"/>
      <c r="AE600" s="137"/>
      <c r="AF600" s="137"/>
    </row>
    <row r="601" spans="1:32" s="206" customFormat="1" ht="14.4">
      <c r="A601" s="276" t="s">
        <v>134</v>
      </c>
      <c r="B601" s="276" t="s">
        <v>218</v>
      </c>
      <c r="C601" s="164" t="s">
        <v>81</v>
      </c>
      <c r="D601" s="157" t="s">
        <v>79</v>
      </c>
      <c r="E601" s="275">
        <v>0.3</v>
      </c>
      <c r="F601" s="129">
        <v>0.33</v>
      </c>
      <c r="G601" s="149">
        <v>100</v>
      </c>
      <c r="H601" s="149">
        <v>100</v>
      </c>
      <c r="I601" s="134">
        <v>100</v>
      </c>
      <c r="J601" s="134">
        <v>81.291778095033607</v>
      </c>
      <c r="K601" s="134">
        <v>13.933631306639301</v>
      </c>
      <c r="L601" s="134">
        <v>1.0635300611815399</v>
      </c>
      <c r="M601" s="134">
        <v>0.59115440998588997</v>
      </c>
      <c r="N601" s="134">
        <v>0.59115440998588997</v>
      </c>
      <c r="O601" s="134">
        <v>0.59115440998588997</v>
      </c>
      <c r="P601" s="134">
        <v>0.59115440998588997</v>
      </c>
      <c r="Q601" s="134">
        <v>0.59115440998588997</v>
      </c>
      <c r="R601" s="134">
        <v>0.59115440998588997</v>
      </c>
      <c r="S601" s="138">
        <v>2.73</v>
      </c>
      <c r="T601" s="138">
        <v>2.6880000000000002</v>
      </c>
      <c r="U601" s="138">
        <f>[2]级配!F601/S601*E601</f>
        <v>3.2967032967033003E-2</v>
      </c>
      <c r="V601" s="138">
        <f>[2]级配!F601/T601*E601</f>
        <v>3.3482142857142898E-2</v>
      </c>
      <c r="W601" s="138">
        <v>2.6</v>
      </c>
      <c r="X601" s="153">
        <v>0.4</v>
      </c>
      <c r="Y601" s="138">
        <f>0.033*X601*X601-0.2936*X601+0.9336</f>
        <v>0.82143999999999995</v>
      </c>
      <c r="Z601" s="138">
        <f>0.033*Y601*Y601-0.2936*Y601+0.9336</f>
        <v>0.71469241722879995</v>
      </c>
      <c r="AA601" s="127">
        <v>2.50207806288399</v>
      </c>
      <c r="AB601" s="138">
        <v>2.62</v>
      </c>
      <c r="AC601" s="230">
        <v>4.8</v>
      </c>
      <c r="AD601" s="138">
        <f>100*AC601/(100+AC601)</f>
        <v>4.5801526717557302</v>
      </c>
      <c r="AE601" s="137"/>
      <c r="AF601" s="154">
        <f>AC601-E606*F606*AE606-E606*F607*AE607-E606*F608*AE608</f>
        <v>2.0213439424212498</v>
      </c>
    </row>
    <row r="602" spans="1:32" s="206" customFormat="1" ht="14.4">
      <c r="A602" s="276"/>
      <c r="B602" s="276"/>
      <c r="C602" s="164" t="s">
        <v>81</v>
      </c>
      <c r="D602" s="157" t="s">
        <v>63</v>
      </c>
      <c r="E602" s="275"/>
      <c r="F602" s="129">
        <v>0.33</v>
      </c>
      <c r="G602" s="149">
        <v>100</v>
      </c>
      <c r="H602" s="149">
        <v>100</v>
      </c>
      <c r="I602" s="134">
        <v>100</v>
      </c>
      <c r="J602" s="134">
        <v>100</v>
      </c>
      <c r="K602" s="134">
        <v>98.132586180805802</v>
      </c>
      <c r="L602" s="134">
        <v>9.6562394680211394</v>
      </c>
      <c r="M602" s="134">
        <v>3.2182371806932002</v>
      </c>
      <c r="N602" s="134">
        <v>1.9539191870521799</v>
      </c>
      <c r="O602" s="134">
        <v>1.74445813279304</v>
      </c>
      <c r="P602" s="134">
        <v>1.6131542369565499</v>
      </c>
      <c r="Q602" s="134">
        <v>1.46205083171785</v>
      </c>
      <c r="R602" s="134">
        <v>1.39744139190469</v>
      </c>
      <c r="S602" s="138">
        <v>2.7080000000000002</v>
      </c>
      <c r="T602" s="138">
        <v>2.681</v>
      </c>
      <c r="U602" s="138">
        <f>[2]级配!F602/S602*E601</f>
        <v>3.32348596750369E-2</v>
      </c>
      <c r="V602" s="138">
        <f>[2]级配!F602/T602*E601</f>
        <v>3.3569563595673299E-2</v>
      </c>
      <c r="W602" s="138"/>
      <c r="X602" s="138"/>
      <c r="Y602" s="231"/>
      <c r="Z602" s="231"/>
      <c r="AA602" s="127"/>
      <c r="AB602" s="138"/>
      <c r="AC602" s="160"/>
      <c r="AD602" s="138"/>
      <c r="AE602" s="137"/>
      <c r="AF602" s="137"/>
    </row>
    <row r="603" spans="1:32" s="206" customFormat="1" ht="13.8" customHeight="1">
      <c r="A603" s="276"/>
      <c r="B603" s="276"/>
      <c r="C603" s="164" t="s">
        <v>81</v>
      </c>
      <c r="D603" s="157" t="s">
        <v>70</v>
      </c>
      <c r="E603" s="275"/>
      <c r="F603" s="129">
        <v>0.17</v>
      </c>
      <c r="G603" s="149">
        <v>100</v>
      </c>
      <c r="H603" s="149">
        <v>100</v>
      </c>
      <c r="I603" s="134">
        <v>100</v>
      </c>
      <c r="J603" s="134">
        <v>100</v>
      </c>
      <c r="K603" s="134">
        <v>100</v>
      </c>
      <c r="L603" s="134">
        <v>84.2234666575917</v>
      </c>
      <c r="M603" s="134">
        <v>9.9501351710892898</v>
      </c>
      <c r="N603" s="134">
        <v>5.0389832757398896</v>
      </c>
      <c r="O603" s="134">
        <v>4.19854190606355</v>
      </c>
      <c r="P603" s="134">
        <v>3.7498200440131102</v>
      </c>
      <c r="Q603" s="134">
        <v>3.1441005215722302</v>
      </c>
      <c r="R603" s="134">
        <v>2.8786120214548601</v>
      </c>
      <c r="S603" s="138">
        <v>2.7730000000000001</v>
      </c>
      <c r="T603" s="138">
        <v>2.629</v>
      </c>
      <c r="U603" s="138">
        <f>[2]级配!F603/S603*E601</f>
        <v>2.1637216011539801E-2</v>
      </c>
      <c r="V603" s="138">
        <f>[2]级配!F603/T603*E601</f>
        <v>2.28223659186002E-2</v>
      </c>
      <c r="W603" s="232"/>
      <c r="X603" s="153"/>
      <c r="Y603" s="232"/>
      <c r="Z603" s="232"/>
      <c r="AA603" s="127"/>
      <c r="AB603" s="138"/>
      <c r="AC603" s="160"/>
      <c r="AD603" s="138"/>
      <c r="AE603" s="137"/>
      <c r="AF603" s="137"/>
    </row>
    <row r="604" spans="1:32" s="206" customFormat="1" ht="14.4">
      <c r="A604" s="276"/>
      <c r="B604" s="276"/>
      <c r="C604" s="164" t="s">
        <v>82</v>
      </c>
      <c r="D604" s="134" t="s">
        <v>71</v>
      </c>
      <c r="E604" s="275"/>
      <c r="F604" s="129">
        <v>0.17</v>
      </c>
      <c r="G604" s="149">
        <v>100</v>
      </c>
      <c r="H604" s="149">
        <v>100</v>
      </c>
      <c r="I604" s="134">
        <v>100</v>
      </c>
      <c r="J604" s="134">
        <v>100</v>
      </c>
      <c r="K604" s="134">
        <v>100</v>
      </c>
      <c r="L604" s="134">
        <v>99.802561702269003</v>
      </c>
      <c r="M604" s="134">
        <v>78.663550940328605</v>
      </c>
      <c r="N604" s="134">
        <v>47.187738878284001</v>
      </c>
      <c r="O604" s="134">
        <v>30.120927607187699</v>
      </c>
      <c r="P604" s="134">
        <v>17.684958740373801</v>
      </c>
      <c r="Q604" s="134">
        <v>10.1654141634837</v>
      </c>
      <c r="R604" s="134">
        <v>8.4104575997334194</v>
      </c>
      <c r="S604" s="138">
        <v>2.6789999999999998</v>
      </c>
      <c r="T604" s="138">
        <v>2.6789999999999998</v>
      </c>
      <c r="U604" s="138">
        <f>[2]级配!F604/S604*E601</f>
        <v>2.2396416573348302E-2</v>
      </c>
      <c r="V604" s="138">
        <f>[2]级配!F604/T604*E601</f>
        <v>2.2396416573348302E-2</v>
      </c>
      <c r="W604" s="232"/>
      <c r="X604" s="153"/>
      <c r="Y604" s="232"/>
      <c r="Z604" s="232"/>
      <c r="AA604" s="153"/>
      <c r="AB604" s="153"/>
      <c r="AC604" s="159"/>
      <c r="AD604" s="153"/>
      <c r="AE604" s="137"/>
      <c r="AF604" s="137"/>
    </row>
    <row r="605" spans="1:32" s="206" customFormat="1" ht="14.4">
      <c r="A605" s="276"/>
      <c r="B605" s="276"/>
      <c r="C605" s="164" t="s">
        <v>99</v>
      </c>
      <c r="D605" s="168" t="s">
        <v>91</v>
      </c>
      <c r="E605" s="275"/>
      <c r="F605" s="129">
        <v>0</v>
      </c>
      <c r="G605" s="149">
        <v>100</v>
      </c>
      <c r="H605" s="149">
        <v>100</v>
      </c>
      <c r="I605" s="149">
        <v>100</v>
      </c>
      <c r="J605" s="149">
        <v>100</v>
      </c>
      <c r="K605" s="149">
        <v>100</v>
      </c>
      <c r="L605" s="149">
        <v>100</v>
      </c>
      <c r="M605" s="149">
        <v>100</v>
      </c>
      <c r="N605" s="149">
        <v>100</v>
      </c>
      <c r="O605" s="149">
        <v>100</v>
      </c>
      <c r="P605" s="149">
        <v>97.4</v>
      </c>
      <c r="Q605" s="149">
        <v>90.2</v>
      </c>
      <c r="R605" s="149">
        <v>78.2</v>
      </c>
      <c r="S605" s="138">
        <v>2.6789999999999998</v>
      </c>
      <c r="T605" s="138">
        <v>2.6789999999999998</v>
      </c>
      <c r="U605" s="138">
        <f>[2]级配!F605/S605*E601</f>
        <v>0</v>
      </c>
      <c r="V605" s="138">
        <f>[2]级配!F605/T605*E601</f>
        <v>0</v>
      </c>
      <c r="W605" s="232"/>
      <c r="X605" s="153"/>
      <c r="Y605" s="232"/>
      <c r="Z605" s="232"/>
      <c r="AA605" s="153"/>
      <c r="AB605" s="153"/>
      <c r="AC605" s="159"/>
      <c r="AD605" s="153"/>
      <c r="AE605" s="137"/>
      <c r="AF605" s="137"/>
    </row>
    <row r="606" spans="1:32" s="206" customFormat="1" ht="14.4">
      <c r="A606" s="276"/>
      <c r="B606" s="276"/>
      <c r="C606" s="164" t="s">
        <v>514</v>
      </c>
      <c r="D606" s="157" t="s">
        <v>79</v>
      </c>
      <c r="E606" s="276">
        <v>0.7</v>
      </c>
      <c r="F606" s="129">
        <v>0.36</v>
      </c>
      <c r="G606" s="149">
        <v>100</v>
      </c>
      <c r="H606" s="149">
        <v>100</v>
      </c>
      <c r="I606" s="134">
        <v>100</v>
      </c>
      <c r="J606" s="134">
        <v>91.481602957618506</v>
      </c>
      <c r="K606" s="134">
        <v>45.252333180676601</v>
      </c>
      <c r="L606" s="134">
        <v>18.427116335069702</v>
      </c>
      <c r="M606" s="134">
        <v>14.839525379323799</v>
      </c>
      <c r="N606" s="134">
        <v>11.3395009170846</v>
      </c>
      <c r="O606" s="134">
        <v>9.4771148488245398</v>
      </c>
      <c r="P606" s="134">
        <v>7.5622033056660696</v>
      </c>
      <c r="Q606" s="134">
        <v>5.9461762722048501</v>
      </c>
      <c r="R606" s="134">
        <v>5.0341853245319799</v>
      </c>
      <c r="S606" s="138">
        <v>2.72</v>
      </c>
      <c r="T606" s="138">
        <v>2.65</v>
      </c>
      <c r="U606" s="138">
        <f>[2]级配!F606/S606*E601</f>
        <v>4.4117647058823498E-2</v>
      </c>
      <c r="V606" s="138">
        <f>[2]级配!F606/T606*E601</f>
        <v>4.5283018867924497E-2</v>
      </c>
      <c r="W606" s="232"/>
      <c r="X606" s="153"/>
      <c r="Y606" s="232"/>
      <c r="Z606" s="232"/>
      <c r="AA606" s="153"/>
      <c r="AB606" s="153"/>
      <c r="AC606" s="159"/>
      <c r="AD606" s="153"/>
      <c r="AE606" s="137">
        <v>2.8533177522609501</v>
      </c>
      <c r="AF606" s="137"/>
    </row>
    <row r="607" spans="1:32" s="206" customFormat="1" ht="14.4">
      <c r="A607" s="276"/>
      <c r="B607" s="276"/>
      <c r="C607" s="164" t="s">
        <v>514</v>
      </c>
      <c r="D607" s="157" t="s">
        <v>63</v>
      </c>
      <c r="E607" s="276"/>
      <c r="F607" s="129">
        <v>0.28000000000000003</v>
      </c>
      <c r="G607" s="149">
        <v>100</v>
      </c>
      <c r="H607" s="149">
        <v>100</v>
      </c>
      <c r="I607" s="134">
        <v>100</v>
      </c>
      <c r="J607" s="134">
        <v>100</v>
      </c>
      <c r="K607" s="134">
        <v>99.567887241679003</v>
      </c>
      <c r="L607" s="134">
        <v>45.762968265763199</v>
      </c>
      <c r="M607" s="134">
        <v>22.5914918431377</v>
      </c>
      <c r="N607" s="134">
        <v>15.9413189111261</v>
      </c>
      <c r="O607" s="134">
        <v>13.1044505584101</v>
      </c>
      <c r="P607" s="134">
        <v>10.7279515339476</v>
      </c>
      <c r="Q607" s="134">
        <v>8.48424570372846</v>
      </c>
      <c r="R607" s="134">
        <v>6.9478375731814204</v>
      </c>
      <c r="S607" s="138">
        <v>2.8519999999999999</v>
      </c>
      <c r="T607" s="138">
        <v>2.7229999999999999</v>
      </c>
      <c r="U607" s="138">
        <f>[2]级配!F607/S607*E601</f>
        <v>6.3113604488078498E-2</v>
      </c>
      <c r="V607" s="138">
        <f>[2]级配!F607/T607*E601</f>
        <v>6.6103562247521105E-2</v>
      </c>
      <c r="W607" s="232"/>
      <c r="X607" s="153"/>
      <c r="Y607" s="232"/>
      <c r="Z607" s="232"/>
      <c r="AA607" s="153"/>
      <c r="AB607" s="153"/>
      <c r="AC607" s="159"/>
      <c r="AD607" s="153"/>
      <c r="AE607" s="137">
        <v>3.3489245651950199</v>
      </c>
      <c r="AF607" s="137"/>
    </row>
    <row r="608" spans="1:32" s="206" customFormat="1" ht="14.4">
      <c r="A608" s="276"/>
      <c r="B608" s="276"/>
      <c r="C608" s="164" t="s">
        <v>515</v>
      </c>
      <c r="D608" s="134" t="s">
        <v>65</v>
      </c>
      <c r="E608" s="276"/>
      <c r="F608" s="130">
        <v>0.36</v>
      </c>
      <c r="G608" s="149">
        <v>100</v>
      </c>
      <c r="H608" s="149">
        <v>100</v>
      </c>
      <c r="I608" s="134">
        <v>100</v>
      </c>
      <c r="J608" s="134">
        <v>100</v>
      </c>
      <c r="K608" s="134">
        <v>100</v>
      </c>
      <c r="L608" s="134">
        <v>96.773241575442697</v>
      </c>
      <c r="M608" s="134">
        <v>58.955499795773399</v>
      </c>
      <c r="N608" s="134">
        <v>32.060997642496702</v>
      </c>
      <c r="O608" s="134">
        <v>23.467347478352799</v>
      </c>
      <c r="P608" s="134">
        <v>17.429766402104299</v>
      </c>
      <c r="Q608" s="134">
        <v>13.4674110343355</v>
      </c>
      <c r="R608" s="134">
        <v>11.5498931412078</v>
      </c>
      <c r="S608" s="138">
        <v>2.8290000000000002</v>
      </c>
      <c r="T608" s="138">
        <v>2.7650000000000001</v>
      </c>
      <c r="U608" s="138">
        <f>[2]级配!F608/S608*E606</f>
        <v>0</v>
      </c>
      <c r="V608" s="138">
        <f>[2]级配!F608/T608*E606</f>
        <v>0</v>
      </c>
      <c r="W608" s="232"/>
      <c r="X608" s="153"/>
      <c r="Y608" s="232"/>
      <c r="Z608" s="232"/>
      <c r="AA608" s="153"/>
      <c r="AB608" s="153"/>
      <c r="AC608" s="159"/>
      <c r="AD608" s="153"/>
      <c r="AE608" s="137">
        <v>5.5683760683760699</v>
      </c>
      <c r="AF608" s="137"/>
    </row>
    <row r="609" spans="1:32" s="206" customFormat="1" ht="14.4">
      <c r="A609" s="276"/>
      <c r="B609" s="276"/>
      <c r="C609" s="164" t="s">
        <v>515</v>
      </c>
      <c r="D609" s="168" t="s">
        <v>97</v>
      </c>
      <c r="E609" s="276"/>
      <c r="F609" s="130">
        <v>0</v>
      </c>
      <c r="G609" s="149">
        <v>100</v>
      </c>
      <c r="H609" s="149">
        <v>100</v>
      </c>
      <c r="I609" s="149">
        <v>100</v>
      </c>
      <c r="J609" s="149">
        <v>99.709455890121504</v>
      </c>
      <c r="K609" s="149">
        <v>93.611005421295204</v>
      </c>
      <c r="L609" s="149">
        <v>62.883664943704403</v>
      </c>
      <c r="M609" s="149">
        <v>41.736211500847702</v>
      </c>
      <c r="N609" s="149">
        <v>29.275015875296301</v>
      </c>
      <c r="O609" s="149">
        <v>22.374005580422299</v>
      </c>
      <c r="P609" s="149">
        <v>14.3321095762082</v>
      </c>
      <c r="Q609" s="149">
        <v>9.6170951500159596</v>
      </c>
      <c r="R609" s="149">
        <v>6.5264817525129803</v>
      </c>
      <c r="S609" s="138">
        <v>2.76</v>
      </c>
      <c r="T609" s="138">
        <v>2.7</v>
      </c>
      <c r="U609" s="138">
        <f>[2]级配!F609/S609*E606</f>
        <v>0</v>
      </c>
      <c r="V609" s="138">
        <f>[2]级配!F609/T609*E606</f>
        <v>0</v>
      </c>
      <c r="W609" s="232"/>
      <c r="X609" s="153"/>
      <c r="Y609" s="232"/>
      <c r="Z609" s="232"/>
      <c r="AA609" s="153"/>
      <c r="AB609" s="153"/>
      <c r="AC609" s="159"/>
      <c r="AD609" s="153"/>
      <c r="AE609" s="137"/>
      <c r="AF609" s="137"/>
    </row>
    <row r="610" spans="1:32" s="206" customFormat="1" ht="14.4">
      <c r="A610" s="276"/>
      <c r="B610" s="276"/>
      <c r="D610" s="129"/>
      <c r="E610" s="129"/>
      <c r="F610" s="155" t="s">
        <v>516</v>
      </c>
      <c r="G610" s="170">
        <f>$E$29*($F$29*G601+$F$30*G602+$F$31*G603+$F$32*G604+$F$33*G605+$F$34*G606+$F$35*G607)+$E$36*($F$36*G608+$F$37*G609)</f>
        <v>100</v>
      </c>
      <c r="H610" s="170">
        <f>E601*(F601*H601+F602*H602+F603*H603+F604*H604+F605*H605)+E606*(F608*H608+F609*H609+F606*H606+F607*H607)</f>
        <v>100</v>
      </c>
      <c r="I610" s="170">
        <f>E601*(F601*I601+F602*I602+F603*I603+F604*I604+F605*I605)+E606*(F608*I608+F609*I609+F606*I606+F607*I607)</f>
        <v>100</v>
      </c>
      <c r="J610" s="170">
        <f>E601*(F601*J601+F602*J602+F603*J603+F604*J604+F605*J605)+E606*(F608*J608+F609*J609+F606*J606+F607*J607)</f>
        <v>96.001249976728204</v>
      </c>
      <c r="K610" s="170">
        <f>E601*(F601*K601+F602*K602+F603*K603+F604*K604+F605*K605)+E606*(F608*K608+F609*K609+F606*K606+F607*K607)</f>
        <v>77.413449392156593</v>
      </c>
      <c r="L610" s="170">
        <f>E601*(F601*L601+F602*L602+F603*L603+F604*L604+F605*L605)+E606*(F608*L608+F609*L609+F606*L606+F607*L607)</f>
        <v>48.446616603282699</v>
      </c>
      <c r="M610" s="170">
        <f>E601*(F601*M601+F602*M602+F603*M603+F604*M604+F605*M605)+E606*(F608*M608+F609*M609+F606*M606+F607*M607)</f>
        <v>27.920706504539002</v>
      </c>
      <c r="N610" s="170">
        <f>E601*(F601*N601+F602*N602+F603*N603+F604*N604+F605*N605)+E606*(F608*N608+F609*N609+F606*N606+F607*N607)</f>
        <v>16.976949259557198</v>
      </c>
      <c r="O610" s="170">
        <f>E601*(F601*O601+F602*O602+F603*O603+F604*O604+F605*O605)+E606*(F608*O608+F609*O609+F606*O606+F607*O607)</f>
        <v>12.851995402808001</v>
      </c>
      <c r="P610" s="170">
        <f>E601*(F601*P601+F602*P602+F603*P603+F604*P604+F605*P605)+E606*(F608*P608+F609*P609+F606*P606+F607*P607)</f>
        <v>9.7120551410628995</v>
      </c>
      <c r="Q610" s="170">
        <f>E601*(F601*Q601+F602*Q602+F603*Q603+F604*Q604+F605*Q605)+E606*(F608*Q608+F609*Q609+F606*Q606+F607*Q607)</f>
        <v>7.43718872704547</v>
      </c>
      <c r="R610" s="170">
        <f>E601*(F601*R601+F602*R602+F603*R603+F604*R604+F605*R605)+E606*(F608*R608+F609*R609+F606*R606+F607*R607)</f>
        <v>6.3135774727777498</v>
      </c>
      <c r="S610" s="231"/>
      <c r="T610" s="231"/>
      <c r="U610" s="231"/>
      <c r="V610" s="231"/>
      <c r="W610" s="232"/>
      <c r="X610" s="153"/>
      <c r="Y610" s="232"/>
      <c r="Z610" s="232"/>
      <c r="AA610" s="153"/>
      <c r="AB610" s="153"/>
      <c r="AC610" s="159"/>
      <c r="AD610" s="153"/>
      <c r="AE610" s="137"/>
      <c r="AF610" s="137"/>
    </row>
    <row r="611" spans="1:32" s="206" customFormat="1" ht="14.4">
      <c r="A611" s="276"/>
      <c r="B611" s="276"/>
      <c r="D611" s="129"/>
      <c r="E611" s="129"/>
      <c r="F611" s="155" t="s">
        <v>263</v>
      </c>
      <c r="G611" s="149">
        <v>100</v>
      </c>
      <c r="H611" s="149">
        <v>100</v>
      </c>
      <c r="I611" s="129">
        <v>100</v>
      </c>
      <c r="J611" s="129">
        <v>100</v>
      </c>
      <c r="K611" s="129">
        <v>85</v>
      </c>
      <c r="L611" s="129">
        <v>68</v>
      </c>
      <c r="M611" s="129">
        <v>50</v>
      </c>
      <c r="N611" s="129">
        <v>38</v>
      </c>
      <c r="O611" s="129">
        <v>28</v>
      </c>
      <c r="P611" s="129">
        <v>20</v>
      </c>
      <c r="Q611" s="129">
        <v>15</v>
      </c>
      <c r="R611" s="129">
        <v>8</v>
      </c>
      <c r="S611" s="231"/>
      <c r="T611" s="231"/>
      <c r="U611" s="231"/>
      <c r="V611" s="231"/>
      <c r="W611" s="232"/>
      <c r="X611" s="153"/>
      <c r="Y611" s="232"/>
      <c r="Z611" s="232"/>
      <c r="AA611" s="153"/>
      <c r="AB611" s="153"/>
      <c r="AC611" s="159"/>
      <c r="AD611" s="153"/>
      <c r="AE611" s="137"/>
      <c r="AF611" s="137"/>
    </row>
    <row r="612" spans="1:32" s="206" customFormat="1" ht="14.4">
      <c r="A612" s="276"/>
      <c r="B612" s="276"/>
      <c r="D612" s="129"/>
      <c r="E612" s="129"/>
      <c r="F612" s="155" t="s">
        <v>264</v>
      </c>
      <c r="G612" s="149">
        <f t="shared" ref="G612" si="98">(G611+G613)/2</f>
        <v>100</v>
      </c>
      <c r="H612" s="149">
        <v>100</v>
      </c>
      <c r="I612" s="129">
        <v>100</v>
      </c>
      <c r="J612" s="129">
        <f t="shared" ref="J612:R612" si="99">(J611+J613)/2</f>
        <v>95</v>
      </c>
      <c r="K612" s="129">
        <f t="shared" si="99"/>
        <v>76.5</v>
      </c>
      <c r="L612" s="129">
        <f t="shared" si="99"/>
        <v>53</v>
      </c>
      <c r="M612" s="129">
        <f t="shared" si="99"/>
        <v>37</v>
      </c>
      <c r="N612" s="129">
        <f t="shared" si="99"/>
        <v>26.5</v>
      </c>
      <c r="O612" s="129">
        <f t="shared" si="99"/>
        <v>19</v>
      </c>
      <c r="P612" s="129">
        <f t="shared" si="99"/>
        <v>13.5</v>
      </c>
      <c r="Q612" s="129">
        <f t="shared" si="99"/>
        <v>10</v>
      </c>
      <c r="R612" s="129">
        <f t="shared" si="99"/>
        <v>6</v>
      </c>
      <c r="S612" s="231"/>
      <c r="T612" s="231"/>
      <c r="U612" s="231"/>
      <c r="V612" s="231"/>
      <c r="W612" s="232"/>
      <c r="X612" s="153"/>
      <c r="Y612" s="232"/>
      <c r="Z612" s="232"/>
      <c r="AA612" s="153"/>
      <c r="AB612" s="153"/>
      <c r="AC612" s="159"/>
      <c r="AD612" s="153"/>
      <c r="AE612" s="137"/>
      <c r="AF612" s="137"/>
    </row>
    <row r="613" spans="1:32" s="206" customFormat="1" ht="14.4">
      <c r="A613" s="276"/>
      <c r="B613" s="276"/>
      <c r="D613" s="129"/>
      <c r="E613" s="129"/>
      <c r="F613" s="155" t="s">
        <v>265</v>
      </c>
      <c r="G613" s="149">
        <v>100</v>
      </c>
      <c r="H613" s="149">
        <v>100</v>
      </c>
      <c r="I613" s="129">
        <v>100</v>
      </c>
      <c r="J613" s="129">
        <v>90</v>
      </c>
      <c r="K613" s="129">
        <v>68</v>
      </c>
      <c r="L613" s="129">
        <v>38</v>
      </c>
      <c r="M613" s="129">
        <v>24</v>
      </c>
      <c r="N613" s="129">
        <v>15</v>
      </c>
      <c r="O613" s="129">
        <v>10</v>
      </c>
      <c r="P613" s="129">
        <v>7</v>
      </c>
      <c r="Q613" s="129">
        <v>5</v>
      </c>
      <c r="R613" s="129">
        <v>4</v>
      </c>
      <c r="S613" s="231"/>
      <c r="T613" s="231"/>
      <c r="U613" s="231"/>
      <c r="V613" s="231"/>
      <c r="W613" s="232"/>
      <c r="X613" s="153"/>
      <c r="Y613" s="232"/>
      <c r="Z613" s="232"/>
      <c r="AA613" s="153"/>
      <c r="AB613" s="153"/>
      <c r="AC613" s="159"/>
      <c r="AD613" s="153"/>
      <c r="AE613" s="137"/>
      <c r="AF613" s="137"/>
    </row>
    <row r="614" spans="1:32" ht="14.4">
      <c r="A614" s="276" t="s">
        <v>135</v>
      </c>
      <c r="B614" s="276" t="s">
        <v>254</v>
      </c>
      <c r="C614" s="159" t="s">
        <v>61</v>
      </c>
      <c r="D614" s="134" t="s">
        <v>87</v>
      </c>
      <c r="E614" s="275">
        <v>0.5</v>
      </c>
      <c r="F614" s="146">
        <v>0.5</v>
      </c>
      <c r="G614" s="149">
        <v>100</v>
      </c>
      <c r="H614" s="149">
        <v>100</v>
      </c>
      <c r="I614" s="134">
        <v>94.637850219141797</v>
      </c>
      <c r="J614" s="134">
        <v>76.303749798747404</v>
      </c>
      <c r="K614" s="134">
        <v>6.3420145910626102</v>
      </c>
      <c r="L614" s="134">
        <v>0.146091158623463</v>
      </c>
      <c r="M614" s="134">
        <v>0.146091158623463</v>
      </c>
      <c r="N614" s="134">
        <v>0.14808072927188901</v>
      </c>
      <c r="O614" s="134">
        <v>0.146091158623463</v>
      </c>
      <c r="P614" s="134">
        <v>0.146091158623463</v>
      </c>
      <c r="Q614" s="134">
        <v>0.146091158623463</v>
      </c>
      <c r="R614" s="134">
        <v>0.146091158623463</v>
      </c>
      <c r="S614" s="138">
        <v>2.73</v>
      </c>
      <c r="T614" s="138">
        <v>2.6880000000000002</v>
      </c>
      <c r="U614" s="138">
        <f>[2]级配!F614/S614*E614</f>
        <v>7.3260073260073305E-2</v>
      </c>
      <c r="V614" s="138">
        <f>[2]级配!F614/T614*E614</f>
        <v>7.4404761904761904E-2</v>
      </c>
      <c r="W614" s="138">
        <f>1/SUM(U614:U622)</f>
        <v>2.7568555921455</v>
      </c>
      <c r="X614" s="153">
        <v>0.4</v>
      </c>
      <c r="Y614" s="138">
        <f>0.033*X614*X614-0.2936*X614+0.9336</f>
        <v>0.82143999999999995</v>
      </c>
      <c r="Z614" s="138">
        <f>0.033*Y614*Y614-0.2936*Y614+0.9336</f>
        <v>0.71469241722879995</v>
      </c>
      <c r="AA614" s="127">
        <v>2.54</v>
      </c>
      <c r="AB614" s="138">
        <f>1/SUM(V614:V622)</f>
        <v>2.6706920780544201</v>
      </c>
      <c r="AC614" s="160">
        <v>4.8</v>
      </c>
      <c r="AD614" s="138">
        <f>100*AC614/(100+AC614)</f>
        <v>4.5801526717557302</v>
      </c>
      <c r="AE614" s="137"/>
      <c r="AF614" s="154">
        <f>AC614-E619*F619*AE619-E619*F620*AE620-E619*F621*AE621</f>
        <v>2.2375747917110802</v>
      </c>
    </row>
    <row r="615" spans="1:32" ht="14.4">
      <c r="A615" s="276"/>
      <c r="B615" s="276"/>
      <c r="C615" s="159" t="s">
        <v>61</v>
      </c>
      <c r="D615" s="134" t="s">
        <v>116</v>
      </c>
      <c r="E615" s="275"/>
      <c r="F615" s="146">
        <v>0.3</v>
      </c>
      <c r="G615" s="149">
        <v>100</v>
      </c>
      <c r="H615" s="149">
        <v>100</v>
      </c>
      <c r="I615" s="134">
        <v>100</v>
      </c>
      <c r="J615" s="134">
        <v>99.755693581780505</v>
      </c>
      <c r="K615" s="134">
        <v>80.299871170192105</v>
      </c>
      <c r="L615" s="134">
        <v>46.065973770081001</v>
      </c>
      <c r="M615" s="134">
        <v>0.23180728788062099</v>
      </c>
      <c r="N615" s="134">
        <v>0.22766890019646999</v>
      </c>
      <c r="O615" s="134">
        <v>0.22766890019646999</v>
      </c>
      <c r="P615" s="134">
        <v>0.22766890019646999</v>
      </c>
      <c r="Q615" s="134">
        <v>0.22766890019646999</v>
      </c>
      <c r="R615" s="134">
        <v>0.22766890019646999</v>
      </c>
      <c r="S615" s="138">
        <v>2.7080000000000002</v>
      </c>
      <c r="T615" s="138">
        <v>2.681</v>
      </c>
      <c r="U615" s="138">
        <f>[2]级配!F615/S615*E614</f>
        <v>3.6927621861152102E-2</v>
      </c>
      <c r="V615" s="138">
        <f>[2]级配!F615/T615*E614</f>
        <v>3.7299515106303603E-2</v>
      </c>
      <c r="W615" s="138"/>
      <c r="X615" s="138"/>
      <c r="Y615" s="151"/>
      <c r="Z615" s="151"/>
      <c r="AA615" s="127">
        <v>2.548</v>
      </c>
      <c r="AB615" s="138">
        <v>2.6752322799214001</v>
      </c>
      <c r="AC615" s="160">
        <v>4.8</v>
      </c>
      <c r="AD615" s="138">
        <v>4.5801526717557302</v>
      </c>
      <c r="AE615" s="137"/>
      <c r="AF615" s="137">
        <v>2.2400000000000002</v>
      </c>
    </row>
    <row r="616" spans="1:32" ht="13.8" customHeight="1">
      <c r="A616" s="276"/>
      <c r="B616" s="276"/>
      <c r="C616" s="159" t="s">
        <v>61</v>
      </c>
      <c r="D616" s="134" t="s">
        <v>117</v>
      </c>
      <c r="E616" s="275"/>
      <c r="F616" s="146">
        <v>0.1</v>
      </c>
      <c r="G616" s="149">
        <v>100</v>
      </c>
      <c r="H616" s="149">
        <v>100</v>
      </c>
      <c r="I616" s="134">
        <v>100</v>
      </c>
      <c r="J616" s="134">
        <v>100</v>
      </c>
      <c r="K616" s="134">
        <v>98.083762953604506</v>
      </c>
      <c r="L616" s="134">
        <v>56.827495177978399</v>
      </c>
      <c r="M616" s="134">
        <v>0.55765195882440799</v>
      </c>
      <c r="N616" s="134">
        <v>0.37869315390193498</v>
      </c>
      <c r="O616" s="134">
        <v>0.37869315390193498</v>
      </c>
      <c r="P616" s="134">
        <v>0.37869315390193498</v>
      </c>
      <c r="Q616" s="134">
        <v>0.37869315390193498</v>
      </c>
      <c r="R616" s="134">
        <v>0.37869315390193498</v>
      </c>
      <c r="S616" s="138">
        <v>2.7730000000000001</v>
      </c>
      <c r="T616" s="138">
        <v>2.629</v>
      </c>
      <c r="U616" s="138">
        <f>[2]级配!F616/S616*E614</f>
        <v>7.2124053371799501E-2</v>
      </c>
      <c r="V616" s="138">
        <f>[2]级配!F616/T616*E614</f>
        <v>7.6074553062000796E-2</v>
      </c>
      <c r="AA616" s="127"/>
      <c r="AB616" s="138"/>
      <c r="AC616" s="160"/>
      <c r="AD616" s="138"/>
      <c r="AE616" s="137"/>
      <c r="AF616" s="137"/>
    </row>
    <row r="617" spans="1:32">
      <c r="A617" s="276"/>
      <c r="B617" s="276"/>
      <c r="C617" s="159" t="s">
        <v>82</v>
      </c>
      <c r="D617" s="134" t="s">
        <v>71</v>
      </c>
      <c r="E617" s="275"/>
      <c r="F617" s="146">
        <v>0.1</v>
      </c>
      <c r="G617" s="149">
        <v>100</v>
      </c>
      <c r="H617" s="149">
        <v>100</v>
      </c>
      <c r="I617" s="134">
        <v>100</v>
      </c>
      <c r="J617" s="134">
        <v>100</v>
      </c>
      <c r="K617" s="134">
        <v>100</v>
      </c>
      <c r="L617" s="134">
        <v>99.535863080549802</v>
      </c>
      <c r="M617" s="134">
        <v>80.920571600011101</v>
      </c>
      <c r="N617" s="134">
        <v>52.361261114203501</v>
      </c>
      <c r="O617" s="134">
        <v>35.177958105460696</v>
      </c>
      <c r="P617" s="134">
        <v>20.742205209966201</v>
      </c>
      <c r="Q617" s="134">
        <v>9.9446623024430405</v>
      </c>
      <c r="R617" s="134">
        <v>6.6012497172878204</v>
      </c>
      <c r="S617" s="138">
        <v>2.6789999999999998</v>
      </c>
      <c r="T617" s="138">
        <v>2.6789999999999998</v>
      </c>
      <c r="U617" s="138">
        <f>[2]级配!F617/S617*E614</f>
        <v>0</v>
      </c>
      <c r="V617" s="138">
        <f>[2]级配!F617/T617*E614</f>
        <v>0</v>
      </c>
      <c r="AA617" s="153"/>
      <c r="AE617" s="137"/>
      <c r="AF617" s="137"/>
    </row>
    <row r="618" spans="1:32" ht="14.4">
      <c r="A618" s="276"/>
      <c r="B618" s="276"/>
      <c r="C618" s="164" t="s">
        <v>99</v>
      </c>
      <c r="D618" s="168" t="s">
        <v>91</v>
      </c>
      <c r="E618" s="275"/>
      <c r="F618" s="129">
        <v>0</v>
      </c>
      <c r="G618" s="149">
        <v>100</v>
      </c>
      <c r="H618" s="149">
        <v>100</v>
      </c>
      <c r="I618" s="149">
        <v>100</v>
      </c>
      <c r="J618" s="149">
        <v>100</v>
      </c>
      <c r="K618" s="149">
        <v>100</v>
      </c>
      <c r="L618" s="149">
        <v>100</v>
      </c>
      <c r="M618" s="149">
        <v>100</v>
      </c>
      <c r="N618" s="149">
        <v>100</v>
      </c>
      <c r="O618" s="149">
        <v>100</v>
      </c>
      <c r="P618" s="149">
        <v>97.4</v>
      </c>
      <c r="Q618" s="149">
        <v>90.2</v>
      </c>
      <c r="R618" s="149">
        <v>78.2</v>
      </c>
      <c r="S618" s="138">
        <v>2.6789999999999998</v>
      </c>
      <c r="T618" s="138">
        <v>2.6789999999999998</v>
      </c>
      <c r="U618" s="138">
        <f>[2]级配!F618/S618*E614</f>
        <v>0</v>
      </c>
      <c r="V618" s="138">
        <f>[2]级配!F618/T618*E614</f>
        <v>0</v>
      </c>
      <c r="AA618" s="153"/>
      <c r="AE618" s="137"/>
      <c r="AF618" s="137"/>
    </row>
    <row r="619" spans="1:32">
      <c r="A619" s="276"/>
      <c r="B619" s="276"/>
      <c r="C619" s="159" t="s">
        <v>74</v>
      </c>
      <c r="D619" s="157" t="s">
        <v>136</v>
      </c>
      <c r="E619" s="276">
        <v>0.5</v>
      </c>
      <c r="F619" s="129">
        <v>0.7</v>
      </c>
      <c r="G619" s="149">
        <v>100</v>
      </c>
      <c r="H619" s="149">
        <v>100</v>
      </c>
      <c r="I619" s="134">
        <v>100</v>
      </c>
      <c r="J619" s="134">
        <v>100</v>
      </c>
      <c r="K619" s="134">
        <v>95.271971471292403</v>
      </c>
      <c r="L619" s="134">
        <v>47.303558868326498</v>
      </c>
      <c r="M619" s="134">
        <v>26.624307868140701</v>
      </c>
      <c r="N619" s="134">
        <v>18.480404699556999</v>
      </c>
      <c r="O619" s="134">
        <v>15.153501315455401</v>
      </c>
      <c r="P619" s="134">
        <v>11.9140681619254</v>
      </c>
      <c r="Q619" s="134">
        <v>9.18411906287532</v>
      </c>
      <c r="R619" s="134">
        <v>7.7645283225088901</v>
      </c>
      <c r="S619" s="138">
        <v>2.72</v>
      </c>
      <c r="T619" s="138">
        <v>2.65</v>
      </c>
      <c r="U619" s="138">
        <f>[2]级配!F619/S619*E614</f>
        <v>0.110294117647059</v>
      </c>
      <c r="V619" s="138">
        <f>[2]级配!F619/T619*E614</f>
        <v>0.113207547169811</v>
      </c>
      <c r="AA619" s="153"/>
      <c r="AE619" s="137">
        <v>4.12421711899791</v>
      </c>
      <c r="AF619" s="137"/>
    </row>
    <row r="620" spans="1:32">
      <c r="A620" s="276"/>
      <c r="B620" s="276"/>
      <c r="C620" s="159" t="s">
        <v>76</v>
      </c>
      <c r="D620" s="134" t="s">
        <v>65</v>
      </c>
      <c r="E620" s="276"/>
      <c r="F620" s="129">
        <v>0.3</v>
      </c>
      <c r="G620" s="149">
        <v>100</v>
      </c>
      <c r="H620" s="149">
        <v>100</v>
      </c>
      <c r="I620" s="134">
        <v>100</v>
      </c>
      <c r="J620" s="134">
        <v>100</v>
      </c>
      <c r="K620" s="134">
        <v>100</v>
      </c>
      <c r="L620" s="134">
        <v>99.846564268322695</v>
      </c>
      <c r="M620" s="134">
        <v>93.887234677489801</v>
      </c>
      <c r="N620" s="134">
        <v>68.363897673676107</v>
      </c>
      <c r="O620" s="134">
        <v>50.980040748104798</v>
      </c>
      <c r="P620" s="134">
        <v>33.530336651835</v>
      </c>
      <c r="Q620" s="134">
        <v>22.239253603116399</v>
      </c>
      <c r="R620" s="134">
        <v>18.428441763522802</v>
      </c>
      <c r="S620" s="138">
        <v>2.8519999999999999</v>
      </c>
      <c r="T620" s="138">
        <v>2.7229999999999999</v>
      </c>
      <c r="U620" s="138">
        <f>[2]级配!F620/S620*E614</f>
        <v>7.0126227208976197E-2</v>
      </c>
      <c r="V620" s="138">
        <f>[2]级配!F620/T620*E614</f>
        <v>7.3448402497245699E-2</v>
      </c>
      <c r="AA620" s="153"/>
      <c r="AE620" s="137">
        <v>7.4596614442643698</v>
      </c>
      <c r="AF620" s="137"/>
    </row>
    <row r="621" spans="1:32">
      <c r="A621" s="276"/>
      <c r="B621" s="276"/>
      <c r="C621" s="159" t="s">
        <v>76</v>
      </c>
      <c r="D621" s="134" t="s">
        <v>65</v>
      </c>
      <c r="E621" s="276"/>
      <c r="F621" s="130">
        <v>0</v>
      </c>
      <c r="G621" s="149">
        <v>100</v>
      </c>
      <c r="H621" s="149">
        <v>100</v>
      </c>
      <c r="I621" s="134">
        <v>100</v>
      </c>
      <c r="J621" s="134">
        <v>100</v>
      </c>
      <c r="K621" s="134">
        <v>100</v>
      </c>
      <c r="L621" s="134">
        <v>96.773241575442697</v>
      </c>
      <c r="M621" s="134">
        <v>58.955499795773399</v>
      </c>
      <c r="N621" s="134">
        <v>32.060997642496702</v>
      </c>
      <c r="O621" s="134">
        <v>23.467347478352799</v>
      </c>
      <c r="P621" s="134">
        <v>17.429766402104299</v>
      </c>
      <c r="Q621" s="134">
        <v>13.4674110343355</v>
      </c>
      <c r="R621" s="134">
        <v>11.5498931412078</v>
      </c>
      <c r="S621" s="138">
        <v>2.8290000000000002</v>
      </c>
      <c r="T621" s="138">
        <v>2.7650000000000001</v>
      </c>
      <c r="U621" s="138">
        <f>[2]级配!F621/S621*E619</f>
        <v>0</v>
      </c>
      <c r="V621" s="138">
        <f>[2]级配!F621/T621*E619</f>
        <v>0</v>
      </c>
      <c r="AA621" s="153"/>
      <c r="AE621" s="137"/>
      <c r="AF621" s="137"/>
    </row>
    <row r="622" spans="1:32">
      <c r="A622" s="276"/>
      <c r="B622" s="276"/>
      <c r="C622" s="159" t="s">
        <v>76</v>
      </c>
      <c r="D622" s="168" t="s">
        <v>97</v>
      </c>
      <c r="E622" s="276"/>
      <c r="F622" s="130">
        <v>0</v>
      </c>
      <c r="G622" s="149">
        <v>100</v>
      </c>
      <c r="H622" s="149">
        <v>100</v>
      </c>
      <c r="I622" s="149">
        <v>100</v>
      </c>
      <c r="J622" s="149">
        <v>99.709455890121504</v>
      </c>
      <c r="K622" s="149">
        <v>93.611005421295204</v>
      </c>
      <c r="L622" s="149">
        <v>62.883664943704403</v>
      </c>
      <c r="M622" s="149">
        <v>41.736211500847702</v>
      </c>
      <c r="N622" s="149">
        <v>29.275015875296301</v>
      </c>
      <c r="O622" s="149">
        <v>22.374005580422299</v>
      </c>
      <c r="P622" s="149">
        <v>14.3321095762082</v>
      </c>
      <c r="Q622" s="149">
        <v>9.6170951500159596</v>
      </c>
      <c r="R622" s="149">
        <v>6.5264817525129803</v>
      </c>
      <c r="S622" s="138">
        <v>2.76</v>
      </c>
      <c r="T622" s="138">
        <v>2.7</v>
      </c>
      <c r="U622" s="138">
        <f>[2]级配!F622/S622*E619</f>
        <v>0</v>
      </c>
      <c r="V622" s="138">
        <f>[2]级配!F622/T622*E619</f>
        <v>0</v>
      </c>
      <c r="AA622" s="153"/>
      <c r="AE622" s="137"/>
      <c r="AF622" s="137"/>
    </row>
    <row r="623" spans="1:32" ht="14.4">
      <c r="A623" s="276"/>
      <c r="B623" s="276"/>
      <c r="C623"/>
      <c r="F623" s="129" t="s">
        <v>240</v>
      </c>
      <c r="G623" s="170">
        <f>$E$29*($F$29*G614+$F$30*G615+$F$31*G616+$F$32*G617+$F$33*G618+$F$34*G619+$F$35*G620)+$E$36*($F$36*G621+$F$37*G622)</f>
        <v>100</v>
      </c>
      <c r="H623" s="170">
        <f>E614*(F614*H614+F615*H615+F616*H616+F617*H617+F618*H618)+E619*(F621*H621+F622*H622+F619*H619+F620*H620)</f>
        <v>100</v>
      </c>
      <c r="I623" s="170">
        <f>E614*(F614*I614+F615*I615+F616*I616+F617*I617+F618*I618)+E619*(F621*I621+F622*I622+F619*I619+F620*I620)</f>
        <v>98.659462554785406</v>
      </c>
      <c r="J623" s="170">
        <f>E614*(F614*J614+F615*J615+F616*J616+F617*J617+F618*J618)+E619*(F621*J621+F622*J622+F619*J619+F620*J620)</f>
        <v>94.0392914869539</v>
      </c>
      <c r="K623" s="170">
        <f>E614*(F614*K614+F615*K615+F616*K616+F617*K617+F618*K618)+E619*(F621*K621+F622*K622+F619*K619+F620*K620)</f>
        <v>71.879862485927006</v>
      </c>
      <c r="L623" s="170">
        <f>E614*(F614*L614+F615*L615+F616*L616+F617*L617+F618*L618)+E619*(F621*L621+F622*L622+F619*L619+F620*L620)</f>
        <v>46.297817012257099</v>
      </c>
      <c r="M623" s="170">
        <f>E614*(F614*M614+F615*M615+F616*M616+F617*M617+F618*M618)+E619*(F621*M621+F622*M622+F619*M619+F620*M620)</f>
        <v>27.546798016252399</v>
      </c>
      <c r="N623" s="170">
        <f>E614*(F614*N614+F615*N615+F616*N616+F617*N617+F618*N618)+E619*(F621*N621+F622*N622+F619*N619+F620*N620)</f>
        <v>19.430894526649102</v>
      </c>
      <c r="O623" s="170">
        <f>E614*(F614*O614+F615*O615+F616*O616+F617*O617+F618*O618)+E619*(F621*O621+F622*O622+F619*O619+F620*O620)</f>
        <v>14.7992372602786</v>
      </c>
      <c r="P623" s="170">
        <f>E614*(F614*P614+F615*P615+F616*P616+F617*P617+F618*P618)+E619*(F621*P621+F622*P622+F619*P619+F620*P620)</f>
        <v>10.326192397327899</v>
      </c>
      <c r="Q623" s="170">
        <f>E614*(F614*Q614+F615*Q615+F616*Q616+F617*Q617+F618*Q618)+E619*(F621*Q621+F622*Q622+F619*Q619+F620*Q620)</f>
        <v>7.1371706099764101</v>
      </c>
      <c r="R623" s="170">
        <f>E614*(F614*R614+F615*R615+F616*R616+F617*R617+F618*R618)+E619*(F621*R621+F622*R622+F619*R619+F620*R620)</f>
        <v>5.9015214456513503</v>
      </c>
      <c r="AA623" s="153"/>
      <c r="AE623" s="137"/>
      <c r="AF623" s="137"/>
    </row>
    <row r="624" spans="1:32" ht="14.4">
      <c r="A624" s="276"/>
      <c r="B624" s="276"/>
      <c r="C624"/>
      <c r="F624" s="129" t="s">
        <v>241</v>
      </c>
      <c r="G624" s="149">
        <v>100</v>
      </c>
      <c r="H624" s="149">
        <v>100</v>
      </c>
      <c r="I624" s="129">
        <v>100</v>
      </c>
      <c r="J624" s="129">
        <v>100</v>
      </c>
      <c r="K624" s="129">
        <v>85</v>
      </c>
      <c r="L624" s="129">
        <v>68</v>
      </c>
      <c r="M624" s="129">
        <v>50</v>
      </c>
      <c r="N624" s="129">
        <v>38</v>
      </c>
      <c r="O624" s="129">
        <v>28</v>
      </c>
      <c r="P624" s="129">
        <v>20</v>
      </c>
      <c r="Q624" s="129">
        <v>15</v>
      </c>
      <c r="R624" s="129">
        <v>8</v>
      </c>
      <c r="AA624" s="153"/>
      <c r="AE624" s="137"/>
      <c r="AF624" s="137"/>
    </row>
    <row r="625" spans="1:32" ht="14.4">
      <c r="A625" s="276"/>
      <c r="B625" s="276"/>
      <c r="C625"/>
      <c r="F625" s="129" t="s">
        <v>242</v>
      </c>
      <c r="G625" s="149">
        <f t="shared" ref="G625" si="100">(G624+G626)/2</f>
        <v>100</v>
      </c>
      <c r="H625" s="149">
        <v>100</v>
      </c>
      <c r="I625" s="129">
        <v>100</v>
      </c>
      <c r="J625" s="129">
        <f t="shared" ref="J625:R625" si="101">(J624+J626)/2</f>
        <v>95</v>
      </c>
      <c r="K625" s="129">
        <f t="shared" si="101"/>
        <v>76.5</v>
      </c>
      <c r="L625" s="129">
        <f t="shared" si="101"/>
        <v>53</v>
      </c>
      <c r="M625" s="129">
        <f t="shared" si="101"/>
        <v>37</v>
      </c>
      <c r="N625" s="129">
        <f t="shared" si="101"/>
        <v>26.5</v>
      </c>
      <c r="O625" s="129">
        <f t="shared" si="101"/>
        <v>19</v>
      </c>
      <c r="P625" s="129">
        <f t="shared" si="101"/>
        <v>13.5</v>
      </c>
      <c r="Q625" s="129">
        <f t="shared" si="101"/>
        <v>10</v>
      </c>
      <c r="R625" s="129">
        <f t="shared" si="101"/>
        <v>6</v>
      </c>
      <c r="AA625" s="153"/>
      <c r="AE625" s="137"/>
      <c r="AF625" s="137"/>
    </row>
    <row r="626" spans="1:32" ht="14.4">
      <c r="A626" s="276"/>
      <c r="B626" s="276"/>
      <c r="C626"/>
      <c r="F626" s="129" t="s">
        <v>243</v>
      </c>
      <c r="G626" s="149">
        <v>100</v>
      </c>
      <c r="H626" s="149">
        <v>100</v>
      </c>
      <c r="I626" s="129">
        <v>100</v>
      </c>
      <c r="J626" s="129">
        <v>90</v>
      </c>
      <c r="K626" s="129">
        <v>68</v>
      </c>
      <c r="L626" s="129">
        <v>38</v>
      </c>
      <c r="M626" s="129">
        <v>24</v>
      </c>
      <c r="N626" s="129">
        <v>15</v>
      </c>
      <c r="O626" s="129">
        <v>10</v>
      </c>
      <c r="P626" s="129">
        <v>7</v>
      </c>
      <c r="Q626" s="129">
        <v>5</v>
      </c>
      <c r="R626" s="129">
        <v>4</v>
      </c>
      <c r="AA626" s="153"/>
      <c r="AE626" s="137"/>
      <c r="AF626" s="137"/>
    </row>
    <row r="627" spans="1:32" ht="14.4">
      <c r="A627" s="276" t="s">
        <v>135</v>
      </c>
      <c r="B627" s="276" t="s">
        <v>255</v>
      </c>
      <c r="C627" s="159" t="s">
        <v>61</v>
      </c>
      <c r="D627" s="134" t="s">
        <v>87</v>
      </c>
      <c r="E627" s="275">
        <v>0.4</v>
      </c>
      <c r="F627" s="146">
        <v>0.375</v>
      </c>
      <c r="G627" s="149">
        <v>100</v>
      </c>
      <c r="H627" s="149">
        <v>100</v>
      </c>
      <c r="I627" s="134">
        <v>94.637850219141797</v>
      </c>
      <c r="J627" s="134">
        <v>76.303749798747404</v>
      </c>
      <c r="K627" s="134">
        <v>6.3420145910626102</v>
      </c>
      <c r="L627" s="134">
        <v>0.146091158623463</v>
      </c>
      <c r="M627" s="134">
        <v>0.146091158623463</v>
      </c>
      <c r="N627" s="134">
        <v>0.14808072927188901</v>
      </c>
      <c r="O627" s="134">
        <v>0.146091158623463</v>
      </c>
      <c r="P627" s="134">
        <v>0.146091158623463</v>
      </c>
      <c r="Q627" s="134">
        <v>0.146091158623463</v>
      </c>
      <c r="R627" s="134">
        <v>0.146091158623463</v>
      </c>
      <c r="S627" s="138">
        <v>2.73</v>
      </c>
      <c r="T627" s="138">
        <v>2.6880000000000002</v>
      </c>
      <c r="U627" s="138">
        <f>[2]级配!F627/S627*E627</f>
        <v>4.8351648351648402E-2</v>
      </c>
      <c r="V627" s="138">
        <f>[2]级配!F627/T627*E627</f>
        <v>4.9107142857142898E-2</v>
      </c>
      <c r="W627" s="138">
        <v>2.75</v>
      </c>
      <c r="X627" s="153">
        <v>0.4</v>
      </c>
      <c r="Y627" s="138">
        <f>0.033*X627*X627-0.2936*X627+0.9336</f>
        <v>0.82143999999999995</v>
      </c>
      <c r="Z627" s="138">
        <f>0.033*Y627*Y627-0.2936*Y627+0.9336</f>
        <v>0.71469241722879995</v>
      </c>
      <c r="AA627" s="127">
        <v>2.5470000000000002</v>
      </c>
      <c r="AB627" s="138">
        <v>2.71</v>
      </c>
      <c r="AC627" s="160">
        <v>4.8</v>
      </c>
      <c r="AD627" s="138">
        <f>100*AC627/(100+AC627)</f>
        <v>4.5801526717557302</v>
      </c>
      <c r="AE627" s="137"/>
      <c r="AF627" s="154">
        <f>AC627-E632*F632*AE632-E632*F633*AE633-E632*F634*AE634</f>
        <v>1.6450390862469</v>
      </c>
    </row>
    <row r="628" spans="1:32" ht="14.4">
      <c r="A628" s="276"/>
      <c r="B628" s="276"/>
      <c r="C628" s="159" t="s">
        <v>61</v>
      </c>
      <c r="D628" s="134" t="s">
        <v>116</v>
      </c>
      <c r="E628" s="275"/>
      <c r="F628" s="146">
        <v>0.375</v>
      </c>
      <c r="G628" s="149">
        <v>100</v>
      </c>
      <c r="H628" s="149">
        <v>100</v>
      </c>
      <c r="I628" s="134">
        <v>100</v>
      </c>
      <c r="J628" s="134">
        <v>99.755693581780505</v>
      </c>
      <c r="K628" s="134">
        <v>80.299871170192105</v>
      </c>
      <c r="L628" s="134">
        <v>46.065973770081001</v>
      </c>
      <c r="M628" s="134">
        <v>0.23180728788062099</v>
      </c>
      <c r="N628" s="134">
        <v>0.22766890019646999</v>
      </c>
      <c r="O628" s="134">
        <v>0.22766890019646999</v>
      </c>
      <c r="P628" s="134">
        <v>0.22766890019646999</v>
      </c>
      <c r="Q628" s="134">
        <v>0.22766890019646999</v>
      </c>
      <c r="R628" s="134">
        <v>0.22766890019646999</v>
      </c>
      <c r="S628" s="138">
        <v>2.7080000000000002</v>
      </c>
      <c r="T628" s="138">
        <v>2.681</v>
      </c>
      <c r="U628" s="138">
        <f>[2]级配!F628/S628*E627</f>
        <v>4.8744460856720802E-2</v>
      </c>
      <c r="V628" s="138">
        <f>[2]级配!F628/T628*E627</f>
        <v>4.92353599403208E-2</v>
      </c>
      <c r="W628" s="138"/>
      <c r="X628" s="138"/>
      <c r="Y628" s="151"/>
      <c r="Z628" s="151"/>
      <c r="AA628" s="127"/>
      <c r="AB628" s="138"/>
      <c r="AC628" s="160"/>
      <c r="AD628" s="138"/>
      <c r="AE628" s="137"/>
      <c r="AF628" s="137"/>
    </row>
    <row r="629" spans="1:32" ht="13.8" customHeight="1">
      <c r="A629" s="276"/>
      <c r="B629" s="276"/>
      <c r="C629" s="159" t="s">
        <v>61</v>
      </c>
      <c r="D629" s="134" t="s">
        <v>117</v>
      </c>
      <c r="E629" s="275"/>
      <c r="F629" s="146">
        <v>0.125</v>
      </c>
      <c r="G629" s="149">
        <v>100</v>
      </c>
      <c r="H629" s="149">
        <v>100</v>
      </c>
      <c r="I629" s="134">
        <v>100</v>
      </c>
      <c r="J629" s="134">
        <v>100</v>
      </c>
      <c r="K629" s="134">
        <v>98.083762953604506</v>
      </c>
      <c r="L629" s="134">
        <v>56.827495177978399</v>
      </c>
      <c r="M629" s="134">
        <v>0.55765195882440799</v>
      </c>
      <c r="N629" s="134">
        <v>0.37869315390193498</v>
      </c>
      <c r="O629" s="134">
        <v>0.37869315390193498</v>
      </c>
      <c r="P629" s="134">
        <v>0.37869315390193498</v>
      </c>
      <c r="Q629" s="134">
        <v>0.37869315390193498</v>
      </c>
      <c r="R629" s="134">
        <v>0.37869315390193498</v>
      </c>
      <c r="S629" s="138">
        <v>2.7730000000000001</v>
      </c>
      <c r="T629" s="138">
        <v>2.629</v>
      </c>
      <c r="U629" s="138">
        <f>[2]级配!F629/S629*E627</f>
        <v>3.6062026685899702E-2</v>
      </c>
      <c r="V629" s="138">
        <f>[2]级配!F629/T629*E627</f>
        <v>3.8037276531000398E-2</v>
      </c>
      <c r="AA629" s="127"/>
      <c r="AB629" s="138"/>
      <c r="AC629" s="160"/>
      <c r="AD629" s="138"/>
      <c r="AE629" s="137"/>
      <c r="AF629" s="137"/>
    </row>
    <row r="630" spans="1:32">
      <c r="A630" s="276"/>
      <c r="B630" s="276"/>
      <c r="C630" s="159" t="s">
        <v>82</v>
      </c>
      <c r="D630" s="134" t="s">
        <v>71</v>
      </c>
      <c r="E630" s="275"/>
      <c r="F630" s="146">
        <v>0.125</v>
      </c>
      <c r="G630" s="149">
        <v>100</v>
      </c>
      <c r="H630" s="149">
        <v>100</v>
      </c>
      <c r="I630" s="134">
        <v>100</v>
      </c>
      <c r="J630" s="134">
        <v>100</v>
      </c>
      <c r="K630" s="134">
        <v>100</v>
      </c>
      <c r="L630" s="134">
        <v>99.535863080549802</v>
      </c>
      <c r="M630" s="134">
        <v>80.920571600011101</v>
      </c>
      <c r="N630" s="134">
        <v>52.361261114203501</v>
      </c>
      <c r="O630" s="134">
        <v>35.177958105460696</v>
      </c>
      <c r="P630" s="134">
        <v>20.742205209966201</v>
      </c>
      <c r="Q630" s="134">
        <v>9.9446623024430405</v>
      </c>
      <c r="R630" s="134">
        <v>6.6012497172878204</v>
      </c>
      <c r="S630" s="138">
        <v>2.6789999999999998</v>
      </c>
      <c r="T630" s="138">
        <v>2.6789999999999998</v>
      </c>
      <c r="U630" s="138">
        <f>[2]级配!F630/S630*E627</f>
        <v>1.3437849944008999E-2</v>
      </c>
      <c r="V630" s="138">
        <f>[2]级配!F630/T630*E627</f>
        <v>1.3437849944008999E-2</v>
      </c>
      <c r="AA630" s="153"/>
      <c r="AE630" s="137"/>
      <c r="AF630" s="137"/>
    </row>
    <row r="631" spans="1:32" ht="14.4">
      <c r="A631" s="276"/>
      <c r="B631" s="276"/>
      <c r="C631" s="164" t="s">
        <v>99</v>
      </c>
      <c r="D631" s="168" t="s">
        <v>91</v>
      </c>
      <c r="E631" s="275"/>
      <c r="F631" s="129">
        <v>0</v>
      </c>
      <c r="G631" s="149">
        <v>100</v>
      </c>
      <c r="H631" s="149">
        <v>100</v>
      </c>
      <c r="I631" s="149">
        <v>100</v>
      </c>
      <c r="J631" s="149">
        <v>100</v>
      </c>
      <c r="K631" s="149">
        <v>100</v>
      </c>
      <c r="L631" s="149">
        <v>100</v>
      </c>
      <c r="M631" s="149">
        <v>100</v>
      </c>
      <c r="N631" s="149">
        <v>100</v>
      </c>
      <c r="O631" s="149">
        <v>100</v>
      </c>
      <c r="P631" s="149">
        <v>97.4</v>
      </c>
      <c r="Q631" s="149">
        <v>90.2</v>
      </c>
      <c r="R631" s="149">
        <v>78.2</v>
      </c>
      <c r="S631" s="138">
        <v>2.6789999999999998</v>
      </c>
      <c r="T631" s="138">
        <v>2.6789999999999998</v>
      </c>
      <c r="U631" s="138">
        <f>[2]级配!F631/S631*E627</f>
        <v>0</v>
      </c>
      <c r="V631" s="138">
        <f>[2]级配!F631/T631*E627</f>
        <v>0</v>
      </c>
      <c r="AA631" s="153"/>
      <c r="AE631" s="137"/>
      <c r="AF631" s="137"/>
    </row>
    <row r="632" spans="1:32">
      <c r="A632" s="276"/>
      <c r="B632" s="276"/>
      <c r="C632" s="159" t="s">
        <v>74</v>
      </c>
      <c r="D632" s="157" t="s">
        <v>136</v>
      </c>
      <c r="E632" s="276">
        <v>0.6</v>
      </c>
      <c r="F632" s="129">
        <v>0.66</v>
      </c>
      <c r="G632" s="149">
        <v>100</v>
      </c>
      <c r="H632" s="149">
        <v>100</v>
      </c>
      <c r="I632" s="134">
        <v>100</v>
      </c>
      <c r="J632" s="134">
        <v>100</v>
      </c>
      <c r="K632" s="134">
        <v>95.271971471292403</v>
      </c>
      <c r="L632" s="134">
        <v>47.303558868326498</v>
      </c>
      <c r="M632" s="134">
        <v>26.624307868140701</v>
      </c>
      <c r="N632" s="134">
        <v>18.480404699556999</v>
      </c>
      <c r="O632" s="134">
        <v>15.153501315455401</v>
      </c>
      <c r="P632" s="134">
        <v>11.9140681619254</v>
      </c>
      <c r="Q632" s="134">
        <v>9.18411906287532</v>
      </c>
      <c r="R632" s="134">
        <v>7.7645283225088901</v>
      </c>
      <c r="S632" s="138">
        <v>2.72</v>
      </c>
      <c r="T632" s="138">
        <v>2.65</v>
      </c>
      <c r="U632" s="138">
        <f>[2]级配!F632/S632*E627</f>
        <v>0.14705882352941199</v>
      </c>
      <c r="V632" s="138">
        <f>[2]级配!F632/T632*E627</f>
        <v>0.15094339622641501</v>
      </c>
      <c r="AA632" s="153"/>
      <c r="AE632" s="137">
        <v>4.12421711899791</v>
      </c>
      <c r="AF632" s="137"/>
    </row>
    <row r="633" spans="1:32">
      <c r="A633" s="276"/>
      <c r="B633" s="276"/>
      <c r="C633" s="159" t="s">
        <v>74</v>
      </c>
      <c r="D633" s="134" t="s">
        <v>65</v>
      </c>
      <c r="E633" s="276"/>
      <c r="F633" s="129">
        <v>0.34</v>
      </c>
      <c r="G633" s="149">
        <v>100</v>
      </c>
      <c r="H633" s="149">
        <v>100</v>
      </c>
      <c r="I633" s="134">
        <v>100</v>
      </c>
      <c r="J633" s="134">
        <v>100</v>
      </c>
      <c r="K633" s="134">
        <v>100</v>
      </c>
      <c r="L633" s="134">
        <v>99.846564268322695</v>
      </c>
      <c r="M633" s="134">
        <v>93.887234677489801</v>
      </c>
      <c r="N633" s="134">
        <v>68.363897673676107</v>
      </c>
      <c r="O633" s="134">
        <v>50.980040748104798</v>
      </c>
      <c r="P633" s="134">
        <v>33.530336651835</v>
      </c>
      <c r="Q633" s="134">
        <v>22.239253603116399</v>
      </c>
      <c r="R633" s="134">
        <v>18.428441763522802</v>
      </c>
      <c r="S633" s="138">
        <v>2.8519999999999999</v>
      </c>
      <c r="T633" s="138">
        <v>2.7229999999999999</v>
      </c>
      <c r="U633" s="138">
        <f>[2]级配!F633/S633*E627</f>
        <v>0</v>
      </c>
      <c r="V633" s="138">
        <f>[2]级配!F633/T633*E627</f>
        <v>0</v>
      </c>
      <c r="AA633" s="153"/>
      <c r="AE633" s="137">
        <v>7.4596614442643698</v>
      </c>
      <c r="AF633" s="137"/>
    </row>
    <row r="634" spans="1:32">
      <c r="A634" s="276"/>
      <c r="B634" s="276"/>
      <c r="C634" s="159" t="s">
        <v>76</v>
      </c>
      <c r="D634" s="134" t="s">
        <v>65</v>
      </c>
      <c r="E634" s="276"/>
      <c r="F634" s="130">
        <v>0</v>
      </c>
      <c r="G634" s="149">
        <v>100</v>
      </c>
      <c r="H634" s="149">
        <v>100</v>
      </c>
      <c r="I634" s="134">
        <v>100</v>
      </c>
      <c r="J634" s="134">
        <v>100</v>
      </c>
      <c r="K634" s="134">
        <v>100</v>
      </c>
      <c r="L634" s="134">
        <v>96.773241575442697</v>
      </c>
      <c r="M634" s="134">
        <v>58.955499795773399</v>
      </c>
      <c r="N634" s="134">
        <v>32.060997642496702</v>
      </c>
      <c r="O634" s="134">
        <v>23.467347478352799</v>
      </c>
      <c r="P634" s="134">
        <v>17.429766402104299</v>
      </c>
      <c r="Q634" s="134">
        <v>13.4674110343355</v>
      </c>
      <c r="R634" s="134">
        <v>11.5498931412078</v>
      </c>
      <c r="S634" s="138">
        <v>2.8290000000000002</v>
      </c>
      <c r="T634" s="138">
        <v>2.7650000000000001</v>
      </c>
      <c r="U634" s="138">
        <f>[2]级配!F634/S634*E632</f>
        <v>0</v>
      </c>
      <c r="V634" s="138">
        <f>[2]级配!F634/T634*E632</f>
        <v>0</v>
      </c>
      <c r="AA634" s="153"/>
      <c r="AE634" s="137"/>
      <c r="AF634" s="137"/>
    </row>
    <row r="635" spans="1:32">
      <c r="A635" s="276"/>
      <c r="B635" s="276"/>
      <c r="C635" s="159" t="s">
        <v>76</v>
      </c>
      <c r="D635" s="168" t="s">
        <v>97</v>
      </c>
      <c r="E635" s="276"/>
      <c r="F635" s="130">
        <v>0</v>
      </c>
      <c r="G635" s="149">
        <v>100</v>
      </c>
      <c r="H635" s="149">
        <v>100</v>
      </c>
      <c r="I635" s="149">
        <v>100</v>
      </c>
      <c r="J635" s="149">
        <v>99.709455890121504</v>
      </c>
      <c r="K635" s="149">
        <v>93.611005421295204</v>
      </c>
      <c r="L635" s="149">
        <v>62.883664943704403</v>
      </c>
      <c r="M635" s="149">
        <v>41.736211500847702</v>
      </c>
      <c r="N635" s="149">
        <v>29.275015875296301</v>
      </c>
      <c r="O635" s="149">
        <v>22.374005580422299</v>
      </c>
      <c r="P635" s="149">
        <v>14.3321095762082</v>
      </c>
      <c r="Q635" s="149">
        <v>9.6170951500159596</v>
      </c>
      <c r="R635" s="149">
        <v>6.5264817525129803</v>
      </c>
      <c r="S635" s="138">
        <v>2.76</v>
      </c>
      <c r="T635" s="138">
        <v>2.7</v>
      </c>
      <c r="U635" s="138">
        <f>[2]级配!F635/S635*E632</f>
        <v>0</v>
      </c>
      <c r="V635" s="138">
        <f>[2]级配!F635/T635*E632</f>
        <v>0</v>
      </c>
      <c r="AA635" s="153"/>
      <c r="AE635" s="137"/>
      <c r="AF635" s="137"/>
    </row>
    <row r="636" spans="1:32" ht="14.4">
      <c r="A636" s="276"/>
      <c r="B636" s="276"/>
      <c r="C636"/>
      <c r="F636" s="129" t="s">
        <v>240</v>
      </c>
      <c r="G636" s="170">
        <f>$E$29*($F$29*G627+$F$30*G628+$F$31*G629+$F$32*G630+$F$33*G631+$F$34*G632+$F$35*G633)+$E$36*($F$36*G634+$F$37*G635)</f>
        <v>100</v>
      </c>
      <c r="H636" s="170">
        <f>E627*(F627*H627+F628*H628+F629*H629+F630*H630+F631*H631)+E632*(F634*H634+F635*H635+F632*H632+F633*H633)</f>
        <v>100</v>
      </c>
      <c r="I636" s="170">
        <f>E627*(F627*I627+F628*I628+F629*I629+F630*I630+F631*I631)+E632*(F634*I634+F635*I635+F632*I632+F633*I633)</f>
        <v>99.195677532871301</v>
      </c>
      <c r="J636" s="170">
        <f>E627*(F627*J627+F628*J628+F629*J629+F630*J630+F631*J631)+E632*(F634*J634+F635*J635+F632*J632+F633*J633)</f>
        <v>96.408916507079198</v>
      </c>
      <c r="K636" s="170">
        <f>E627*(F627*K627+F628*K628+F629*K629+F630*K630+F631*K631)+E632*(F634*K634+F635*K635+F632*K632+F633*K633)</f>
        <v>81.028171714500203</v>
      </c>
      <c r="L636" s="170">
        <f>E627*(F627*L627+F628*L628+F629*L629+F630*L630+F631*L631)+E632*(F634*L634+F635*L635+F632*L632+F633*L633)</f>
        <v>53.850886074827201</v>
      </c>
      <c r="M636" s="170">
        <f>E627*(F627*M627+F628*M628+F629*M629+F630*M630+F631*M631)+E632*(F634*M634+F635*M635+F632*M632+F633*M633)</f>
        <v>33.826817734909</v>
      </c>
      <c r="N636" s="170">
        <f>E627*(F627*N627+F628*N628+F629*N629+F630*N630+F631*N631)+E632*(F634*N634+F635*N635+F632*N632+F633*N633)</f>
        <v>23.957835544280002</v>
      </c>
      <c r="O636" s="170">
        <f>E627*(F627*O627+F628*O628+F629*O629+F630*O630+F631*O631)+E632*(F634*O634+F635*O635+F632*O632+F633*O633)</f>
        <v>18.234611405324799</v>
      </c>
      <c r="P636" s="170">
        <f>E627*(F627*P627+F628*P628+F629*P629+F630*P630+F631*P631)+E632*(F634*P634+F635*P635+F632*P632+F633*P633)</f>
        <v>12.6702685961132</v>
      </c>
      <c r="Q636" s="170">
        <f>E627*(F627*Q627+F628*Q628+F629*Q629+F630*Q630+F631*Q631)+E632*(F634*Q634+F635*Q635+F632*Q632+F633*Q633)</f>
        <v>8.7459506655746093</v>
      </c>
      <c r="R636" s="170">
        <f>E627*(F627*R627+F628*R628+F629*R629+F630*R630+F631*R631)+E632*(F634*R634+F635*R635+F632*R632+F633*R633)</f>
        <v>7.2392164878546499</v>
      </c>
      <c r="AA636" s="153"/>
      <c r="AE636" s="137"/>
      <c r="AF636" s="137"/>
    </row>
    <row r="637" spans="1:32" ht="14.4">
      <c r="A637" s="276"/>
      <c r="B637" s="276"/>
      <c r="C637"/>
      <c r="F637" s="129" t="s">
        <v>241</v>
      </c>
      <c r="G637" s="149">
        <v>100</v>
      </c>
      <c r="H637" s="149">
        <v>100</v>
      </c>
      <c r="I637" s="129">
        <v>100</v>
      </c>
      <c r="J637" s="129">
        <v>100</v>
      </c>
      <c r="K637" s="129">
        <v>85</v>
      </c>
      <c r="L637" s="129">
        <v>68</v>
      </c>
      <c r="M637" s="129">
        <v>50</v>
      </c>
      <c r="N637" s="129">
        <v>38</v>
      </c>
      <c r="O637" s="129">
        <v>28</v>
      </c>
      <c r="P637" s="129">
        <v>20</v>
      </c>
      <c r="Q637" s="129">
        <v>15</v>
      </c>
      <c r="R637" s="129">
        <v>8</v>
      </c>
      <c r="AA637" s="153"/>
      <c r="AE637" s="137"/>
      <c r="AF637" s="137"/>
    </row>
    <row r="638" spans="1:32" ht="14.4">
      <c r="A638" s="276"/>
      <c r="B638" s="276"/>
      <c r="C638"/>
      <c r="F638" s="129" t="s">
        <v>242</v>
      </c>
      <c r="G638" s="149">
        <f t="shared" ref="G638" si="102">(G637+G639)/2</f>
        <v>100</v>
      </c>
      <c r="H638" s="149">
        <v>100</v>
      </c>
      <c r="I638" s="129">
        <v>100</v>
      </c>
      <c r="J638" s="129">
        <f t="shared" ref="J638:R638" si="103">(J637+J639)/2</f>
        <v>95</v>
      </c>
      <c r="K638" s="129">
        <f t="shared" si="103"/>
        <v>76.5</v>
      </c>
      <c r="L638" s="129">
        <f t="shared" si="103"/>
        <v>53</v>
      </c>
      <c r="M638" s="129">
        <f t="shared" si="103"/>
        <v>37</v>
      </c>
      <c r="N638" s="129">
        <f t="shared" si="103"/>
        <v>26.5</v>
      </c>
      <c r="O638" s="129">
        <f t="shared" si="103"/>
        <v>19</v>
      </c>
      <c r="P638" s="129">
        <f t="shared" si="103"/>
        <v>13.5</v>
      </c>
      <c r="Q638" s="129">
        <f t="shared" si="103"/>
        <v>10</v>
      </c>
      <c r="R638" s="129">
        <f t="shared" si="103"/>
        <v>6</v>
      </c>
      <c r="AA638" s="153"/>
      <c r="AE638" s="137"/>
      <c r="AF638" s="137"/>
    </row>
    <row r="639" spans="1:32" ht="14.4">
      <c r="A639" s="276"/>
      <c r="B639" s="276"/>
      <c r="C639"/>
      <c r="F639" s="129" t="s">
        <v>243</v>
      </c>
      <c r="G639" s="149">
        <v>100</v>
      </c>
      <c r="H639" s="149">
        <v>100</v>
      </c>
      <c r="I639" s="129">
        <v>100</v>
      </c>
      <c r="J639" s="129">
        <v>90</v>
      </c>
      <c r="K639" s="129">
        <v>68</v>
      </c>
      <c r="L639" s="129">
        <v>38</v>
      </c>
      <c r="M639" s="129">
        <v>24</v>
      </c>
      <c r="N639" s="129">
        <v>15</v>
      </c>
      <c r="O639" s="129">
        <v>10</v>
      </c>
      <c r="P639" s="129">
        <v>7</v>
      </c>
      <c r="Q639" s="129">
        <v>5</v>
      </c>
      <c r="R639" s="129">
        <v>4</v>
      </c>
      <c r="AA639" s="153"/>
      <c r="AE639" s="137"/>
      <c r="AF639" s="137"/>
    </row>
    <row r="640" spans="1:32" ht="14.4">
      <c r="A640" s="276" t="s">
        <v>135</v>
      </c>
      <c r="B640" s="276" t="s">
        <v>257</v>
      </c>
      <c r="C640" s="159" t="s">
        <v>61</v>
      </c>
      <c r="D640" s="134" t="s">
        <v>87</v>
      </c>
      <c r="E640" s="275">
        <v>0.3</v>
      </c>
      <c r="F640" s="146">
        <v>0.5</v>
      </c>
      <c r="G640" s="149">
        <v>100</v>
      </c>
      <c r="H640" s="149">
        <v>100</v>
      </c>
      <c r="I640" s="134">
        <v>94.637850219141797</v>
      </c>
      <c r="J640" s="134">
        <v>76.303749798747404</v>
      </c>
      <c r="K640" s="134">
        <v>6.3420145910626102</v>
      </c>
      <c r="L640" s="134">
        <v>0.146091158623463</v>
      </c>
      <c r="M640" s="134">
        <v>0.146091158623463</v>
      </c>
      <c r="N640" s="134">
        <v>0.14808072927188901</v>
      </c>
      <c r="O640" s="134">
        <v>0.146091158623463</v>
      </c>
      <c r="P640" s="134">
        <v>0.146091158623463</v>
      </c>
      <c r="Q640" s="134">
        <v>0.146091158623463</v>
      </c>
      <c r="R640" s="134">
        <v>0.146091158623463</v>
      </c>
      <c r="S640" s="138">
        <v>2.73</v>
      </c>
      <c r="T640" s="138">
        <v>2.6880000000000002</v>
      </c>
      <c r="U640" s="138">
        <f>[2]级配!F640/S640*E640</f>
        <v>2.74725274725275E-2</v>
      </c>
      <c r="V640" s="138">
        <f>[2]级配!F640/T640*E640</f>
        <v>2.7901785714285698E-2</v>
      </c>
      <c r="W640" s="138">
        <v>2.71</v>
      </c>
      <c r="X640" s="153">
        <v>0.4</v>
      </c>
      <c r="Y640" s="138">
        <f>0.033*X640*X640-0.2936*X640+0.9336</f>
        <v>0.82143999999999995</v>
      </c>
      <c r="Z640" s="138">
        <f>0.033*Y640*Y640-0.2936*Y640+0.9336</f>
        <v>0.71469241722879995</v>
      </c>
      <c r="AA640" s="127">
        <v>2.5409999999999999</v>
      </c>
      <c r="AB640" s="138">
        <v>2.66</v>
      </c>
      <c r="AC640" s="160">
        <v>4.8</v>
      </c>
      <c r="AD640" s="138">
        <f>100*AC640/(100+AC640)</f>
        <v>4.5801526717557302</v>
      </c>
      <c r="AE640" s="137"/>
      <c r="AF640" s="154">
        <f>AC640-E645*F645*AE645-E645*F646*AE646-E645*F647*AE647</f>
        <v>1.2359528186723701</v>
      </c>
    </row>
    <row r="641" spans="1:32" ht="14.4">
      <c r="A641" s="276"/>
      <c r="B641" s="276"/>
      <c r="C641" s="159" t="s">
        <v>61</v>
      </c>
      <c r="D641" s="134" t="s">
        <v>116</v>
      </c>
      <c r="E641" s="275"/>
      <c r="F641" s="146">
        <v>0.17</v>
      </c>
      <c r="G641" s="149">
        <v>100</v>
      </c>
      <c r="H641" s="149">
        <v>100</v>
      </c>
      <c r="I641" s="134">
        <v>100</v>
      </c>
      <c r="J641" s="134">
        <v>99.755693581780505</v>
      </c>
      <c r="K641" s="134">
        <v>80.299871170192105</v>
      </c>
      <c r="L641" s="134">
        <v>46.065973770081001</v>
      </c>
      <c r="M641" s="134">
        <v>0.23180728788062099</v>
      </c>
      <c r="N641" s="134">
        <v>0.22766890019646999</v>
      </c>
      <c r="O641" s="134">
        <v>0.22766890019646999</v>
      </c>
      <c r="P641" s="134">
        <v>0.22766890019646999</v>
      </c>
      <c r="Q641" s="134">
        <v>0.22766890019646999</v>
      </c>
      <c r="R641" s="134">
        <v>0.22766890019646999</v>
      </c>
      <c r="S641" s="138">
        <v>2.7080000000000002</v>
      </c>
      <c r="T641" s="138">
        <v>2.681</v>
      </c>
      <c r="U641" s="138">
        <f>[2]级配!F641/S641*E640</f>
        <v>3.6558345642540603E-2</v>
      </c>
      <c r="V641" s="138">
        <f>[2]级配!F641/T641*E640</f>
        <v>3.69265199552406E-2</v>
      </c>
      <c r="W641" s="138"/>
      <c r="X641" s="138"/>
      <c r="Y641" s="151"/>
      <c r="Z641" s="151"/>
      <c r="AA641" s="127"/>
      <c r="AB641" s="138"/>
      <c r="AC641" s="160"/>
      <c r="AD641" s="138"/>
      <c r="AE641" s="137"/>
      <c r="AF641" s="137"/>
    </row>
    <row r="642" spans="1:32" ht="13.8" customHeight="1">
      <c r="A642" s="276"/>
      <c r="B642" s="276"/>
      <c r="C642" s="159" t="s">
        <v>61</v>
      </c>
      <c r="D642" s="134" t="s">
        <v>117</v>
      </c>
      <c r="E642" s="275"/>
      <c r="F642" s="146">
        <v>0.23</v>
      </c>
      <c r="G642" s="149">
        <v>100</v>
      </c>
      <c r="H642" s="149">
        <v>100</v>
      </c>
      <c r="I642" s="134">
        <v>100</v>
      </c>
      <c r="J642" s="134">
        <v>100</v>
      </c>
      <c r="K642" s="134">
        <v>98.083762953604506</v>
      </c>
      <c r="L642" s="134">
        <v>56.827495177978399</v>
      </c>
      <c r="M642" s="134">
        <v>0.55765195882440799</v>
      </c>
      <c r="N642" s="134">
        <v>0.37869315390193498</v>
      </c>
      <c r="O642" s="134">
        <v>0.37869315390193498</v>
      </c>
      <c r="P642" s="134">
        <v>0.37869315390193498</v>
      </c>
      <c r="Q642" s="134">
        <v>0.37869315390193498</v>
      </c>
      <c r="R642" s="134">
        <v>0.37869315390193498</v>
      </c>
      <c r="S642" s="138">
        <v>2.7730000000000001</v>
      </c>
      <c r="T642" s="138">
        <v>2.629</v>
      </c>
      <c r="U642" s="138">
        <f>[2]级配!F642/S642*E640</f>
        <v>2.7046520014424799E-2</v>
      </c>
      <c r="V642" s="138">
        <f>[2]级配!F642/T642*E640</f>
        <v>2.85279573982503E-2</v>
      </c>
      <c r="AA642" s="127"/>
      <c r="AB642" s="138"/>
      <c r="AC642" s="160"/>
      <c r="AD642" s="138"/>
      <c r="AE642" s="137"/>
      <c r="AF642" s="137"/>
    </row>
    <row r="643" spans="1:32">
      <c r="A643" s="276"/>
      <c r="B643" s="276"/>
      <c r="C643" s="159" t="s">
        <v>82</v>
      </c>
      <c r="D643" s="134" t="s">
        <v>71</v>
      </c>
      <c r="E643" s="275"/>
      <c r="F643" s="146">
        <v>0.1</v>
      </c>
      <c r="G643" s="149">
        <v>100</v>
      </c>
      <c r="H643" s="149">
        <v>100</v>
      </c>
      <c r="I643" s="134">
        <v>100</v>
      </c>
      <c r="J643" s="134">
        <v>100</v>
      </c>
      <c r="K643" s="134">
        <v>100</v>
      </c>
      <c r="L643" s="134">
        <v>99.535863080549802</v>
      </c>
      <c r="M643" s="134">
        <v>80.920571600011101</v>
      </c>
      <c r="N643" s="134">
        <v>52.361261114203501</v>
      </c>
      <c r="O643" s="134">
        <v>35.177958105460696</v>
      </c>
      <c r="P643" s="134">
        <v>20.742205209966201</v>
      </c>
      <c r="Q643" s="134">
        <v>9.9446623024430405</v>
      </c>
      <c r="R643" s="134">
        <v>6.6012497172878204</v>
      </c>
      <c r="S643" s="138">
        <v>2.6789999999999998</v>
      </c>
      <c r="T643" s="138">
        <v>2.6789999999999998</v>
      </c>
      <c r="U643" s="138">
        <f>[2]级配!F643/S643*E640</f>
        <v>1.5677491601343799E-2</v>
      </c>
      <c r="V643" s="138">
        <f>[2]级配!F643/T643*E640</f>
        <v>1.5677491601343799E-2</v>
      </c>
      <c r="AA643" s="153"/>
      <c r="AE643" s="137"/>
      <c r="AF643" s="137"/>
    </row>
    <row r="644" spans="1:32" ht="14.4">
      <c r="A644" s="276"/>
      <c r="B644" s="276"/>
      <c r="C644" s="164" t="s">
        <v>99</v>
      </c>
      <c r="D644" s="168" t="s">
        <v>91</v>
      </c>
      <c r="E644" s="275"/>
      <c r="F644" s="129">
        <v>0</v>
      </c>
      <c r="G644" s="149">
        <v>100</v>
      </c>
      <c r="H644" s="149">
        <v>100</v>
      </c>
      <c r="I644" s="149">
        <v>100</v>
      </c>
      <c r="J644" s="149">
        <v>100</v>
      </c>
      <c r="K644" s="149">
        <v>100</v>
      </c>
      <c r="L644" s="149">
        <v>100</v>
      </c>
      <c r="M644" s="149">
        <v>100</v>
      </c>
      <c r="N644" s="149">
        <v>100</v>
      </c>
      <c r="O644" s="149">
        <v>100</v>
      </c>
      <c r="P644" s="149">
        <v>97.4</v>
      </c>
      <c r="Q644" s="149">
        <v>90.2</v>
      </c>
      <c r="R644" s="149">
        <v>78.2</v>
      </c>
      <c r="S644" s="138">
        <v>2.6789999999999998</v>
      </c>
      <c r="T644" s="138">
        <v>2.6789999999999998</v>
      </c>
      <c r="U644" s="138">
        <f>[2]级配!F644/S644*E640</f>
        <v>3.3594624860022399E-3</v>
      </c>
      <c r="V644" s="138">
        <f>[2]级配!F644/T644*E640</f>
        <v>3.3594624860022399E-3</v>
      </c>
      <c r="AA644" s="153"/>
      <c r="AE644" s="137"/>
      <c r="AF644" s="137"/>
    </row>
    <row r="645" spans="1:32">
      <c r="A645" s="276"/>
      <c r="B645" s="276"/>
      <c r="C645" s="159" t="s">
        <v>74</v>
      </c>
      <c r="D645" s="157" t="s">
        <v>136</v>
      </c>
      <c r="E645" s="276">
        <v>0.7</v>
      </c>
      <c r="F645" s="129">
        <v>0.71</v>
      </c>
      <c r="G645" s="149">
        <v>100</v>
      </c>
      <c r="H645" s="149">
        <v>100</v>
      </c>
      <c r="I645" s="134">
        <v>100</v>
      </c>
      <c r="J645" s="134">
        <v>100</v>
      </c>
      <c r="K645" s="134">
        <v>95.271971471292403</v>
      </c>
      <c r="L645" s="134">
        <v>47.303558868326498</v>
      </c>
      <c r="M645" s="134">
        <v>26.624307868140701</v>
      </c>
      <c r="N645" s="134">
        <v>18.480404699556999</v>
      </c>
      <c r="O645" s="134">
        <v>15.153501315455401</v>
      </c>
      <c r="P645" s="134">
        <v>11.9140681619254</v>
      </c>
      <c r="Q645" s="134">
        <v>9.18411906287532</v>
      </c>
      <c r="R645" s="134">
        <v>7.7645283225088901</v>
      </c>
      <c r="S645" s="138">
        <v>2.72</v>
      </c>
      <c r="T645" s="138">
        <v>2.65</v>
      </c>
      <c r="U645" s="138">
        <f>[2]级配!F645/S645*E640</f>
        <v>0.110294117647059</v>
      </c>
      <c r="V645" s="138">
        <f>[2]级配!F645/T645*E640</f>
        <v>0.113207547169811</v>
      </c>
      <c r="AA645" s="153"/>
      <c r="AE645" s="137">
        <v>4.12421711899791</v>
      </c>
      <c r="AF645" s="137"/>
    </row>
    <row r="646" spans="1:32">
      <c r="A646" s="276"/>
      <c r="B646" s="276"/>
      <c r="C646" s="159" t="s">
        <v>74</v>
      </c>
      <c r="D646" s="134" t="s">
        <v>65</v>
      </c>
      <c r="E646" s="276"/>
      <c r="F646" s="129">
        <v>0.28999999999999998</v>
      </c>
      <c r="G646" s="149">
        <v>100</v>
      </c>
      <c r="H646" s="149">
        <v>100</v>
      </c>
      <c r="I646" s="134">
        <v>100</v>
      </c>
      <c r="J646" s="134">
        <v>100</v>
      </c>
      <c r="K646" s="134">
        <v>100</v>
      </c>
      <c r="L646" s="134">
        <v>99.846564268322695</v>
      </c>
      <c r="M646" s="134">
        <v>93.887234677489801</v>
      </c>
      <c r="N646" s="134">
        <v>68.363897673676107</v>
      </c>
      <c r="O646" s="134">
        <v>50.980040748104798</v>
      </c>
      <c r="P646" s="134">
        <v>33.530336651835</v>
      </c>
      <c r="Q646" s="134">
        <v>22.239253603116399</v>
      </c>
      <c r="R646" s="134">
        <v>18.428441763522802</v>
      </c>
      <c r="S646" s="138">
        <v>2.8519999999999999</v>
      </c>
      <c r="T646" s="138">
        <v>2.7229999999999999</v>
      </c>
      <c r="U646" s="138">
        <f>[2]级配!F646/S646*E640</f>
        <v>0</v>
      </c>
      <c r="V646" s="138">
        <f>[2]级配!F646/T646*E640</f>
        <v>0</v>
      </c>
      <c r="AA646" s="153"/>
      <c r="AE646" s="137">
        <v>7.4596614442643698</v>
      </c>
      <c r="AF646" s="137"/>
    </row>
    <row r="647" spans="1:32">
      <c r="A647" s="276"/>
      <c r="B647" s="276"/>
      <c r="C647" s="159" t="s">
        <v>76</v>
      </c>
      <c r="D647" s="134" t="s">
        <v>65</v>
      </c>
      <c r="E647" s="276"/>
      <c r="F647" s="130">
        <v>0</v>
      </c>
      <c r="G647" s="149">
        <v>100</v>
      </c>
      <c r="H647" s="149">
        <v>100</v>
      </c>
      <c r="I647" s="134">
        <v>100</v>
      </c>
      <c r="J647" s="134">
        <v>100</v>
      </c>
      <c r="K647" s="134">
        <v>100</v>
      </c>
      <c r="L647" s="134">
        <v>96.773241575442697</v>
      </c>
      <c r="M647" s="134">
        <v>58.955499795773399</v>
      </c>
      <c r="N647" s="134">
        <v>32.060997642496702</v>
      </c>
      <c r="O647" s="134">
        <v>23.467347478352799</v>
      </c>
      <c r="P647" s="134">
        <v>17.429766402104299</v>
      </c>
      <c r="Q647" s="134">
        <v>13.4674110343355</v>
      </c>
      <c r="R647" s="134">
        <v>11.5498931412078</v>
      </c>
      <c r="S647" s="138">
        <v>2.8290000000000002</v>
      </c>
      <c r="T647" s="138">
        <v>2.7650000000000001</v>
      </c>
      <c r="U647" s="138">
        <f>[2]级配!F647/S647*E645</f>
        <v>0</v>
      </c>
      <c r="V647" s="138">
        <f>[2]级配!F647/T647*E645</f>
        <v>0</v>
      </c>
      <c r="AA647" s="153"/>
      <c r="AE647" s="137"/>
      <c r="AF647" s="137"/>
    </row>
    <row r="648" spans="1:32">
      <c r="A648" s="276"/>
      <c r="B648" s="276"/>
      <c r="C648" s="159" t="s">
        <v>76</v>
      </c>
      <c r="D648" s="168" t="s">
        <v>97</v>
      </c>
      <c r="E648" s="276"/>
      <c r="F648" s="130">
        <v>0</v>
      </c>
      <c r="G648" s="149">
        <v>100</v>
      </c>
      <c r="H648" s="149">
        <v>100</v>
      </c>
      <c r="I648" s="149">
        <v>100</v>
      </c>
      <c r="J648" s="149">
        <v>99.709455890121504</v>
      </c>
      <c r="K648" s="149">
        <v>93.611005421295204</v>
      </c>
      <c r="L648" s="149">
        <v>62.883664943704403</v>
      </c>
      <c r="M648" s="149">
        <v>41.736211500847702</v>
      </c>
      <c r="N648" s="149">
        <v>29.275015875296301</v>
      </c>
      <c r="O648" s="149">
        <v>22.374005580422299</v>
      </c>
      <c r="P648" s="149">
        <v>14.3321095762082</v>
      </c>
      <c r="Q648" s="149">
        <v>9.6170951500159596</v>
      </c>
      <c r="R648" s="149">
        <v>6.5264817525129803</v>
      </c>
      <c r="S648" s="138">
        <v>2.76</v>
      </c>
      <c r="T648" s="138">
        <v>2.7</v>
      </c>
      <c r="U648" s="138">
        <f>[2]级配!F648/S648*E645</f>
        <v>0</v>
      </c>
      <c r="V648" s="138">
        <f>[2]级配!F648/T648*E645</f>
        <v>0</v>
      </c>
      <c r="AA648" s="153"/>
      <c r="AE648" s="137"/>
      <c r="AF648" s="137"/>
    </row>
    <row r="649" spans="1:32" ht="14.4">
      <c r="A649" s="276"/>
      <c r="B649" s="276"/>
      <c r="C649"/>
      <c r="F649" s="129" t="s">
        <v>240</v>
      </c>
      <c r="G649" s="170">
        <f>$E$29*($F$29*G640+$F$30*G641+$F$31*G642+$F$32*G643+$F$33*G644+$F$34*G645+$F$35*G646)+$E$36*($F$36*G647+$F$37*G648)</f>
        <v>100</v>
      </c>
      <c r="H649" s="170">
        <f>E640*(F640*H640+F641*H641+F642*H642+F643*H643+F644*H644)+E645*(F647*H647+F648*H648+F645*H645+F646*H646)</f>
        <v>100</v>
      </c>
      <c r="I649" s="170">
        <f>E640*(F640*I640+F641*I641+F642*I642+F643*I643+F644*I644)+E645*(F647*I647+F648*I648+F645*I645+F646*I646)</f>
        <v>99.195677532871301</v>
      </c>
      <c r="J649" s="170">
        <f>E640*(F640*J640+F641*J641+F642*J642+F643*J643+F644*J644)+E645*(F647*J647+F648*J648+F645*J645+F646*J646)</f>
        <v>96.433102842482896</v>
      </c>
      <c r="K649" s="170">
        <f>E640*(F640*K640+F641*K641+F642*K642+F643*K643+F644*K644)+E645*(F647*K647+F648*K648+F645*K645+F646*K646)</f>
        <v>82.464545083370197</v>
      </c>
      <c r="L649" s="170">
        <f>E640*(F640*L640+F641*L641+F642*L642+F643*L643+F644*L644)+E645*(F647*L647+F648*L648+F645*L645+F646*L646)</f>
        <v>53.057172699792403</v>
      </c>
      <c r="M649" s="170">
        <f>E640*(F640*M640+F641*M641+F642*M642+F643*M643+F644*M644)+E645*(F647*M647+F648*M648+F645*M645+F646*M646)</f>
        <v>34.791220628631002</v>
      </c>
      <c r="N649" s="170">
        <f>E640*(F640*N640+F641*N641+F642*N642+F643*N643+F644*N644)+E645*(F647*N647+F648*N648+F645*N645+F646*N646)</f>
        <v>24.693423247782199</v>
      </c>
      <c r="O649" s="170">
        <f>E640*(F640*O640+F641*O641+F642*O642+F643*O643+F644*O644)+E645*(F647*O647+F648*O648+F645*O645+F646*O646)</f>
        <v>18.9952317841332</v>
      </c>
      <c r="P649" s="170">
        <f>E640*(F640*P640+F641*P641+F642*P642+F643*P643+F644*P644)+E645*(F647*P647+F648*P648+F645*P645+F646*P646)</f>
        <v>13.409870988421201</v>
      </c>
      <c r="Q649" s="170">
        <f>E640*(F640*Q640+F641*Q641+F642*Q642+F643*Q643+F644*Q644)+E645*(F647*Q647+F648*Q648+F645*Q645+F646*Q646)</f>
        <v>9.4370701400777293</v>
      </c>
      <c r="R649" s="170">
        <f>E640*(F640*R640+F641*R641+F642*R642+F643*R643+F644*R644)+E645*(F647*R647+F648*R648+F645*R645+F646*R646)</f>
        <v>7.8576363611234497</v>
      </c>
      <c r="AA649" s="153"/>
      <c r="AE649" s="137"/>
      <c r="AF649" s="137"/>
    </row>
    <row r="650" spans="1:32" ht="14.4">
      <c r="A650" s="276"/>
      <c r="B650" s="276"/>
      <c r="C650"/>
      <c r="F650" s="129" t="s">
        <v>241</v>
      </c>
      <c r="G650" s="149">
        <v>100</v>
      </c>
      <c r="H650" s="149">
        <v>100</v>
      </c>
      <c r="I650" s="129">
        <v>100</v>
      </c>
      <c r="J650" s="129">
        <v>100</v>
      </c>
      <c r="K650" s="129">
        <v>85</v>
      </c>
      <c r="L650" s="129">
        <v>68</v>
      </c>
      <c r="M650" s="129">
        <v>50</v>
      </c>
      <c r="N650" s="129">
        <v>38</v>
      </c>
      <c r="O650" s="129">
        <v>28</v>
      </c>
      <c r="P650" s="129">
        <v>20</v>
      </c>
      <c r="Q650" s="129">
        <v>15</v>
      </c>
      <c r="R650" s="129">
        <v>8</v>
      </c>
      <c r="AA650" s="153"/>
      <c r="AE650" s="137"/>
      <c r="AF650" s="137"/>
    </row>
    <row r="651" spans="1:32" ht="14.4">
      <c r="A651" s="276"/>
      <c r="B651" s="276"/>
      <c r="C651"/>
      <c r="F651" s="129" t="s">
        <v>242</v>
      </c>
      <c r="G651" s="149">
        <f t="shared" ref="G651" si="104">(G650+G652)/2</f>
        <v>100</v>
      </c>
      <c r="H651" s="149">
        <v>100</v>
      </c>
      <c r="I651" s="129">
        <v>100</v>
      </c>
      <c r="J651" s="129">
        <f t="shared" ref="J651:R651" si="105">(J650+J652)/2</f>
        <v>95</v>
      </c>
      <c r="K651" s="129">
        <f t="shared" si="105"/>
        <v>76.5</v>
      </c>
      <c r="L651" s="129">
        <f t="shared" si="105"/>
        <v>53</v>
      </c>
      <c r="M651" s="129">
        <f t="shared" si="105"/>
        <v>37</v>
      </c>
      <c r="N651" s="129">
        <f t="shared" si="105"/>
        <v>26.5</v>
      </c>
      <c r="O651" s="129">
        <f t="shared" si="105"/>
        <v>19</v>
      </c>
      <c r="P651" s="129">
        <f t="shared" si="105"/>
        <v>13.5</v>
      </c>
      <c r="Q651" s="129">
        <f t="shared" si="105"/>
        <v>10</v>
      </c>
      <c r="R651" s="129">
        <f t="shared" si="105"/>
        <v>6</v>
      </c>
      <c r="AA651" s="153"/>
      <c r="AE651" s="137"/>
      <c r="AF651" s="137"/>
    </row>
    <row r="652" spans="1:32" ht="14.4">
      <c r="A652" s="276"/>
      <c r="B652" s="276"/>
      <c r="C652"/>
      <c r="F652" s="129" t="s">
        <v>243</v>
      </c>
      <c r="G652" s="149">
        <v>100</v>
      </c>
      <c r="H652" s="149">
        <v>100</v>
      </c>
      <c r="I652" s="129">
        <v>100</v>
      </c>
      <c r="J652" s="129">
        <v>90</v>
      </c>
      <c r="K652" s="129">
        <v>68</v>
      </c>
      <c r="L652" s="129">
        <v>38</v>
      </c>
      <c r="M652" s="129">
        <v>24</v>
      </c>
      <c r="N652" s="129">
        <v>15</v>
      </c>
      <c r="O652" s="129">
        <v>10</v>
      </c>
      <c r="P652" s="129">
        <v>7</v>
      </c>
      <c r="Q652" s="129">
        <v>5</v>
      </c>
      <c r="R652" s="129">
        <v>4</v>
      </c>
      <c r="AA652" s="153"/>
      <c r="AE652" s="137"/>
      <c r="AF652" s="137"/>
    </row>
    <row r="653" spans="1:32" ht="14.4">
      <c r="A653" s="276" t="s">
        <v>135</v>
      </c>
      <c r="B653" s="276" t="s">
        <v>266</v>
      </c>
      <c r="C653" s="159" t="s">
        <v>61</v>
      </c>
      <c r="D653" s="134" t="s">
        <v>87</v>
      </c>
      <c r="E653" s="275">
        <v>0.5</v>
      </c>
      <c r="F653" s="146">
        <v>0</v>
      </c>
      <c r="G653" s="149">
        <v>100</v>
      </c>
      <c r="H653" s="149">
        <v>100</v>
      </c>
      <c r="I653" s="134">
        <v>94.637850219141797</v>
      </c>
      <c r="J653" s="134">
        <v>76.303749798747404</v>
      </c>
      <c r="K653" s="134">
        <v>6.3420145910626102</v>
      </c>
      <c r="L653" s="134">
        <v>0.146091158623463</v>
      </c>
      <c r="M653" s="134">
        <v>0.146091158623463</v>
      </c>
      <c r="N653" s="134">
        <v>0.14808072927188901</v>
      </c>
      <c r="O653" s="134">
        <v>0.146091158623463</v>
      </c>
      <c r="P653" s="134">
        <v>0.146091158623463</v>
      </c>
      <c r="Q653" s="134">
        <v>0.146091158623463</v>
      </c>
      <c r="R653" s="134">
        <v>0.146091158623463</v>
      </c>
      <c r="S653" s="138">
        <v>2.73</v>
      </c>
      <c r="T653" s="138">
        <v>2.6880000000000002</v>
      </c>
      <c r="U653" s="138">
        <f>[2]级配!F653/S653*E653</f>
        <v>9.1575091575091597E-2</v>
      </c>
      <c r="V653" s="138">
        <f>[2]级配!F653/T653*E653</f>
        <v>9.3005952380952397E-2</v>
      </c>
      <c r="W653" s="138">
        <f>1/SUM(U653:U661)</f>
        <v>2.7249298840291001</v>
      </c>
      <c r="X653" s="153">
        <v>0.4</v>
      </c>
      <c r="Y653" s="138">
        <f>0.033*X653*X653-0.2936*X653+0.9336</f>
        <v>0.82143999999999995</v>
      </c>
      <c r="Z653" s="138">
        <f>0.033*Y653*Y653-0.2936*Y653+0.9336</f>
        <v>0.71469241722879995</v>
      </c>
      <c r="AA653" s="127">
        <v>2.5219999999999998</v>
      </c>
      <c r="AB653" s="138">
        <f>1/SUM(V653:V661)</f>
        <v>2.6626827065482801</v>
      </c>
      <c r="AC653" s="160">
        <v>5.2</v>
      </c>
      <c r="AD653" s="138">
        <f>100*AC653/(100+AC653)</f>
        <v>4.9429657794676798</v>
      </c>
      <c r="AE653" s="137"/>
      <c r="AF653" s="154">
        <f>AC653-E658*F658*AE658-E658*F659*AE659-E658*F660*AE660</f>
        <v>2.3040303591844302</v>
      </c>
    </row>
    <row r="654" spans="1:32" ht="14.4">
      <c r="A654" s="276"/>
      <c r="B654" s="276"/>
      <c r="C654" s="159" t="s">
        <v>61</v>
      </c>
      <c r="D654" s="134" t="s">
        <v>116</v>
      </c>
      <c r="E654" s="275"/>
      <c r="F654" s="146">
        <v>0.4</v>
      </c>
      <c r="G654" s="149">
        <v>100</v>
      </c>
      <c r="H654" s="149">
        <v>100</v>
      </c>
      <c r="I654" s="134">
        <v>100</v>
      </c>
      <c r="J654" s="134">
        <v>99.755693581780505</v>
      </c>
      <c r="K654" s="134">
        <v>80.299871170192105</v>
      </c>
      <c r="L654" s="134">
        <v>46.065973770081001</v>
      </c>
      <c r="M654" s="134">
        <v>0.23180728788062099</v>
      </c>
      <c r="N654" s="134">
        <v>0.22766890019646999</v>
      </c>
      <c r="O654" s="134">
        <v>0.22766890019646999</v>
      </c>
      <c r="P654" s="134">
        <v>0.22766890019646999</v>
      </c>
      <c r="Q654" s="134">
        <v>0.22766890019646999</v>
      </c>
      <c r="R654" s="134">
        <v>0.22766890019646999</v>
      </c>
      <c r="S654" s="138">
        <v>2.7080000000000002</v>
      </c>
      <c r="T654" s="138">
        <v>2.681</v>
      </c>
      <c r="U654" s="138">
        <f>[2]级配!F654/S654*E653</f>
        <v>6.0930576070901001E-2</v>
      </c>
      <c r="V654" s="138">
        <f>[2]级配!F654/T654*E653</f>
        <v>6.1544199925401E-2</v>
      </c>
      <c r="W654" s="138"/>
      <c r="X654" s="138"/>
      <c r="Y654" s="151"/>
      <c r="Z654" s="151"/>
      <c r="AA654" s="127"/>
      <c r="AB654" s="138"/>
      <c r="AC654" s="160"/>
      <c r="AD654" s="138"/>
      <c r="AE654" s="137"/>
      <c r="AF654" s="137"/>
    </row>
    <row r="655" spans="1:32" ht="13.8" customHeight="1">
      <c r="A655" s="276"/>
      <c r="B655" s="276"/>
      <c r="C655" s="159" t="s">
        <v>61</v>
      </c>
      <c r="D655" s="134" t="s">
        <v>117</v>
      </c>
      <c r="E655" s="275"/>
      <c r="F655" s="146">
        <v>0.5</v>
      </c>
      <c r="G655" s="149">
        <v>100</v>
      </c>
      <c r="H655" s="149">
        <v>100</v>
      </c>
      <c r="I655" s="134">
        <v>100</v>
      </c>
      <c r="J655" s="134">
        <v>100</v>
      </c>
      <c r="K655" s="134">
        <v>98.083762953604506</v>
      </c>
      <c r="L655" s="134">
        <v>56.827495177978399</v>
      </c>
      <c r="M655" s="134">
        <v>0.55765195882440799</v>
      </c>
      <c r="N655" s="134">
        <v>0.37869315390193498</v>
      </c>
      <c r="O655" s="134">
        <v>0.37869315390193498</v>
      </c>
      <c r="P655" s="134">
        <v>0.37869315390193498</v>
      </c>
      <c r="Q655" s="134">
        <v>0.37869315390193498</v>
      </c>
      <c r="R655" s="134">
        <v>0.37869315390193498</v>
      </c>
      <c r="S655" s="138">
        <v>2.7730000000000001</v>
      </c>
      <c r="T655" s="138">
        <v>2.629</v>
      </c>
      <c r="U655" s="138">
        <f>[2]级配!F655/S655*E653</f>
        <v>3.0652722683014801E-2</v>
      </c>
      <c r="V655" s="138">
        <f>[2]级配!F655/T655*E653</f>
        <v>3.2331685051350298E-2</v>
      </c>
      <c r="AA655" s="127"/>
      <c r="AB655" s="138"/>
      <c r="AC655" s="160"/>
      <c r="AD655" s="138"/>
      <c r="AE655" s="137"/>
      <c r="AF655" s="137"/>
    </row>
    <row r="656" spans="1:32">
      <c r="A656" s="276"/>
      <c r="B656" s="276"/>
      <c r="C656" s="159" t="s">
        <v>82</v>
      </c>
      <c r="D656" s="134" t="s">
        <v>71</v>
      </c>
      <c r="E656" s="275"/>
      <c r="F656" s="146">
        <v>0.1</v>
      </c>
      <c r="G656" s="149">
        <v>100</v>
      </c>
      <c r="H656" s="149">
        <v>100</v>
      </c>
      <c r="I656" s="134">
        <v>100</v>
      </c>
      <c r="J656" s="134">
        <v>100</v>
      </c>
      <c r="K656" s="134">
        <v>100</v>
      </c>
      <c r="L656" s="134">
        <v>99.535863080549802</v>
      </c>
      <c r="M656" s="134">
        <v>80.920571600011101</v>
      </c>
      <c r="N656" s="134">
        <v>52.361261114203501</v>
      </c>
      <c r="O656" s="134">
        <v>35.177958105460696</v>
      </c>
      <c r="P656" s="134">
        <v>20.742205209966201</v>
      </c>
      <c r="Q656" s="134">
        <v>9.9446623024430405</v>
      </c>
      <c r="R656" s="134">
        <v>6.6012497172878204</v>
      </c>
      <c r="S656" s="138">
        <v>2.6789999999999998</v>
      </c>
      <c r="T656" s="138">
        <v>2.6789999999999998</v>
      </c>
      <c r="U656" s="138">
        <f>[2]级配!F656/S656*E653</f>
        <v>0</v>
      </c>
      <c r="V656" s="138">
        <f>[2]级配!F656/T656*E653</f>
        <v>0</v>
      </c>
      <c r="AA656" s="153"/>
      <c r="AE656" s="137"/>
      <c r="AF656" s="137"/>
    </row>
    <row r="657" spans="1:32" ht="14.4">
      <c r="A657" s="276"/>
      <c r="B657" s="276"/>
      <c r="C657" s="164" t="s">
        <v>99</v>
      </c>
      <c r="D657" s="168" t="s">
        <v>91</v>
      </c>
      <c r="E657" s="275"/>
      <c r="F657" s="129">
        <v>0</v>
      </c>
      <c r="G657" s="149">
        <v>100</v>
      </c>
      <c r="H657" s="149">
        <v>100</v>
      </c>
      <c r="I657" s="149">
        <v>100</v>
      </c>
      <c r="J657" s="149">
        <v>100</v>
      </c>
      <c r="K657" s="149">
        <v>100</v>
      </c>
      <c r="L657" s="149">
        <v>100</v>
      </c>
      <c r="M657" s="149">
        <v>100</v>
      </c>
      <c r="N657" s="149">
        <v>100</v>
      </c>
      <c r="O657" s="149">
        <v>100</v>
      </c>
      <c r="P657" s="149">
        <v>97.4</v>
      </c>
      <c r="Q657" s="149">
        <v>90.2</v>
      </c>
      <c r="R657" s="149">
        <v>78.2</v>
      </c>
      <c r="S657" s="138">
        <v>2.6789999999999998</v>
      </c>
      <c r="T657" s="138">
        <v>2.6789999999999998</v>
      </c>
      <c r="U657" s="138">
        <f>[2]级配!F657/S657*E653</f>
        <v>0</v>
      </c>
      <c r="V657" s="138">
        <f>[2]级配!F657/T657*E653</f>
        <v>0</v>
      </c>
      <c r="AA657" s="153"/>
      <c r="AE657" s="137"/>
      <c r="AF657" s="137"/>
    </row>
    <row r="658" spans="1:32">
      <c r="A658" s="276"/>
      <c r="B658" s="276"/>
      <c r="C658" s="159" t="s">
        <v>74</v>
      </c>
      <c r="D658" s="157" t="s">
        <v>136</v>
      </c>
      <c r="E658" s="276">
        <v>0.5</v>
      </c>
      <c r="F658" s="129">
        <v>0.5</v>
      </c>
      <c r="G658" s="149">
        <v>100</v>
      </c>
      <c r="H658" s="149">
        <v>100</v>
      </c>
      <c r="I658" s="134">
        <v>100</v>
      </c>
      <c r="J658" s="134">
        <v>100</v>
      </c>
      <c r="K658" s="134">
        <v>95.271971471292403</v>
      </c>
      <c r="L658" s="134">
        <v>47.303558868326498</v>
      </c>
      <c r="M658" s="134">
        <v>26.624307868140701</v>
      </c>
      <c r="N658" s="134">
        <v>18.480404699556999</v>
      </c>
      <c r="O658" s="134">
        <v>15.153501315455401</v>
      </c>
      <c r="P658" s="134">
        <v>11.9140681619254</v>
      </c>
      <c r="Q658" s="134">
        <v>9.18411906287532</v>
      </c>
      <c r="R658" s="134">
        <v>7.7645283225088901</v>
      </c>
      <c r="S658" s="138">
        <v>2.72</v>
      </c>
      <c r="T658" s="138">
        <v>2.65</v>
      </c>
      <c r="U658" s="138">
        <f>[2]级配!F658/S658*E653</f>
        <v>0.183823529411765</v>
      </c>
      <c r="V658" s="138">
        <f>[2]级配!F658/T658*E653</f>
        <v>0.18867924528301899</v>
      </c>
      <c r="AA658" s="153"/>
      <c r="AE658" s="137">
        <v>4.12421711899791</v>
      </c>
      <c r="AF658" s="137"/>
    </row>
    <row r="659" spans="1:32">
      <c r="A659" s="276"/>
      <c r="B659" s="276"/>
      <c r="C659" s="159" t="s">
        <v>76</v>
      </c>
      <c r="D659" s="134" t="s">
        <v>65</v>
      </c>
      <c r="E659" s="276"/>
      <c r="F659" s="129">
        <v>0.5</v>
      </c>
      <c r="G659" s="149">
        <v>100</v>
      </c>
      <c r="H659" s="149">
        <v>100</v>
      </c>
      <c r="I659" s="134">
        <v>100</v>
      </c>
      <c r="J659" s="134">
        <v>100</v>
      </c>
      <c r="K659" s="134">
        <v>100</v>
      </c>
      <c r="L659" s="134">
        <v>99.846564268322695</v>
      </c>
      <c r="M659" s="134">
        <v>93.887234677489801</v>
      </c>
      <c r="N659" s="134">
        <v>68.363897673676107</v>
      </c>
      <c r="O659" s="134">
        <v>50.980040748104798</v>
      </c>
      <c r="P659" s="134">
        <v>33.530336651835</v>
      </c>
      <c r="Q659" s="134">
        <v>22.239253603116399</v>
      </c>
      <c r="R659" s="134">
        <v>18.428441763522802</v>
      </c>
      <c r="S659" s="138">
        <v>2.8519999999999999</v>
      </c>
      <c r="T659" s="138">
        <v>2.7229999999999999</v>
      </c>
      <c r="U659" s="138">
        <f>[2]级配!F659/S659*E653</f>
        <v>0</v>
      </c>
      <c r="V659" s="138">
        <f>[2]级配!F659/T659*E653</f>
        <v>0</v>
      </c>
      <c r="AA659" s="153"/>
      <c r="AE659" s="137">
        <v>7.4596614442643698</v>
      </c>
      <c r="AF659" s="137"/>
    </row>
    <row r="660" spans="1:32">
      <c r="A660" s="276"/>
      <c r="B660" s="276"/>
      <c r="C660" s="159" t="s">
        <v>76</v>
      </c>
      <c r="D660" s="134" t="s">
        <v>65</v>
      </c>
      <c r="E660" s="276"/>
      <c r="F660" s="130">
        <v>0</v>
      </c>
      <c r="G660" s="149">
        <v>100</v>
      </c>
      <c r="H660" s="149">
        <v>100</v>
      </c>
      <c r="I660" s="134">
        <v>100</v>
      </c>
      <c r="J660" s="134">
        <v>100</v>
      </c>
      <c r="K660" s="134">
        <v>100</v>
      </c>
      <c r="L660" s="134">
        <v>96.773241575442697</v>
      </c>
      <c r="M660" s="134">
        <v>58.955499795773399</v>
      </c>
      <c r="N660" s="134">
        <v>32.060997642496702</v>
      </c>
      <c r="O660" s="134">
        <v>23.467347478352799</v>
      </c>
      <c r="P660" s="134">
        <v>17.429766402104299</v>
      </c>
      <c r="Q660" s="134">
        <v>13.4674110343355</v>
      </c>
      <c r="R660" s="134">
        <v>11.5498931412078</v>
      </c>
      <c r="S660" s="138">
        <v>2.8290000000000002</v>
      </c>
      <c r="T660" s="138">
        <v>2.7650000000000001</v>
      </c>
      <c r="U660" s="138">
        <f>[2]级配!F660/S660*E658</f>
        <v>0</v>
      </c>
      <c r="V660" s="138">
        <f>[2]级配!F660/T660*E658</f>
        <v>0</v>
      </c>
      <c r="AA660" s="153"/>
      <c r="AE660" s="137"/>
      <c r="AF660" s="137"/>
    </row>
    <row r="661" spans="1:32">
      <c r="A661" s="276"/>
      <c r="B661" s="276"/>
      <c r="C661" s="159" t="s">
        <v>76</v>
      </c>
      <c r="D661" s="168" t="s">
        <v>97</v>
      </c>
      <c r="E661" s="276"/>
      <c r="F661" s="130">
        <v>0</v>
      </c>
      <c r="G661" s="149">
        <v>100</v>
      </c>
      <c r="H661" s="149">
        <v>100</v>
      </c>
      <c r="I661" s="149">
        <v>100</v>
      </c>
      <c r="J661" s="149">
        <v>99.709455890121504</v>
      </c>
      <c r="K661" s="149">
        <v>93.611005421295204</v>
      </c>
      <c r="L661" s="149">
        <v>62.883664943704403</v>
      </c>
      <c r="M661" s="149">
        <v>41.736211500847702</v>
      </c>
      <c r="N661" s="149">
        <v>29.275015875296301</v>
      </c>
      <c r="O661" s="149">
        <v>22.374005580422299</v>
      </c>
      <c r="P661" s="149">
        <v>14.3321095762082</v>
      </c>
      <c r="Q661" s="149">
        <v>9.6170951500159596</v>
      </c>
      <c r="R661" s="149">
        <v>6.5264817525129803</v>
      </c>
      <c r="S661" s="138">
        <v>2.76</v>
      </c>
      <c r="T661" s="138">
        <v>2.7</v>
      </c>
      <c r="U661" s="138">
        <f>[2]级配!F661/S661*E658</f>
        <v>0</v>
      </c>
      <c r="V661" s="138">
        <f>[2]级配!F661/T661*E658</f>
        <v>0</v>
      </c>
      <c r="AA661" s="153"/>
      <c r="AE661" s="137"/>
      <c r="AF661" s="137"/>
    </row>
    <row r="662" spans="1:32" ht="14.4">
      <c r="A662" s="276"/>
      <c r="B662" s="276"/>
      <c r="C662"/>
      <c r="F662" s="129" t="s">
        <v>240</v>
      </c>
      <c r="G662" s="170">
        <f>$E$29*($F$29*G653+$F$30*G654+$F$31*G655+$F$32*G656+$F$33*G657+$F$34*G658+$F$35*G659)+$E$36*($F$36*G660+$F$37*G661)</f>
        <v>100</v>
      </c>
      <c r="H662" s="170">
        <f>E653*(F653*H653+F654*H654+F655*H655+F656*H656+F657*H657)+E658*(F660*H660+F661*H661+F658*H658+F659*H659)</f>
        <v>100</v>
      </c>
      <c r="I662" s="170">
        <f>E653*(F653*I653+F654*I654+F655*I655+F656*I656+F657*I657)+E658*(F660*I660+F661*I661+F658*I658+F659*I659)</f>
        <v>100</v>
      </c>
      <c r="J662" s="170">
        <f>E653*(F653*J653+F654*J654+F655*J655+F656*J656+F657*J657)+E658*(F660*J660+F661*J661+F658*J658+F659*J659)</f>
        <v>99.951138716356098</v>
      </c>
      <c r="K662" s="170">
        <f>E653*(F653*K653+F654*K654+F655*K655+F656*K656+F657*K657)+E658*(F660*K660+F661*K661+F658*K658+F659*K659)</f>
        <v>94.398907840262595</v>
      </c>
      <c r="L662" s="170">
        <f>E653*(F653*L653+F654*L654+F655*L655+F656*L656+F657*L657)+E658*(F660*L660+F661*L661+F658*L658+F659*L659)</f>
        <v>65.184392486700602</v>
      </c>
      <c r="M662" s="170">
        <f>E653*(F653*M653+F654*M654+F655*M655+F656*M656+F657*M657)+E658*(F660*M660+F661*M661+F658*M658+F659*M659)</f>
        <v>34.359688663690399</v>
      </c>
      <c r="N662" s="170">
        <f>E653*(F653*N653+F654*N654+F655*N655+F656*N656+F657*N657)+E658*(F660*N660+F661*N661+F658*N658+F659*N659)</f>
        <v>24.469345717533201</v>
      </c>
      <c r="O662" s="170">
        <f>E653*(F653*O653+F654*O654+F655*O655+F656*O656+F657*O657)+E658*(F660*O660+F661*O661+F658*O658+F659*O659)</f>
        <v>18.4324904896779</v>
      </c>
      <c r="P662" s="170">
        <f>E653*(F653*P653+F654*P654+F655*P655+F656*P656+F657*P657)+E658*(F660*P660+F661*P661+F658*P658+F659*P659)</f>
        <v>12.5384185324532</v>
      </c>
      <c r="Q662" s="170">
        <f>E653*(F653*Q653+F654*Q654+F655*Q655+F656*Q656+F657*Q657)+E658*(F660*Q660+F661*Q661+F658*Q658+F659*Q659)</f>
        <v>8.4932833501348597</v>
      </c>
      <c r="R662" s="170">
        <f>E653*(F653*R653+F654*R654+F655*R655+F656*R656+F657*R657)+E658*(F660*R660+F661*R661+F658*R658+F659*R659)</f>
        <v>7.0185120758870898</v>
      </c>
      <c r="AA662" s="153"/>
      <c r="AE662" s="137"/>
      <c r="AF662" s="137"/>
    </row>
    <row r="663" spans="1:32" ht="14.4">
      <c r="A663" s="276"/>
      <c r="B663" s="276"/>
      <c r="C663"/>
      <c r="F663" s="129" t="s">
        <v>241</v>
      </c>
      <c r="G663" s="149">
        <v>100</v>
      </c>
      <c r="H663" s="149">
        <v>100</v>
      </c>
      <c r="I663" s="129">
        <v>100</v>
      </c>
      <c r="J663" s="129">
        <v>100</v>
      </c>
      <c r="K663" s="129">
        <v>100</v>
      </c>
      <c r="L663" s="129">
        <v>75</v>
      </c>
      <c r="M663" s="129">
        <v>58</v>
      </c>
      <c r="N663" s="129">
        <v>44</v>
      </c>
      <c r="O663" s="129">
        <v>32</v>
      </c>
      <c r="P663" s="129">
        <v>23</v>
      </c>
      <c r="Q663" s="129">
        <v>16</v>
      </c>
      <c r="R663" s="129">
        <v>8</v>
      </c>
      <c r="AA663" s="153"/>
      <c r="AE663" s="137"/>
      <c r="AF663" s="137"/>
    </row>
    <row r="664" spans="1:32" ht="14.4">
      <c r="A664" s="276"/>
      <c r="B664" s="276"/>
      <c r="C664"/>
      <c r="F664" s="129" t="s">
        <v>242</v>
      </c>
      <c r="G664" s="149">
        <f t="shared" ref="G664" si="106">(G663+G665)/2</f>
        <v>100</v>
      </c>
      <c r="H664" s="149">
        <v>100</v>
      </c>
      <c r="I664" s="129">
        <v>100</v>
      </c>
      <c r="J664" s="129">
        <v>100</v>
      </c>
      <c r="K664" s="129">
        <f t="shared" ref="K664:R664" si="107">(K663+K665)/2</f>
        <v>95</v>
      </c>
      <c r="L664" s="129">
        <f t="shared" si="107"/>
        <v>60</v>
      </c>
      <c r="M664" s="129">
        <f t="shared" si="107"/>
        <v>44</v>
      </c>
      <c r="N664" s="129">
        <f t="shared" si="107"/>
        <v>32</v>
      </c>
      <c r="O664" s="129">
        <f t="shared" si="107"/>
        <v>22.5</v>
      </c>
      <c r="P664" s="129">
        <f t="shared" si="107"/>
        <v>16</v>
      </c>
      <c r="Q664" s="129">
        <f t="shared" si="107"/>
        <v>11</v>
      </c>
      <c r="R664" s="129">
        <f t="shared" si="107"/>
        <v>6</v>
      </c>
      <c r="AA664" s="153"/>
      <c r="AE664" s="137"/>
      <c r="AF664" s="137"/>
    </row>
    <row r="665" spans="1:32" ht="14.4">
      <c r="A665" s="276"/>
      <c r="B665" s="276"/>
      <c r="C665"/>
      <c r="F665" s="129" t="s">
        <v>243</v>
      </c>
      <c r="G665" s="149">
        <v>100</v>
      </c>
      <c r="H665" s="149">
        <v>100</v>
      </c>
      <c r="I665" s="129">
        <v>100</v>
      </c>
      <c r="J665" s="129">
        <v>100</v>
      </c>
      <c r="K665" s="129">
        <v>90</v>
      </c>
      <c r="L665" s="129">
        <v>45</v>
      </c>
      <c r="M665" s="129">
        <v>30</v>
      </c>
      <c r="N665" s="129">
        <v>20</v>
      </c>
      <c r="O665" s="129">
        <v>13</v>
      </c>
      <c r="P665" s="129">
        <v>9</v>
      </c>
      <c r="Q665" s="129">
        <v>6</v>
      </c>
      <c r="R665" s="129">
        <v>4</v>
      </c>
      <c r="AA665" s="153"/>
      <c r="AE665" s="137"/>
      <c r="AF665" s="137"/>
    </row>
    <row r="666" spans="1:32" ht="14.4">
      <c r="A666" s="276" t="s">
        <v>135</v>
      </c>
      <c r="B666" s="276" t="s">
        <v>267</v>
      </c>
      <c r="C666" s="159" t="s">
        <v>61</v>
      </c>
      <c r="D666" s="134" t="s">
        <v>87</v>
      </c>
      <c r="E666" s="275">
        <v>0.4</v>
      </c>
      <c r="F666" s="146">
        <v>0</v>
      </c>
      <c r="G666" s="149">
        <v>100</v>
      </c>
      <c r="H666" s="149">
        <v>100</v>
      </c>
      <c r="I666" s="134">
        <v>94.637850219141797</v>
      </c>
      <c r="J666" s="134">
        <v>76.303749798747404</v>
      </c>
      <c r="K666" s="134">
        <v>6.3420145910626102</v>
      </c>
      <c r="L666" s="134">
        <v>0.146091158623463</v>
      </c>
      <c r="M666" s="134">
        <v>0.146091158623463</v>
      </c>
      <c r="N666" s="134">
        <v>0.14808072927188901</v>
      </c>
      <c r="O666" s="134">
        <v>0.146091158623463</v>
      </c>
      <c r="P666" s="134">
        <v>0.146091158623463</v>
      </c>
      <c r="Q666" s="134">
        <v>0.146091158623463</v>
      </c>
      <c r="R666" s="134">
        <v>0.146091158623463</v>
      </c>
      <c r="S666" s="138">
        <v>2.73</v>
      </c>
      <c r="T666" s="138">
        <v>2.6880000000000002</v>
      </c>
      <c r="U666" s="138">
        <f>[2]级配!F666/S666*E666</f>
        <v>4.3956043956044001E-2</v>
      </c>
      <c r="V666" s="138">
        <f>[2]级配!F666/T666*E666</f>
        <v>4.4642857142857102E-2</v>
      </c>
      <c r="W666" s="138">
        <v>2.68</v>
      </c>
      <c r="X666" s="153">
        <v>0.4</v>
      </c>
      <c r="Y666" s="138">
        <f>0.033*X666*X666-0.2936*X666+0.9336</f>
        <v>0.82143999999999995</v>
      </c>
      <c r="Z666" s="138">
        <f>0.033*Y666*Y666-0.2936*Y666+0.9336</f>
        <v>0.71469241722879995</v>
      </c>
      <c r="AA666" s="127">
        <v>2.5249999999999999</v>
      </c>
      <c r="AB666" s="138">
        <v>2.72</v>
      </c>
      <c r="AC666" s="160">
        <v>5.2</v>
      </c>
      <c r="AD666" s="138">
        <f>100*AC666/(100+AC666)</f>
        <v>4.9429657794676798</v>
      </c>
      <c r="AE666" s="137"/>
      <c r="AF666" s="154">
        <f>AC666-E671*F671*AE671-E671*F672*AE672-E671*F673*AE673</f>
        <v>2.0450390862468999</v>
      </c>
    </row>
    <row r="667" spans="1:32" ht="14.4">
      <c r="A667" s="276"/>
      <c r="B667" s="276"/>
      <c r="C667" s="159" t="s">
        <v>61</v>
      </c>
      <c r="D667" s="134" t="s">
        <v>116</v>
      </c>
      <c r="E667" s="275"/>
      <c r="F667" s="146">
        <v>0.375</v>
      </c>
      <c r="G667" s="149">
        <v>100</v>
      </c>
      <c r="H667" s="149">
        <v>100</v>
      </c>
      <c r="I667" s="134">
        <v>100</v>
      </c>
      <c r="J667" s="134">
        <v>99.755693581780505</v>
      </c>
      <c r="K667" s="134">
        <v>80.299871170192105</v>
      </c>
      <c r="L667" s="134">
        <v>46.065973770081001</v>
      </c>
      <c r="M667" s="134">
        <v>0.23180728788062099</v>
      </c>
      <c r="N667" s="134">
        <v>0.22766890019646999</v>
      </c>
      <c r="O667" s="134">
        <v>0.22766890019646999</v>
      </c>
      <c r="P667" s="134">
        <v>0.22766890019646999</v>
      </c>
      <c r="Q667" s="134">
        <v>0.22766890019646999</v>
      </c>
      <c r="R667" s="134">
        <v>0.22766890019646999</v>
      </c>
      <c r="S667" s="138">
        <v>2.7080000000000002</v>
      </c>
      <c r="T667" s="138">
        <v>2.681</v>
      </c>
      <c r="U667" s="138">
        <f>[2]级配!F667/S667*E666</f>
        <v>7.3855243722304301E-2</v>
      </c>
      <c r="V667" s="138">
        <f>[2]级配!F667/T667*E666</f>
        <v>7.4599030212607206E-2</v>
      </c>
      <c r="W667" s="138"/>
      <c r="X667" s="138"/>
      <c r="Y667" s="151"/>
      <c r="Z667" s="151"/>
      <c r="AA667" s="127"/>
      <c r="AB667" s="138"/>
      <c r="AC667" s="160"/>
      <c r="AD667" s="138"/>
      <c r="AE667" s="137"/>
      <c r="AF667" s="137"/>
    </row>
    <row r="668" spans="1:32" ht="13.8" customHeight="1">
      <c r="A668" s="276"/>
      <c r="B668" s="276"/>
      <c r="C668" s="159" t="s">
        <v>61</v>
      </c>
      <c r="D668" s="134" t="s">
        <v>117</v>
      </c>
      <c r="E668" s="275"/>
      <c r="F668" s="146">
        <v>0.5</v>
      </c>
      <c r="G668" s="149">
        <v>100</v>
      </c>
      <c r="H668" s="149">
        <v>100</v>
      </c>
      <c r="I668" s="134">
        <v>100</v>
      </c>
      <c r="J668" s="134">
        <v>100</v>
      </c>
      <c r="K668" s="134">
        <v>98.083762953604506</v>
      </c>
      <c r="L668" s="134">
        <v>56.827495177978399</v>
      </c>
      <c r="M668" s="134">
        <v>0.55765195882440799</v>
      </c>
      <c r="N668" s="134">
        <v>0.37869315390193498</v>
      </c>
      <c r="O668" s="134">
        <v>0.37869315390193498</v>
      </c>
      <c r="P668" s="134">
        <v>0.37869315390193498</v>
      </c>
      <c r="Q668" s="134">
        <v>0.37869315390193498</v>
      </c>
      <c r="R668" s="134">
        <v>0.37869315390193498</v>
      </c>
      <c r="S668" s="138">
        <v>2.7730000000000001</v>
      </c>
      <c r="T668" s="138">
        <v>2.629</v>
      </c>
      <c r="U668" s="138">
        <f>[2]级配!F668/S668*E666</f>
        <v>2.8849621348719798E-2</v>
      </c>
      <c r="V668" s="138">
        <f>[2]级配!F668/T668*E666</f>
        <v>3.0429821224800299E-2</v>
      </c>
      <c r="AA668" s="127"/>
      <c r="AB668" s="138"/>
      <c r="AC668" s="160"/>
      <c r="AD668" s="138"/>
      <c r="AE668" s="137"/>
      <c r="AF668" s="137"/>
    </row>
    <row r="669" spans="1:32">
      <c r="A669" s="276"/>
      <c r="B669" s="276"/>
      <c r="C669" s="159" t="s">
        <v>82</v>
      </c>
      <c r="D669" s="134" t="s">
        <v>71</v>
      </c>
      <c r="E669" s="275"/>
      <c r="F669" s="146">
        <v>0.125</v>
      </c>
      <c r="G669" s="149">
        <v>100</v>
      </c>
      <c r="H669" s="149">
        <v>100</v>
      </c>
      <c r="I669" s="134">
        <v>100</v>
      </c>
      <c r="J669" s="134">
        <v>100</v>
      </c>
      <c r="K669" s="134">
        <v>100</v>
      </c>
      <c r="L669" s="134">
        <v>99.535863080549802</v>
      </c>
      <c r="M669" s="134">
        <v>80.920571600011101</v>
      </c>
      <c r="N669" s="134">
        <v>52.361261114203501</v>
      </c>
      <c r="O669" s="134">
        <v>35.177958105460696</v>
      </c>
      <c r="P669" s="134">
        <v>20.742205209966201</v>
      </c>
      <c r="Q669" s="134">
        <v>9.9446623024430405</v>
      </c>
      <c r="R669" s="134">
        <v>6.6012497172878204</v>
      </c>
      <c r="S669" s="138">
        <v>2.6789999999999998</v>
      </c>
      <c r="T669" s="138">
        <v>2.6789999999999998</v>
      </c>
      <c r="U669" s="138">
        <f>[2]级配!F669/S669*E666</f>
        <v>0</v>
      </c>
      <c r="V669" s="138">
        <f>[2]级配!F669/T669*E666</f>
        <v>0</v>
      </c>
      <c r="AA669" s="153"/>
      <c r="AE669" s="137"/>
      <c r="AF669" s="137"/>
    </row>
    <row r="670" spans="1:32" ht="14.4">
      <c r="A670" s="276"/>
      <c r="B670" s="276"/>
      <c r="C670" s="164" t="s">
        <v>99</v>
      </c>
      <c r="D670" s="168" t="s">
        <v>91</v>
      </c>
      <c r="E670" s="275"/>
      <c r="F670" s="129">
        <v>0</v>
      </c>
      <c r="G670" s="149">
        <v>100</v>
      </c>
      <c r="H670" s="149">
        <v>100</v>
      </c>
      <c r="I670" s="149">
        <v>100</v>
      </c>
      <c r="J670" s="149">
        <v>100</v>
      </c>
      <c r="K670" s="149">
        <v>100</v>
      </c>
      <c r="L670" s="149">
        <v>100</v>
      </c>
      <c r="M670" s="149">
        <v>100</v>
      </c>
      <c r="N670" s="149">
        <v>100</v>
      </c>
      <c r="O670" s="149">
        <v>100</v>
      </c>
      <c r="P670" s="149">
        <v>97.4</v>
      </c>
      <c r="Q670" s="149">
        <v>90.2</v>
      </c>
      <c r="R670" s="149">
        <v>78.2</v>
      </c>
      <c r="S670" s="138">
        <v>2.6789999999999998</v>
      </c>
      <c r="T670" s="138">
        <v>2.6789999999999998</v>
      </c>
      <c r="U670" s="138">
        <f>[2]级配!F670/S670*E666</f>
        <v>0</v>
      </c>
      <c r="V670" s="138">
        <f>[2]级配!F670/T670*E666</f>
        <v>0</v>
      </c>
      <c r="AA670" s="153"/>
      <c r="AE670" s="137"/>
      <c r="AF670" s="137"/>
    </row>
    <row r="671" spans="1:32">
      <c r="A671" s="276"/>
      <c r="B671" s="276"/>
      <c r="C671" s="159" t="s">
        <v>74</v>
      </c>
      <c r="D671" s="157" t="s">
        <v>136</v>
      </c>
      <c r="E671" s="276">
        <v>0.6</v>
      </c>
      <c r="F671" s="129">
        <v>0.66</v>
      </c>
      <c r="G671" s="149">
        <v>100</v>
      </c>
      <c r="H671" s="149">
        <v>100</v>
      </c>
      <c r="I671" s="134">
        <v>100</v>
      </c>
      <c r="J671" s="134">
        <v>100</v>
      </c>
      <c r="K671" s="134">
        <v>95.271971471292403</v>
      </c>
      <c r="L671" s="134">
        <v>47.303558868326498</v>
      </c>
      <c r="M671" s="134">
        <v>26.624307868140701</v>
      </c>
      <c r="N671" s="134">
        <v>18.480404699556999</v>
      </c>
      <c r="O671" s="134">
        <v>15.153501315455401</v>
      </c>
      <c r="P671" s="134">
        <v>11.9140681619254</v>
      </c>
      <c r="Q671" s="134">
        <v>9.18411906287532</v>
      </c>
      <c r="R671" s="134">
        <v>7.7645283225088901</v>
      </c>
      <c r="S671" s="138">
        <v>2.72</v>
      </c>
      <c r="T671" s="138">
        <v>2.65</v>
      </c>
      <c r="U671" s="138">
        <f>[2]级配!F671/S671*E666</f>
        <v>8.8235294117647106E-2</v>
      </c>
      <c r="V671" s="138">
        <f>[2]级配!F671/T671*E666</f>
        <v>9.0566037735849106E-2</v>
      </c>
      <c r="AA671" s="153"/>
      <c r="AE671" s="137">
        <v>4.12421711899791</v>
      </c>
      <c r="AF671" s="137"/>
    </row>
    <row r="672" spans="1:32">
      <c r="A672" s="276"/>
      <c r="B672" s="276"/>
      <c r="C672" s="159" t="s">
        <v>76</v>
      </c>
      <c r="D672" s="134" t="s">
        <v>65</v>
      </c>
      <c r="E672" s="276"/>
      <c r="F672" s="129">
        <v>0.34</v>
      </c>
      <c r="G672" s="149">
        <v>100</v>
      </c>
      <c r="H672" s="149">
        <v>100</v>
      </c>
      <c r="I672" s="134">
        <v>100</v>
      </c>
      <c r="J672" s="134">
        <v>100</v>
      </c>
      <c r="K672" s="134">
        <v>100</v>
      </c>
      <c r="L672" s="134">
        <v>99.846564268322695</v>
      </c>
      <c r="M672" s="134">
        <v>93.887234677489801</v>
      </c>
      <c r="N672" s="134">
        <v>68.363897673676107</v>
      </c>
      <c r="O672" s="134">
        <v>50.980040748104798</v>
      </c>
      <c r="P672" s="134">
        <v>33.530336651835</v>
      </c>
      <c r="Q672" s="134">
        <v>22.239253603116399</v>
      </c>
      <c r="R672" s="134">
        <v>18.428441763522802</v>
      </c>
      <c r="S672" s="138">
        <v>2.8519999999999999</v>
      </c>
      <c r="T672" s="138">
        <v>2.7229999999999999</v>
      </c>
      <c r="U672" s="138">
        <f>[2]级配!F672/S672*E666</f>
        <v>5.6100981767180903E-2</v>
      </c>
      <c r="V672" s="138">
        <f>[2]级配!F672/T672*E666</f>
        <v>5.8758721997796602E-2</v>
      </c>
      <c r="AA672" s="153"/>
      <c r="AE672" s="137">
        <v>7.4596614442643698</v>
      </c>
      <c r="AF672" s="137"/>
    </row>
    <row r="673" spans="1:32">
      <c r="A673" s="276"/>
      <c r="B673" s="276"/>
      <c r="C673" s="159" t="s">
        <v>76</v>
      </c>
      <c r="D673" s="134" t="s">
        <v>65</v>
      </c>
      <c r="E673" s="276"/>
      <c r="F673" s="130">
        <v>0</v>
      </c>
      <c r="G673" s="149">
        <v>100</v>
      </c>
      <c r="H673" s="149">
        <v>100</v>
      </c>
      <c r="I673" s="134">
        <v>100</v>
      </c>
      <c r="J673" s="134">
        <v>100</v>
      </c>
      <c r="K673" s="134">
        <v>100</v>
      </c>
      <c r="L673" s="134">
        <v>96.773241575442697</v>
      </c>
      <c r="M673" s="134">
        <v>58.955499795773399</v>
      </c>
      <c r="N673" s="134">
        <v>32.060997642496702</v>
      </c>
      <c r="O673" s="134">
        <v>23.467347478352799</v>
      </c>
      <c r="P673" s="134">
        <v>17.429766402104299</v>
      </c>
      <c r="Q673" s="134">
        <v>13.4674110343355</v>
      </c>
      <c r="R673" s="134">
        <v>11.5498931412078</v>
      </c>
      <c r="S673" s="138">
        <v>2.8290000000000002</v>
      </c>
      <c r="T673" s="138">
        <v>2.7650000000000001</v>
      </c>
      <c r="U673" s="138">
        <f>[2]级配!F673/S673*E671</f>
        <v>0</v>
      </c>
      <c r="V673" s="138">
        <f>[2]级配!F673/T673*E671</f>
        <v>0</v>
      </c>
      <c r="AA673" s="153"/>
      <c r="AE673" s="137"/>
      <c r="AF673" s="137"/>
    </row>
    <row r="674" spans="1:32">
      <c r="A674" s="276"/>
      <c r="B674" s="276"/>
      <c r="C674" s="159" t="s">
        <v>76</v>
      </c>
      <c r="D674" s="168" t="s">
        <v>97</v>
      </c>
      <c r="E674" s="276"/>
      <c r="F674" s="130">
        <v>0</v>
      </c>
      <c r="G674" s="149">
        <v>100</v>
      </c>
      <c r="H674" s="149">
        <v>100</v>
      </c>
      <c r="I674" s="149">
        <v>100</v>
      </c>
      <c r="J674" s="149">
        <v>99.709455890121504</v>
      </c>
      <c r="K674" s="149">
        <v>93.611005421295204</v>
      </c>
      <c r="L674" s="149">
        <v>62.883664943704403</v>
      </c>
      <c r="M674" s="149">
        <v>41.736211500847702</v>
      </c>
      <c r="N674" s="149">
        <v>29.275015875296301</v>
      </c>
      <c r="O674" s="149">
        <v>22.374005580422299</v>
      </c>
      <c r="P674" s="149">
        <v>14.3321095762082</v>
      </c>
      <c r="Q674" s="149">
        <v>9.6170951500159596</v>
      </c>
      <c r="R674" s="149">
        <v>6.5264817525129803</v>
      </c>
      <c r="S674" s="138">
        <v>2.76</v>
      </c>
      <c r="T674" s="138">
        <v>2.7</v>
      </c>
      <c r="U674" s="138">
        <f>[2]级配!F674/S674*E671</f>
        <v>0</v>
      </c>
      <c r="V674" s="138">
        <f>[2]级配!F674/T674*E671</f>
        <v>0</v>
      </c>
      <c r="AA674" s="153"/>
      <c r="AE674" s="137"/>
      <c r="AF674" s="137"/>
    </row>
    <row r="675" spans="1:32" ht="14.4">
      <c r="A675" s="276"/>
      <c r="B675" s="276"/>
      <c r="C675"/>
      <c r="F675" s="129" t="s">
        <v>240</v>
      </c>
      <c r="G675" s="170">
        <f>$E$29*($F$29*G666+$F$30*G667+$F$31*G668+$F$32*G669+$F$33*G670+$F$34*G671+$F$35*G672)+$E$36*($F$36*G673+$F$37*G674)</f>
        <v>100</v>
      </c>
      <c r="H675" s="170">
        <f>E666*(F666*H666+F667*H667+F668*H668+F669*H669+F670*H670)+E671*(F673*H673+F674*H674+F671*H671+F672*H672)</f>
        <v>100</v>
      </c>
      <c r="I675" s="170">
        <f>E666*(F666*I666+F667*I667+F668*I668+F669*I669+F670*I670)+E671*(F673*I673+F674*I674+F671*I671+F672*I672)</f>
        <v>100</v>
      </c>
      <c r="J675" s="170">
        <f>E666*(F666*J666+F667*J667+F668*J668+F669*J669+F670*J670)+E671*(F673*J673+F674*J674+F671*J671+F672*J672)</f>
        <v>99.963354037267095</v>
      </c>
      <c r="K675" s="170">
        <f>E666*(F666*K666+F667*K667+F668*K668+F669*K669+F670*K670)+E671*(F673*K673+F674*K674+F671*K671+F672*K672)</f>
        <v>94.789433968881497</v>
      </c>
      <c r="L675" s="170">
        <f>E666*(F666*L666+F667*L667+F668*L668+F669*L669+F670*L670)+E671*(F673*L673+F674*L674+F671*L671+F672*L672)</f>
        <v>62.353096677730399</v>
      </c>
      <c r="M675" s="170">
        <f>E666*(F666*M666+F667*M667+F668*M668+F669*M669+F670*M670)+E671*(F673*M673+F674*M674+F671*M671+F672*M672)</f>
        <v>33.888551854939202</v>
      </c>
      <c r="N675" s="170">
        <f>E666*(F666*N666+F667*N667+F668*N668+F669*N669+F670*N670)+E671*(F673*N673+F674*N674+F671*N671+F672*N672)</f>
        <v>23.9924274079745</v>
      </c>
      <c r="O675" s="170">
        <f>E666*(F666*O666+F667*O667+F668*O668+F669*O669+F670*O670)+E671*(F673*O673+F674*O674+F671*O671+F672*O672)</f>
        <v>18.269501704616602</v>
      </c>
      <c r="P675" s="170">
        <f>E666*(F666*P666+F667*P667+F668*P668+F669*P669+F670*P670)+E671*(F673*P673+F674*P674+F671*P671+F672*P672)</f>
        <v>12.705158895405001</v>
      </c>
      <c r="Q675" s="170">
        <f>E666*(F666*Q666+F667*Q667+F668*Q668+F669*Q669+F670*Q670)+E671*(F673*Q673+F674*Q674+F671*Q671+F672*Q672)</f>
        <v>8.7808409648663801</v>
      </c>
      <c r="R675" s="170">
        <f>E666*(F666*R666+F667*R667+F668*R668+F669*R669+F670*R670)+E671*(F673*R673+F674*R674+F671*R671+F672*R672)</f>
        <v>7.2741067871464198</v>
      </c>
      <c r="AA675" s="153"/>
      <c r="AE675" s="137"/>
      <c r="AF675" s="137"/>
    </row>
    <row r="676" spans="1:32" ht="14.4">
      <c r="A676" s="276"/>
      <c r="B676" s="276"/>
      <c r="C676"/>
      <c r="F676" s="129" t="s">
        <v>241</v>
      </c>
      <c r="G676" s="149">
        <v>100</v>
      </c>
      <c r="H676" s="149">
        <v>100</v>
      </c>
      <c r="I676" s="129">
        <v>100</v>
      </c>
      <c r="J676" s="129">
        <v>100</v>
      </c>
      <c r="K676" s="129">
        <v>100</v>
      </c>
      <c r="L676" s="129">
        <v>75</v>
      </c>
      <c r="M676" s="129">
        <v>58</v>
      </c>
      <c r="N676" s="129">
        <v>44</v>
      </c>
      <c r="O676" s="129">
        <v>32</v>
      </c>
      <c r="P676" s="129">
        <v>23</v>
      </c>
      <c r="Q676" s="129">
        <v>16</v>
      </c>
      <c r="R676" s="129">
        <v>8</v>
      </c>
      <c r="AA676" s="153"/>
      <c r="AE676" s="137"/>
      <c r="AF676" s="137"/>
    </row>
    <row r="677" spans="1:32" ht="14.4">
      <c r="A677" s="276"/>
      <c r="B677" s="276"/>
      <c r="C677"/>
      <c r="F677" s="129" t="s">
        <v>242</v>
      </c>
      <c r="G677" s="149">
        <f t="shared" ref="G677" si="108">(G676+G678)/2</f>
        <v>100</v>
      </c>
      <c r="H677" s="149">
        <v>100</v>
      </c>
      <c r="I677" s="129">
        <v>100</v>
      </c>
      <c r="J677" s="129">
        <v>100</v>
      </c>
      <c r="K677" s="129">
        <f t="shared" ref="K677:R677" si="109">(K676+K678)/2</f>
        <v>95</v>
      </c>
      <c r="L677" s="129">
        <f t="shared" si="109"/>
        <v>60</v>
      </c>
      <c r="M677" s="129">
        <f t="shared" si="109"/>
        <v>44</v>
      </c>
      <c r="N677" s="129">
        <f t="shared" si="109"/>
        <v>32</v>
      </c>
      <c r="O677" s="129">
        <f t="shared" si="109"/>
        <v>22.5</v>
      </c>
      <c r="P677" s="129">
        <f t="shared" si="109"/>
        <v>16</v>
      </c>
      <c r="Q677" s="129">
        <f t="shared" si="109"/>
        <v>11</v>
      </c>
      <c r="R677" s="129">
        <f t="shared" si="109"/>
        <v>6</v>
      </c>
      <c r="AA677" s="153"/>
      <c r="AE677" s="137"/>
      <c r="AF677" s="137"/>
    </row>
    <row r="678" spans="1:32" ht="14.4">
      <c r="A678" s="276"/>
      <c r="B678" s="276"/>
      <c r="C678"/>
      <c r="F678" s="129" t="s">
        <v>243</v>
      </c>
      <c r="G678" s="149">
        <v>100</v>
      </c>
      <c r="H678" s="149">
        <v>100</v>
      </c>
      <c r="I678" s="129">
        <v>100</v>
      </c>
      <c r="J678" s="129">
        <v>100</v>
      </c>
      <c r="K678" s="129">
        <v>90</v>
      </c>
      <c r="L678" s="129">
        <v>45</v>
      </c>
      <c r="M678" s="129">
        <v>30</v>
      </c>
      <c r="N678" s="129">
        <v>20</v>
      </c>
      <c r="O678" s="129">
        <v>13</v>
      </c>
      <c r="P678" s="129">
        <v>9</v>
      </c>
      <c r="Q678" s="129">
        <v>6</v>
      </c>
      <c r="R678" s="129">
        <v>4</v>
      </c>
      <c r="AA678" s="153"/>
      <c r="AE678" s="137"/>
      <c r="AF678" s="137"/>
    </row>
    <row r="679" spans="1:32" ht="14.4">
      <c r="A679" s="276" t="s">
        <v>135</v>
      </c>
      <c r="B679" s="276" t="s">
        <v>268</v>
      </c>
      <c r="C679" s="159" t="s">
        <v>61</v>
      </c>
      <c r="D679" s="134" t="s">
        <v>87</v>
      </c>
      <c r="E679" s="275">
        <v>0.3</v>
      </c>
      <c r="F679" s="146">
        <v>0</v>
      </c>
      <c r="G679" s="149">
        <v>100</v>
      </c>
      <c r="H679" s="149">
        <v>100</v>
      </c>
      <c r="I679" s="134">
        <v>94.637850219141797</v>
      </c>
      <c r="J679" s="134">
        <v>76.303749798747404</v>
      </c>
      <c r="K679" s="134">
        <v>6.3420145910626102</v>
      </c>
      <c r="L679" s="134">
        <v>0.146091158623463</v>
      </c>
      <c r="M679" s="134">
        <v>0.146091158623463</v>
      </c>
      <c r="N679" s="134">
        <v>0.14808072927188901</v>
      </c>
      <c r="O679" s="134">
        <v>0.146091158623463</v>
      </c>
      <c r="P679" s="134">
        <v>0.146091158623463</v>
      </c>
      <c r="Q679" s="134">
        <v>0.146091158623463</v>
      </c>
      <c r="R679" s="134">
        <v>0.146091158623463</v>
      </c>
      <c r="S679" s="138">
        <v>2.73</v>
      </c>
      <c r="T679" s="138">
        <v>2.6880000000000002</v>
      </c>
      <c r="U679" s="138">
        <f>[2]级配!F679/S679*E679</f>
        <v>7.0329670329670302E-2</v>
      </c>
      <c r="V679" s="138">
        <f>[2]级配!F679/T679*E679</f>
        <v>7.1428571428571397E-2</v>
      </c>
      <c r="W679" s="138">
        <v>2.73</v>
      </c>
      <c r="X679" s="153">
        <v>0.4</v>
      </c>
      <c r="Y679" s="138">
        <f>0.033*X679*X679-0.2936*X679+0.9336</f>
        <v>0.82143999999999995</v>
      </c>
      <c r="Z679" s="138">
        <f>0.033*Y679*Y679-0.2936*Y679+0.9336</f>
        <v>0.71469241722879995</v>
      </c>
      <c r="AA679" s="127">
        <v>2.536</v>
      </c>
      <c r="AB679" s="138">
        <v>2.63</v>
      </c>
      <c r="AC679" s="160">
        <v>5.2</v>
      </c>
      <c r="AD679" s="138">
        <f>100*AC679/(100+AC679)</f>
        <v>4.9429657794676798</v>
      </c>
      <c r="AE679" s="137"/>
      <c r="AF679" s="154">
        <f>AC679-E684*F684*AE684-E684*F685*AE685-E684*F686*AE686</f>
        <v>1.8227377008873</v>
      </c>
    </row>
    <row r="680" spans="1:32" ht="14.4">
      <c r="A680" s="276"/>
      <c r="B680" s="276"/>
      <c r="C680" s="159" t="s">
        <v>61</v>
      </c>
      <c r="D680" s="134" t="s">
        <v>116</v>
      </c>
      <c r="E680" s="275"/>
      <c r="F680" s="146">
        <v>0.33</v>
      </c>
      <c r="G680" s="149">
        <v>100</v>
      </c>
      <c r="H680" s="149">
        <v>100</v>
      </c>
      <c r="I680" s="134">
        <v>100</v>
      </c>
      <c r="J680" s="134">
        <v>99.755693581780505</v>
      </c>
      <c r="K680" s="134">
        <v>80.299871170192105</v>
      </c>
      <c r="L680" s="134">
        <v>46.065973770081001</v>
      </c>
      <c r="M680" s="134">
        <v>0.23180728788062099</v>
      </c>
      <c r="N680" s="134">
        <v>0.22766890019646999</v>
      </c>
      <c r="O680" s="134">
        <v>0.22766890019646999</v>
      </c>
      <c r="P680" s="134">
        <v>0.22766890019646999</v>
      </c>
      <c r="Q680" s="134">
        <v>0.22766890019646999</v>
      </c>
      <c r="R680" s="134">
        <v>0.22766890019646999</v>
      </c>
      <c r="S680" s="138">
        <v>2.7080000000000002</v>
      </c>
      <c r="T680" s="138">
        <v>2.681</v>
      </c>
      <c r="U680" s="138">
        <f>[2]级配!F680/S680*E679</f>
        <v>1.7725258493353001E-2</v>
      </c>
      <c r="V680" s="138">
        <f>[2]级配!F680/T680*E679</f>
        <v>1.7903767251025701E-2</v>
      </c>
      <c r="W680" s="138"/>
      <c r="X680" s="138"/>
      <c r="Y680" s="151"/>
      <c r="Z680" s="151"/>
      <c r="AA680" s="127"/>
      <c r="AB680" s="138"/>
      <c r="AC680" s="160"/>
      <c r="AD680" s="138"/>
      <c r="AE680" s="137"/>
      <c r="AF680" s="137"/>
    </row>
    <row r="681" spans="1:32" ht="13.8" customHeight="1">
      <c r="A681" s="276"/>
      <c r="B681" s="276"/>
      <c r="C681" s="159" t="s">
        <v>61</v>
      </c>
      <c r="D681" s="134" t="s">
        <v>117</v>
      </c>
      <c r="E681" s="275"/>
      <c r="F681" s="146">
        <v>0.5</v>
      </c>
      <c r="G681" s="149">
        <v>100</v>
      </c>
      <c r="H681" s="149">
        <v>100</v>
      </c>
      <c r="I681" s="134">
        <v>100</v>
      </c>
      <c r="J681" s="134">
        <v>100</v>
      </c>
      <c r="K681" s="134">
        <v>98.083762953604506</v>
      </c>
      <c r="L681" s="134">
        <v>56.827495177978399</v>
      </c>
      <c r="M681" s="134">
        <v>0.55765195882440799</v>
      </c>
      <c r="N681" s="134">
        <v>0.37869315390193498</v>
      </c>
      <c r="O681" s="134">
        <v>0.37869315390193498</v>
      </c>
      <c r="P681" s="134">
        <v>0.37869315390193498</v>
      </c>
      <c r="Q681" s="134">
        <v>0.37869315390193498</v>
      </c>
      <c r="R681" s="134">
        <v>0.37869315390193498</v>
      </c>
      <c r="S681" s="138">
        <v>2.7730000000000001</v>
      </c>
      <c r="T681" s="138">
        <v>2.629</v>
      </c>
      <c r="U681" s="138">
        <f>[2]级配!F681/S681*E679</f>
        <v>2.1637216011539801E-2</v>
      </c>
      <c r="V681" s="138">
        <f>[2]级配!F681/T681*E679</f>
        <v>2.28223659186002E-2</v>
      </c>
      <c r="AA681" s="127"/>
      <c r="AB681" s="138"/>
      <c r="AC681" s="160"/>
      <c r="AD681" s="138"/>
      <c r="AE681" s="137"/>
      <c r="AF681" s="137"/>
    </row>
    <row r="682" spans="1:32">
      <c r="A682" s="276"/>
      <c r="B682" s="276"/>
      <c r="C682" s="159" t="s">
        <v>82</v>
      </c>
      <c r="D682" s="134" t="s">
        <v>71</v>
      </c>
      <c r="E682" s="275"/>
      <c r="F682" s="146">
        <v>0.17</v>
      </c>
      <c r="G682" s="149">
        <v>100</v>
      </c>
      <c r="H682" s="149">
        <v>100</v>
      </c>
      <c r="I682" s="134">
        <v>100</v>
      </c>
      <c r="J682" s="134">
        <v>100</v>
      </c>
      <c r="K682" s="134">
        <v>100</v>
      </c>
      <c r="L682" s="134">
        <v>99.535863080549802</v>
      </c>
      <c r="M682" s="134">
        <v>80.920571600011101</v>
      </c>
      <c r="N682" s="134">
        <v>52.361261114203501</v>
      </c>
      <c r="O682" s="134">
        <v>35.177958105460696</v>
      </c>
      <c r="P682" s="134">
        <v>20.742205209966201</v>
      </c>
      <c r="Q682" s="134">
        <v>9.9446623024430405</v>
      </c>
      <c r="R682" s="134">
        <v>6.6012497172878204</v>
      </c>
      <c r="S682" s="138">
        <v>2.6789999999999998</v>
      </c>
      <c r="T682" s="138">
        <v>2.6789999999999998</v>
      </c>
      <c r="U682" s="138">
        <f>[2]级配!F682/S682*E679</f>
        <v>0</v>
      </c>
      <c r="V682" s="138">
        <f>[2]级配!F682/T682*E679</f>
        <v>0</v>
      </c>
      <c r="AA682" s="153"/>
      <c r="AE682" s="137"/>
      <c r="AF682" s="137"/>
    </row>
    <row r="683" spans="1:32" ht="14.4">
      <c r="A683" s="276"/>
      <c r="B683" s="276"/>
      <c r="C683" s="164" t="s">
        <v>99</v>
      </c>
      <c r="D683" s="168" t="s">
        <v>91</v>
      </c>
      <c r="E683" s="275"/>
      <c r="F683" s="129">
        <v>0</v>
      </c>
      <c r="G683" s="149">
        <v>100</v>
      </c>
      <c r="H683" s="149">
        <v>100</v>
      </c>
      <c r="I683" s="149">
        <v>100</v>
      </c>
      <c r="J683" s="149">
        <v>100</v>
      </c>
      <c r="K683" s="149">
        <v>100</v>
      </c>
      <c r="L683" s="149">
        <v>100</v>
      </c>
      <c r="M683" s="149">
        <v>100</v>
      </c>
      <c r="N683" s="149">
        <v>100</v>
      </c>
      <c r="O683" s="149">
        <v>100</v>
      </c>
      <c r="P683" s="149">
        <v>97.4</v>
      </c>
      <c r="Q683" s="149">
        <v>90.2</v>
      </c>
      <c r="R683" s="149">
        <v>78.2</v>
      </c>
      <c r="S683" s="138">
        <v>2.6789999999999998</v>
      </c>
      <c r="T683" s="138">
        <v>2.6789999999999998</v>
      </c>
      <c r="U683" s="138">
        <f>[2]级配!F683/S683*E679</f>
        <v>0</v>
      </c>
      <c r="V683" s="138">
        <f>[2]级配!F683/T683*E679</f>
        <v>0</v>
      </c>
      <c r="AA683" s="153"/>
      <c r="AE683" s="137"/>
      <c r="AF683" s="137"/>
    </row>
    <row r="684" spans="1:32">
      <c r="A684" s="276"/>
      <c r="B684" s="276"/>
      <c r="C684" s="159" t="s">
        <v>74</v>
      </c>
      <c r="D684" s="157" t="s">
        <v>136</v>
      </c>
      <c r="E684" s="276">
        <v>0.7</v>
      </c>
      <c r="F684" s="129">
        <v>0.79</v>
      </c>
      <c r="G684" s="149">
        <v>100</v>
      </c>
      <c r="H684" s="149">
        <v>100</v>
      </c>
      <c r="I684" s="134">
        <v>100</v>
      </c>
      <c r="J684" s="134">
        <v>100</v>
      </c>
      <c r="K684" s="134">
        <v>95.271971471292403</v>
      </c>
      <c r="L684" s="134">
        <v>47.303558868326498</v>
      </c>
      <c r="M684" s="134">
        <v>26.624307868140701</v>
      </c>
      <c r="N684" s="134">
        <v>18.480404699556999</v>
      </c>
      <c r="O684" s="134">
        <v>15.153501315455401</v>
      </c>
      <c r="P684" s="134">
        <v>11.9140681619254</v>
      </c>
      <c r="Q684" s="134">
        <v>9.18411906287532</v>
      </c>
      <c r="R684" s="134">
        <v>7.7645283225088901</v>
      </c>
      <c r="S684" s="138">
        <v>2.72</v>
      </c>
      <c r="T684" s="138">
        <v>2.65</v>
      </c>
      <c r="U684" s="138">
        <f>[2]级配!F684/S684*E679</f>
        <v>4.4117647058823498E-2</v>
      </c>
      <c r="V684" s="138">
        <f>[2]级配!F684/T684*E679</f>
        <v>4.5283018867924497E-2</v>
      </c>
      <c r="AA684" s="153"/>
      <c r="AE684" s="137">
        <v>4.12421711899791</v>
      </c>
      <c r="AF684" s="137"/>
    </row>
    <row r="685" spans="1:32">
      <c r="A685" s="276"/>
      <c r="B685" s="276"/>
      <c r="C685" s="159" t="s">
        <v>76</v>
      </c>
      <c r="D685" s="134" t="s">
        <v>65</v>
      </c>
      <c r="E685" s="276"/>
      <c r="F685" s="129">
        <v>0.21</v>
      </c>
      <c r="G685" s="149">
        <v>100</v>
      </c>
      <c r="H685" s="149">
        <v>100</v>
      </c>
      <c r="I685" s="134">
        <v>100</v>
      </c>
      <c r="J685" s="134">
        <v>100</v>
      </c>
      <c r="K685" s="134">
        <v>100</v>
      </c>
      <c r="L685" s="134">
        <v>99.846564268322695</v>
      </c>
      <c r="M685" s="134">
        <v>93.887234677489801</v>
      </c>
      <c r="N685" s="134">
        <v>68.363897673676107</v>
      </c>
      <c r="O685" s="134">
        <v>50.980040748104798</v>
      </c>
      <c r="P685" s="134">
        <v>33.530336651835</v>
      </c>
      <c r="Q685" s="134">
        <v>22.239253603116399</v>
      </c>
      <c r="R685" s="134">
        <v>18.428441763522802</v>
      </c>
      <c r="S685" s="138">
        <v>2.8519999999999999</v>
      </c>
      <c r="T685" s="138">
        <v>2.7229999999999999</v>
      </c>
      <c r="U685" s="138">
        <f>[2]级配!F685/S685*E679</f>
        <v>6.3113604488078498E-2</v>
      </c>
      <c r="V685" s="138">
        <f>[2]级配!F685/T685*E679</f>
        <v>6.6103562247521105E-2</v>
      </c>
      <c r="AA685" s="153"/>
      <c r="AE685" s="137">
        <v>7.4596614442643698</v>
      </c>
      <c r="AF685" s="137"/>
    </row>
    <row r="686" spans="1:32">
      <c r="A686" s="276"/>
      <c r="B686" s="276"/>
      <c r="C686" s="159" t="s">
        <v>76</v>
      </c>
      <c r="D686" s="134" t="s">
        <v>65</v>
      </c>
      <c r="E686" s="276"/>
      <c r="F686" s="130">
        <v>0</v>
      </c>
      <c r="G686" s="149">
        <v>100</v>
      </c>
      <c r="H686" s="149">
        <v>100</v>
      </c>
      <c r="I686" s="134">
        <v>100</v>
      </c>
      <c r="J686" s="134">
        <v>100</v>
      </c>
      <c r="K686" s="134">
        <v>100</v>
      </c>
      <c r="L686" s="134">
        <v>96.773241575442697</v>
      </c>
      <c r="M686" s="134">
        <v>58.955499795773399</v>
      </c>
      <c r="N686" s="134">
        <v>32.060997642496702</v>
      </c>
      <c r="O686" s="134">
        <v>23.467347478352799</v>
      </c>
      <c r="P686" s="134">
        <v>17.429766402104299</v>
      </c>
      <c r="Q686" s="134">
        <v>13.4674110343355</v>
      </c>
      <c r="R686" s="134">
        <v>11.5498931412078</v>
      </c>
      <c r="S686" s="138">
        <v>2.8290000000000002</v>
      </c>
      <c r="T686" s="138">
        <v>2.7650000000000001</v>
      </c>
      <c r="U686" s="138">
        <f>[2]级配!F686/S686*E684</f>
        <v>0</v>
      </c>
      <c r="V686" s="138">
        <f>[2]级配!F686/T686*E684</f>
        <v>0</v>
      </c>
      <c r="AA686" s="153"/>
      <c r="AE686" s="137"/>
      <c r="AF686" s="137"/>
    </row>
    <row r="687" spans="1:32">
      <c r="A687" s="276"/>
      <c r="B687" s="276"/>
      <c r="C687" s="159" t="s">
        <v>76</v>
      </c>
      <c r="D687" s="168" t="s">
        <v>97</v>
      </c>
      <c r="E687" s="276"/>
      <c r="F687" s="130">
        <v>0</v>
      </c>
      <c r="G687" s="149">
        <v>100</v>
      </c>
      <c r="H687" s="149">
        <v>100</v>
      </c>
      <c r="I687" s="149">
        <v>100</v>
      </c>
      <c r="J687" s="149">
        <v>99.709455890121504</v>
      </c>
      <c r="K687" s="149">
        <v>93.611005421295204</v>
      </c>
      <c r="L687" s="149">
        <v>62.883664943704403</v>
      </c>
      <c r="M687" s="149">
        <v>41.736211500847702</v>
      </c>
      <c r="N687" s="149">
        <v>29.275015875296301</v>
      </c>
      <c r="O687" s="149">
        <v>22.374005580422299</v>
      </c>
      <c r="P687" s="149">
        <v>14.3321095762082</v>
      </c>
      <c r="Q687" s="149">
        <v>9.6170951500159596</v>
      </c>
      <c r="R687" s="149">
        <v>6.5264817525129803</v>
      </c>
      <c r="S687" s="138">
        <v>2.76</v>
      </c>
      <c r="T687" s="138">
        <v>2.7</v>
      </c>
      <c r="U687" s="138">
        <f>[2]级配!F687/S687*E684</f>
        <v>0</v>
      </c>
      <c r="V687" s="138">
        <f>[2]级配!F687/T687*E684</f>
        <v>0</v>
      </c>
      <c r="AA687" s="153"/>
      <c r="AE687" s="137"/>
      <c r="AF687" s="137"/>
    </row>
    <row r="688" spans="1:32" ht="14.4">
      <c r="A688" s="276"/>
      <c r="B688" s="276"/>
      <c r="C688"/>
      <c r="F688" s="129" t="s">
        <v>240</v>
      </c>
      <c r="G688" s="170">
        <f>$E$29*($F$29*G679+$F$30*G680+$F$31*G681+$F$32*G682+$F$33*G683+$F$34*G684+$F$35*G685)+$E$36*($F$36*G686+$F$37*G687)</f>
        <v>100</v>
      </c>
      <c r="H688" s="170">
        <f>E679*(F679*H679+F680*H680+F681*H681+F682*H682+F683*H683)+E684*(F686*H686+F687*H687+F684*H684+F685*H685)</f>
        <v>100</v>
      </c>
      <c r="I688" s="170">
        <f>E679*(F679*I679+F680*I680+F681*I681+F682*I682+F683*I683)+E684*(F686*I686+F687*I687+F684*I684+F685*I685)</f>
        <v>100</v>
      </c>
      <c r="J688" s="170">
        <f>E679*(F679*J679+F680*J680+F681*J681+F682*J682+F683*J683)+E684*(F686*J686+F687*J687+F684*J684+F685*J685)</f>
        <v>99.975813664596302</v>
      </c>
      <c r="K688" s="170">
        <f>E679*(F679*K679+F680*K680+F681*K681+F682*K682+F683*K683)+E684*(F686*K686+F687*K687+F684*K684+F685*K685)</f>
        <v>95.147651912514405</v>
      </c>
      <c r="L688" s="170">
        <f>E679*(F679*L679+F680*L680+F681*L681+F682*L682+F683*L683)+E684*(F686*L686+F687*L687+F684*L684+F685*L685)</f>
        <v>58.997297698670799</v>
      </c>
      <c r="M688" s="170">
        <f>E679*(F679*M679+F680*M680+F681*M681+F682*M682+F683*M683)+E684*(F686*M686+F687*M687+F684*M684+F685*M685)</f>
        <v>32.758211615597197</v>
      </c>
      <c r="N688" s="170">
        <f>E679*(F679*N679+F680*N680+F681*N681+F682*N682+F683*N683)+E684*(F686*N686+F687*N687+F684*N684+F685*N685)</f>
        <v>23.0189242679145</v>
      </c>
      <c r="O688" s="170">
        <f>E679*(F679*O679+F680*O680+F681*O681+F682*O682+F683*O683)+E684*(F686*O686+F687*O687+F684*O684+F685*O685)</f>
        <v>17.747371275001498</v>
      </c>
      <c r="P688" s="170">
        <f>E679*(F679*P679+F680*P680+F681*P681+F682*P682+F683*P683)+E684*(F686*P686+F687*P687+F684*P684+F685*P685)</f>
        <v>12.654634841277501</v>
      </c>
      <c r="Q688" s="170">
        <f>E679*(F679*Q679+F680*Q680+F681*Q681+F682*Q682+F683*Q683)+E684*(F686*Q686+F687*Q687+F684*Q684+F685*Q685)</f>
        <v>8.9345090930574997</v>
      </c>
      <c r="R688" s="170">
        <f>E679*(F679*R679+F680*R680+F681*R681+F682*R682+F683*R683)+E684*(F686*R686+F687*R687+F684*R684+F685*R685)</f>
        <v>7.4187720313716898</v>
      </c>
      <c r="AA688" s="153"/>
      <c r="AE688" s="137"/>
      <c r="AF688" s="137"/>
    </row>
    <row r="689" spans="1:32" ht="14.4">
      <c r="A689" s="276"/>
      <c r="B689" s="276"/>
      <c r="C689"/>
      <c r="F689" s="129" t="s">
        <v>241</v>
      </c>
      <c r="G689" s="149">
        <v>100</v>
      </c>
      <c r="H689" s="149">
        <v>100</v>
      </c>
      <c r="I689" s="129">
        <v>100</v>
      </c>
      <c r="J689" s="129">
        <v>100</v>
      </c>
      <c r="K689" s="129">
        <v>100</v>
      </c>
      <c r="L689" s="129">
        <v>75</v>
      </c>
      <c r="M689" s="129">
        <v>58</v>
      </c>
      <c r="N689" s="129">
        <v>44</v>
      </c>
      <c r="O689" s="129">
        <v>32</v>
      </c>
      <c r="P689" s="129">
        <v>23</v>
      </c>
      <c r="Q689" s="129">
        <v>16</v>
      </c>
      <c r="R689" s="129">
        <v>8</v>
      </c>
      <c r="AA689" s="153"/>
      <c r="AE689" s="137"/>
      <c r="AF689" s="137"/>
    </row>
    <row r="690" spans="1:32" ht="14.4">
      <c r="A690" s="276"/>
      <c r="B690" s="276"/>
      <c r="C690"/>
      <c r="F690" s="129" t="s">
        <v>242</v>
      </c>
      <c r="G690" s="149">
        <f t="shared" ref="G690" si="110">(G689+G691)/2</f>
        <v>100</v>
      </c>
      <c r="H690" s="149">
        <v>100</v>
      </c>
      <c r="I690" s="129">
        <v>100</v>
      </c>
      <c r="J690" s="129">
        <v>100</v>
      </c>
      <c r="K690" s="129">
        <f t="shared" ref="K690:R690" si="111">(K689+K691)/2</f>
        <v>95</v>
      </c>
      <c r="L690" s="129">
        <f t="shared" si="111"/>
        <v>60</v>
      </c>
      <c r="M690" s="129">
        <f t="shared" si="111"/>
        <v>44</v>
      </c>
      <c r="N690" s="129">
        <f t="shared" si="111"/>
        <v>32</v>
      </c>
      <c r="O690" s="129">
        <f t="shared" si="111"/>
        <v>22.5</v>
      </c>
      <c r="P690" s="129">
        <f t="shared" si="111"/>
        <v>16</v>
      </c>
      <c r="Q690" s="129">
        <f t="shared" si="111"/>
        <v>11</v>
      </c>
      <c r="R690" s="129">
        <f t="shared" si="111"/>
        <v>6</v>
      </c>
      <c r="AA690" s="153"/>
      <c r="AE690" s="137"/>
      <c r="AF690" s="137"/>
    </row>
    <row r="691" spans="1:32" ht="14.4">
      <c r="A691" s="276"/>
      <c r="B691" s="276"/>
      <c r="C691"/>
      <c r="F691" s="129" t="s">
        <v>243</v>
      </c>
      <c r="G691" s="149">
        <v>100</v>
      </c>
      <c r="H691" s="149">
        <v>100</v>
      </c>
      <c r="I691" s="129">
        <v>100</v>
      </c>
      <c r="J691" s="129">
        <v>100</v>
      </c>
      <c r="K691" s="129">
        <v>90</v>
      </c>
      <c r="L691" s="129">
        <v>45</v>
      </c>
      <c r="M691" s="129">
        <v>30</v>
      </c>
      <c r="N691" s="129">
        <v>20</v>
      </c>
      <c r="O691" s="129">
        <v>13</v>
      </c>
      <c r="P691" s="129">
        <v>9</v>
      </c>
      <c r="Q691" s="129">
        <v>6</v>
      </c>
      <c r="R691" s="129">
        <v>4</v>
      </c>
      <c r="AA691" s="153"/>
      <c r="AE691" s="137"/>
      <c r="AF691" s="137"/>
    </row>
    <row r="692" spans="1:32" ht="14.4">
      <c r="A692" s="276" t="s">
        <v>137</v>
      </c>
      <c r="B692" s="276" t="s">
        <v>218</v>
      </c>
      <c r="C692" s="159" t="s">
        <v>61</v>
      </c>
      <c r="D692" s="157" t="s">
        <v>79</v>
      </c>
      <c r="E692" s="275">
        <v>0.5</v>
      </c>
      <c r="F692" s="146">
        <v>0.72</v>
      </c>
      <c r="G692" s="149">
        <v>100</v>
      </c>
      <c r="H692" s="149">
        <v>100</v>
      </c>
      <c r="I692" s="134">
        <v>100</v>
      </c>
      <c r="J692" s="134">
        <v>93.4</v>
      </c>
      <c r="K692" s="134">
        <v>21.7</v>
      </c>
      <c r="L692" s="134">
        <v>0.5</v>
      </c>
      <c r="M692" s="134">
        <v>0.4</v>
      </c>
      <c r="N692" s="134">
        <v>0.4</v>
      </c>
      <c r="O692" s="134">
        <v>0.4</v>
      </c>
      <c r="P692" s="134">
        <v>0.4</v>
      </c>
      <c r="Q692" s="134">
        <v>0.4</v>
      </c>
      <c r="R692" s="134">
        <v>0.4</v>
      </c>
      <c r="S692" s="138">
        <v>2.73</v>
      </c>
      <c r="T692" s="138">
        <v>2.6880000000000002</v>
      </c>
      <c r="U692" s="138">
        <f>[2]级配!F692/S692*E692</f>
        <v>9.1575091575091597E-2</v>
      </c>
      <c r="V692" s="138">
        <f>[2]级配!F692/T692*E692</f>
        <v>9.3005952380952397E-2</v>
      </c>
      <c r="W692" s="138">
        <f>1/SUM(U692:U700)</f>
        <v>2.72236140556062</v>
      </c>
      <c r="X692" s="153">
        <v>0.4</v>
      </c>
      <c r="Y692" s="138">
        <f>0.033*X692*X692-0.2936*X692+0.9336</f>
        <v>0.82143999999999995</v>
      </c>
      <c r="Z692" s="138">
        <f>0.033*Y692*Y692-0.2936*Y692+0.9336</f>
        <v>0.71469241722879995</v>
      </c>
      <c r="AA692" s="127">
        <v>2.5536871123363198</v>
      </c>
      <c r="AB692" s="138">
        <f>1/SUM(V692:V700)</f>
        <v>2.6647766076231298</v>
      </c>
      <c r="AC692" s="160">
        <v>4.8</v>
      </c>
      <c r="AD692" s="138">
        <f>100*AC692/(100+AC692)</f>
        <v>4.5801526717557302</v>
      </c>
      <c r="AE692" s="137"/>
      <c r="AF692" s="154">
        <f>AC692-E697*F697*AE697-E697*F698*AE698-E697*F699*AE699</f>
        <v>2.5148330883896701</v>
      </c>
    </row>
    <row r="693" spans="1:32" ht="14.4">
      <c r="A693" s="276"/>
      <c r="B693" s="276"/>
      <c r="C693" s="159" t="s">
        <v>61</v>
      </c>
      <c r="D693" s="157" t="s">
        <v>63</v>
      </c>
      <c r="E693" s="275"/>
      <c r="F693" s="146">
        <v>0.2</v>
      </c>
      <c r="G693" s="149">
        <v>100</v>
      </c>
      <c r="H693" s="149">
        <v>100</v>
      </c>
      <c r="I693" s="134">
        <v>100</v>
      </c>
      <c r="J693" s="134">
        <v>100</v>
      </c>
      <c r="K693" s="134">
        <v>94.446666666666701</v>
      </c>
      <c r="L693" s="134">
        <v>5.9733333333333301</v>
      </c>
      <c r="M693" s="134">
        <v>0.35999999999999899</v>
      </c>
      <c r="N693" s="134">
        <v>0.35999999999999899</v>
      </c>
      <c r="O693" s="134">
        <v>0.35999999999999899</v>
      </c>
      <c r="P693" s="134">
        <v>0.35999999999999899</v>
      </c>
      <c r="Q693" s="134">
        <v>0.35999999999999899</v>
      </c>
      <c r="R693" s="134">
        <v>0.35999999999999899</v>
      </c>
      <c r="S693" s="138">
        <v>2.7080000000000002</v>
      </c>
      <c r="T693" s="138">
        <v>2.681</v>
      </c>
      <c r="U693" s="138">
        <f>[2]级配!F693/S693*E692</f>
        <v>7.5701624815361898E-2</v>
      </c>
      <c r="V693" s="138">
        <f>[2]级配!F693/T693*E692</f>
        <v>7.6464005967922397E-2</v>
      </c>
      <c r="W693" s="138"/>
      <c r="X693" s="138"/>
      <c r="Y693" s="151"/>
      <c r="Z693" s="151"/>
      <c r="AA693" s="127">
        <v>2.6059999999999999</v>
      </c>
      <c r="AB693" s="138">
        <v>2.6663022658182798</v>
      </c>
      <c r="AC693" s="160">
        <v>4.8</v>
      </c>
      <c r="AD693" s="138">
        <v>4.5801526717557302</v>
      </c>
      <c r="AE693" s="137"/>
      <c r="AF693" s="137">
        <v>2.5148330883896701</v>
      </c>
    </row>
    <row r="694" spans="1:32" ht="13.8" customHeight="1">
      <c r="A694" s="276"/>
      <c r="B694" s="276"/>
      <c r="C694" s="159" t="s">
        <v>82</v>
      </c>
      <c r="D694" s="134" t="s">
        <v>65</v>
      </c>
      <c r="E694" s="275"/>
      <c r="F694" s="146">
        <v>0.06</v>
      </c>
      <c r="G694" s="149">
        <v>100</v>
      </c>
      <c r="H694" s="149">
        <v>100</v>
      </c>
      <c r="I694" s="134">
        <v>100</v>
      </c>
      <c r="J694" s="134">
        <v>100</v>
      </c>
      <c r="K694" s="134">
        <v>100</v>
      </c>
      <c r="L694" s="134">
        <v>98.066666666666706</v>
      </c>
      <c r="M694" s="134">
        <v>62.4</v>
      </c>
      <c r="N694" s="134">
        <v>37.266666666666701</v>
      </c>
      <c r="O694" s="134">
        <v>26.441666666666698</v>
      </c>
      <c r="P694" s="134">
        <v>16.7083333333333</v>
      </c>
      <c r="Q694" s="134">
        <v>11.675000000000001</v>
      </c>
      <c r="R694" s="134">
        <v>8.4500000000000206</v>
      </c>
      <c r="S694" s="138">
        <v>2.7730000000000001</v>
      </c>
      <c r="T694" s="138">
        <v>2.629</v>
      </c>
      <c r="U694" s="138">
        <f>[2]级配!F694/S694*E692</f>
        <v>1.62279120086549E-2</v>
      </c>
      <c r="V694" s="138">
        <f>[2]级配!F694/T694*E692</f>
        <v>1.71167744389502E-2</v>
      </c>
      <c r="AA694" s="127"/>
      <c r="AB694" s="138"/>
      <c r="AC694" s="160"/>
      <c r="AD694" s="138"/>
      <c r="AE694" s="137"/>
      <c r="AF694" s="137"/>
    </row>
    <row r="695" spans="1:32">
      <c r="A695" s="276"/>
      <c r="B695" s="276"/>
      <c r="C695" s="159" t="s">
        <v>82</v>
      </c>
      <c r="D695" s="134" t="s">
        <v>71</v>
      </c>
      <c r="E695" s="275"/>
      <c r="F695" s="146">
        <v>0</v>
      </c>
      <c r="G695" s="149">
        <v>100</v>
      </c>
      <c r="H695" s="149">
        <v>100</v>
      </c>
      <c r="I695" s="134">
        <v>100</v>
      </c>
      <c r="J695" s="134">
        <v>100</v>
      </c>
      <c r="K695" s="134">
        <v>100</v>
      </c>
      <c r="L695" s="134">
        <v>99.535863080549802</v>
      </c>
      <c r="M695" s="134">
        <v>80.920571600011101</v>
      </c>
      <c r="N695" s="134">
        <v>52.361261114203501</v>
      </c>
      <c r="O695" s="134">
        <v>35.177958105460696</v>
      </c>
      <c r="P695" s="134">
        <v>20.742205209966201</v>
      </c>
      <c r="Q695" s="134">
        <v>9.9446623024430405</v>
      </c>
      <c r="R695" s="134">
        <v>6.6012497172878204</v>
      </c>
      <c r="S695" s="138">
        <v>2.6789999999999998</v>
      </c>
      <c r="T695" s="138">
        <v>2.6789999999999998</v>
      </c>
      <c r="U695" s="138">
        <f>[2]级配!F695/S695*E692</f>
        <v>0</v>
      </c>
      <c r="V695" s="138">
        <f>[2]级配!F695/T695*E692</f>
        <v>0</v>
      </c>
      <c r="AA695" s="153"/>
      <c r="AE695" s="137"/>
      <c r="AF695" s="137"/>
    </row>
    <row r="696" spans="1:32" ht="14.4">
      <c r="A696" s="276"/>
      <c r="B696" s="276"/>
      <c r="C696" s="164" t="s">
        <v>99</v>
      </c>
      <c r="D696" s="168" t="s">
        <v>91</v>
      </c>
      <c r="E696" s="275"/>
      <c r="F696" s="129">
        <v>0.02</v>
      </c>
      <c r="G696" s="149">
        <v>100</v>
      </c>
      <c r="H696" s="149">
        <v>100</v>
      </c>
      <c r="I696" s="134">
        <v>100</v>
      </c>
      <c r="J696" s="134">
        <v>100</v>
      </c>
      <c r="K696" s="134">
        <v>100</v>
      </c>
      <c r="L696" s="134">
        <v>100</v>
      </c>
      <c r="M696" s="134">
        <v>100</v>
      </c>
      <c r="N696" s="134">
        <v>100</v>
      </c>
      <c r="O696" s="134">
        <v>100</v>
      </c>
      <c r="P696" s="134">
        <v>97.4</v>
      </c>
      <c r="Q696" s="134">
        <v>90.2</v>
      </c>
      <c r="R696" s="134">
        <v>78.2</v>
      </c>
      <c r="S696" s="138">
        <v>2.6789999999999998</v>
      </c>
      <c r="T696" s="138">
        <v>2.6789999999999998</v>
      </c>
      <c r="U696" s="138">
        <f>[2]级配!F696/S696*E692</f>
        <v>0</v>
      </c>
      <c r="V696" s="138">
        <f>[2]级配!F696/T696*E692</f>
        <v>0</v>
      </c>
      <c r="AA696" s="153"/>
      <c r="AE696" s="137"/>
      <c r="AF696" s="137"/>
    </row>
    <row r="697" spans="1:32">
      <c r="A697" s="276"/>
      <c r="B697" s="276"/>
      <c r="C697" s="159" t="s">
        <v>74</v>
      </c>
      <c r="D697" s="157" t="s">
        <v>111</v>
      </c>
      <c r="E697" s="276">
        <v>0.5</v>
      </c>
      <c r="F697" s="129">
        <v>1</v>
      </c>
      <c r="G697" s="149">
        <v>100</v>
      </c>
      <c r="H697" s="149">
        <v>100</v>
      </c>
      <c r="I697" s="134">
        <v>100</v>
      </c>
      <c r="J697" s="134">
        <v>100</v>
      </c>
      <c r="K697" s="134">
        <v>94.631534306349806</v>
      </c>
      <c r="L697" s="134">
        <v>71.414194868457699</v>
      </c>
      <c r="M697" s="134">
        <v>53.083236941136803</v>
      </c>
      <c r="N697" s="134">
        <v>32.815684342438601</v>
      </c>
      <c r="O697" s="134">
        <v>23.463768303381499</v>
      </c>
      <c r="P697" s="134">
        <v>18.126532623805701</v>
      </c>
      <c r="Q697" s="134">
        <v>14.568378258203699</v>
      </c>
      <c r="R697" s="134">
        <v>12.9414871477451</v>
      </c>
      <c r="S697" s="138">
        <v>2.72</v>
      </c>
      <c r="T697" s="138">
        <v>2.65</v>
      </c>
      <c r="U697" s="138">
        <f>[2]级配!F697/S697*E692</f>
        <v>0.183823529411765</v>
      </c>
      <c r="V697" s="138">
        <f>[2]级配!F697/T697*E692</f>
        <v>0.18867924528301899</v>
      </c>
      <c r="AA697" s="153"/>
      <c r="AE697" s="137">
        <v>4.5703338232206496</v>
      </c>
      <c r="AF697" s="137"/>
    </row>
    <row r="698" spans="1:32">
      <c r="A698" s="276"/>
      <c r="B698" s="276"/>
      <c r="C698" s="159" t="s">
        <v>76</v>
      </c>
      <c r="D698" s="134" t="s">
        <v>65</v>
      </c>
      <c r="E698" s="276"/>
      <c r="F698" s="129">
        <v>0</v>
      </c>
      <c r="G698" s="149">
        <v>100</v>
      </c>
      <c r="H698" s="149">
        <v>100</v>
      </c>
      <c r="I698" s="134">
        <v>100</v>
      </c>
      <c r="J698" s="134">
        <v>100</v>
      </c>
      <c r="K698" s="134">
        <v>100</v>
      </c>
      <c r="L698" s="134">
        <v>99.846564268322695</v>
      </c>
      <c r="M698" s="134">
        <v>93.887234677489801</v>
      </c>
      <c r="N698" s="134">
        <v>68.363897673676107</v>
      </c>
      <c r="O698" s="134">
        <v>50.980040748104798</v>
      </c>
      <c r="P698" s="134">
        <v>33.530336651835</v>
      </c>
      <c r="Q698" s="134">
        <v>22.239253603116399</v>
      </c>
      <c r="R698" s="134">
        <v>18.428441763522802</v>
      </c>
      <c r="S698" s="138">
        <v>2.8519999999999999</v>
      </c>
      <c r="T698" s="138">
        <v>2.7229999999999999</v>
      </c>
      <c r="U698" s="138">
        <f>[2]级配!F698/S698*E692</f>
        <v>0</v>
      </c>
      <c r="V698" s="138">
        <f>[2]级配!F698/T698*E692</f>
        <v>0</v>
      </c>
      <c r="AA698" s="153"/>
      <c r="AE698" s="137"/>
      <c r="AF698" s="137"/>
    </row>
    <row r="699" spans="1:32">
      <c r="A699" s="276"/>
      <c r="B699" s="276"/>
      <c r="C699" s="159" t="s">
        <v>76</v>
      </c>
      <c r="D699" s="134" t="s">
        <v>65</v>
      </c>
      <c r="E699" s="276"/>
      <c r="F699" s="130">
        <v>0</v>
      </c>
      <c r="G699" s="149">
        <v>100</v>
      </c>
      <c r="H699" s="149">
        <v>100</v>
      </c>
      <c r="I699" s="134">
        <v>100</v>
      </c>
      <c r="J699" s="134">
        <v>100</v>
      </c>
      <c r="K699" s="134">
        <v>100</v>
      </c>
      <c r="L699" s="134">
        <v>96.773241575442697</v>
      </c>
      <c r="M699" s="134">
        <v>58.955499795773399</v>
      </c>
      <c r="N699" s="134">
        <v>32.060997642496702</v>
      </c>
      <c r="O699" s="134">
        <v>23.467347478352799</v>
      </c>
      <c r="P699" s="134">
        <v>17.429766402104299</v>
      </c>
      <c r="Q699" s="134">
        <v>13.4674110343355</v>
      </c>
      <c r="R699" s="134">
        <v>11.5498931412078</v>
      </c>
      <c r="S699" s="138">
        <v>2.8290000000000002</v>
      </c>
      <c r="T699" s="138">
        <v>2.7650000000000001</v>
      </c>
      <c r="U699" s="138">
        <f>[2]级配!F699/S699*E697</f>
        <v>0</v>
      </c>
      <c r="V699" s="138">
        <f>[2]级配!F699/T699*E697</f>
        <v>0</v>
      </c>
      <c r="AA699" s="153"/>
      <c r="AE699" s="137"/>
      <c r="AF699" s="137"/>
    </row>
    <row r="700" spans="1:32">
      <c r="A700" s="276"/>
      <c r="B700" s="276"/>
      <c r="C700" s="159" t="s">
        <v>76</v>
      </c>
      <c r="D700" s="168" t="s">
        <v>97</v>
      </c>
      <c r="E700" s="276"/>
      <c r="F700" s="130">
        <v>0</v>
      </c>
      <c r="G700" s="149">
        <v>100</v>
      </c>
      <c r="H700" s="149">
        <v>100</v>
      </c>
      <c r="I700" s="149">
        <v>100</v>
      </c>
      <c r="J700" s="149">
        <v>99.709455890121504</v>
      </c>
      <c r="K700" s="149">
        <v>93.611005421295204</v>
      </c>
      <c r="L700" s="149">
        <v>62.883664943704403</v>
      </c>
      <c r="M700" s="149">
        <v>41.736211500847702</v>
      </c>
      <c r="N700" s="149">
        <v>29.275015875296301</v>
      </c>
      <c r="O700" s="149">
        <v>22.374005580422299</v>
      </c>
      <c r="P700" s="149">
        <v>14.3321095762082</v>
      </c>
      <c r="Q700" s="149">
        <v>9.6170951500159596</v>
      </c>
      <c r="R700" s="149">
        <v>6.5264817525129803</v>
      </c>
      <c r="S700" s="138">
        <v>2.76</v>
      </c>
      <c r="T700" s="138">
        <v>2.7</v>
      </c>
      <c r="U700" s="138">
        <f>[2]级配!F700/S700*E697</f>
        <v>0</v>
      </c>
      <c r="V700" s="138">
        <f>[2]级配!F700/T700*E697</f>
        <v>0</v>
      </c>
      <c r="AA700" s="153"/>
      <c r="AE700" s="137"/>
      <c r="AF700" s="137"/>
    </row>
    <row r="701" spans="1:32" ht="14.4">
      <c r="A701" s="276"/>
      <c r="B701" s="276"/>
      <c r="C701"/>
      <c r="F701" s="129" t="s">
        <v>240</v>
      </c>
      <c r="G701" s="170">
        <f>$E$29*($F$29*G692+$F$30*G693+$F$31*G694+$F$32*G695+$F$33*G696+$F$34*G697+$F$35*G698)+$E$36*($F$36*G699+$F$37*G700)</f>
        <v>100</v>
      </c>
      <c r="H701" s="170">
        <f>E692*(F692*H692+F693*H693+F694*H694+F695*H695+F696*H696)+E697*(F699*H699+F700*H700+F697*H697+F698*H698)</f>
        <v>100</v>
      </c>
      <c r="I701" s="170">
        <f>E692*(F692*I692+F693*I693+F694*I694+F695*I695+F696*I696)+E697*(F699*I699+F700*I700+F697*I697+F698*I698)</f>
        <v>100</v>
      </c>
      <c r="J701" s="170">
        <f>E692*(F692*J692+F693*J693+F694*J694+F695*J695+F696*J696)+E697*(F699*J699+F700*J700+F697*J697+F698*J698)</f>
        <v>97.623999999999995</v>
      </c>
      <c r="K701" s="170">
        <f>E692*(F692*K692+F693*K693+F694*K694+F695*K695+F696*K696)+E697*(F699*K699+F700*K700+F697*K697+F698*K698)</f>
        <v>68.572433819841606</v>
      </c>
      <c r="L701" s="170">
        <f>E692*(F692*L692+F693*L693+F694*L694+F695*L695+F696*L696)+E697*(F699*L699+F700*L700+F697*L697+F698*L698)</f>
        <v>40.426430767562202</v>
      </c>
      <c r="M701" s="170">
        <f>E692*(F692*M692+F693*M693+F694*M694+F695*M695+F696*M696)+E697*(F699*M699+F700*M700+F697*M697+F698*M698)</f>
        <v>29.593618470568401</v>
      </c>
      <c r="N701" s="170">
        <f>E692*(F692*N692+F693*N693+F694*N694+F695*N695+F696*N696)+E697*(F699*N699+F700*N700+F697*N697+F698*N698)</f>
        <v>18.705842171219299</v>
      </c>
      <c r="O701" s="170">
        <f>E692*(F692*O692+F693*O693+F694*O694+F695*O695+F696*O696)+E697*(F699*O699+F700*O700+F697*O697+F698*O698)</f>
        <v>13.7051341516907</v>
      </c>
      <c r="P701" s="170">
        <f>E692*(F692*P692+F693*P693+F694*P694+F695*P695+F696*P696)+E697*(F699*P699+F700*P700+F697*P697+F698*P698)</f>
        <v>10.7185163119028</v>
      </c>
      <c r="Q701" s="170">
        <f>E692*(F692*Q692+F693*Q693+F694*Q694+F695*Q695+F696*Q696)+E697*(F699*Q699+F700*Q700+F697*Q697+F698*Q698)</f>
        <v>8.7164391291018504</v>
      </c>
      <c r="R701" s="170">
        <f>E692*(F692*R692+F693*R693+F694*R694+F695*R695+F696*R696)+E697*(F699*R699+F700*R700+F697*R697+F698*R698)</f>
        <v>7.6862435738725496</v>
      </c>
      <c r="AA701" s="153"/>
      <c r="AE701" s="137"/>
      <c r="AF701" s="137"/>
    </row>
    <row r="702" spans="1:32" ht="14.4">
      <c r="A702" s="276"/>
      <c r="B702" s="276"/>
      <c r="C702"/>
      <c r="F702" s="129" t="s">
        <v>241</v>
      </c>
      <c r="G702" s="149">
        <v>100</v>
      </c>
      <c r="H702" s="149">
        <v>100</v>
      </c>
      <c r="I702" s="129">
        <v>100</v>
      </c>
      <c r="J702" s="129">
        <v>100</v>
      </c>
      <c r="K702" s="129">
        <v>85</v>
      </c>
      <c r="L702" s="129">
        <v>68</v>
      </c>
      <c r="M702" s="129">
        <v>50</v>
      </c>
      <c r="N702" s="129">
        <v>38</v>
      </c>
      <c r="O702" s="129">
        <v>28</v>
      </c>
      <c r="P702" s="129">
        <v>20</v>
      </c>
      <c r="Q702" s="129">
        <v>15</v>
      </c>
      <c r="R702" s="129">
        <v>8</v>
      </c>
      <c r="AA702" s="153"/>
      <c r="AE702" s="137"/>
      <c r="AF702" s="137"/>
    </row>
    <row r="703" spans="1:32" ht="14.4">
      <c r="A703" s="276"/>
      <c r="B703" s="276"/>
      <c r="C703"/>
      <c r="F703" s="129" t="s">
        <v>242</v>
      </c>
      <c r="G703" s="149">
        <f t="shared" ref="G703" si="112">(G702+G704)/2</f>
        <v>100</v>
      </c>
      <c r="H703" s="149">
        <v>100</v>
      </c>
      <c r="I703" s="129">
        <v>100</v>
      </c>
      <c r="J703" s="129">
        <f t="shared" ref="J703:R703" si="113">(J702+J704)/2</f>
        <v>95</v>
      </c>
      <c r="K703" s="129">
        <f t="shared" si="113"/>
        <v>76.5</v>
      </c>
      <c r="L703" s="129">
        <f t="shared" si="113"/>
        <v>53</v>
      </c>
      <c r="M703" s="129">
        <f t="shared" si="113"/>
        <v>37</v>
      </c>
      <c r="N703" s="129">
        <f t="shared" si="113"/>
        <v>26.5</v>
      </c>
      <c r="O703" s="129">
        <f t="shared" si="113"/>
        <v>19</v>
      </c>
      <c r="P703" s="129">
        <f t="shared" si="113"/>
        <v>13.5</v>
      </c>
      <c r="Q703" s="129">
        <f t="shared" si="113"/>
        <v>10</v>
      </c>
      <c r="R703" s="129">
        <f t="shared" si="113"/>
        <v>6</v>
      </c>
      <c r="AA703" s="153"/>
      <c r="AE703" s="137"/>
      <c r="AF703" s="137"/>
    </row>
    <row r="704" spans="1:32" ht="14.4">
      <c r="A704" s="276"/>
      <c r="B704" s="276"/>
      <c r="C704"/>
      <c r="F704" s="129" t="s">
        <v>243</v>
      </c>
      <c r="G704" s="149">
        <v>100</v>
      </c>
      <c r="H704" s="149">
        <v>100</v>
      </c>
      <c r="I704" s="129">
        <v>100</v>
      </c>
      <c r="J704" s="129">
        <v>90</v>
      </c>
      <c r="K704" s="129">
        <v>68</v>
      </c>
      <c r="L704" s="129">
        <v>38</v>
      </c>
      <c r="M704" s="129">
        <v>24</v>
      </c>
      <c r="N704" s="129">
        <v>15</v>
      </c>
      <c r="O704" s="129">
        <v>10</v>
      </c>
      <c r="P704" s="129">
        <v>7</v>
      </c>
      <c r="Q704" s="129">
        <v>5</v>
      </c>
      <c r="R704" s="129">
        <v>4</v>
      </c>
      <c r="AA704" s="153"/>
      <c r="AE704" s="137"/>
      <c r="AF704" s="137"/>
    </row>
    <row r="705" spans="1:32" ht="14.4">
      <c r="A705" s="276" t="s">
        <v>138</v>
      </c>
      <c r="B705" s="276" t="s">
        <v>94</v>
      </c>
      <c r="C705" s="159" t="s">
        <v>61</v>
      </c>
      <c r="D705" s="157" t="s">
        <v>63</v>
      </c>
      <c r="E705" s="275">
        <v>0.3</v>
      </c>
      <c r="F705" s="146">
        <v>0.5</v>
      </c>
      <c r="G705" s="149">
        <v>100</v>
      </c>
      <c r="H705" s="149">
        <v>100</v>
      </c>
      <c r="I705" s="134">
        <v>100</v>
      </c>
      <c r="J705" s="134">
        <v>100</v>
      </c>
      <c r="K705" s="134">
        <v>96.042728012680499</v>
      </c>
      <c r="L705" s="134">
        <v>27.549548044381599</v>
      </c>
      <c r="M705" s="134">
        <v>4.8975667223578903</v>
      </c>
      <c r="N705" s="134">
        <v>2.4941481386282902</v>
      </c>
      <c r="O705" s="134">
        <v>1.45217409930173</v>
      </c>
      <c r="P705" s="134">
        <v>0.98345970954891004</v>
      </c>
      <c r="Q705" s="134">
        <v>0.81166516728784199</v>
      </c>
      <c r="R705" s="134">
        <v>0.77201302317611498</v>
      </c>
      <c r="S705" s="138">
        <v>2.73</v>
      </c>
      <c r="T705" s="138">
        <v>2.6880000000000002</v>
      </c>
      <c r="U705" s="138">
        <f>[2]级配!F705/S705*E705</f>
        <v>5.4945054945054903E-2</v>
      </c>
      <c r="V705" s="138">
        <f>[2]级配!F705/T705*E705</f>
        <v>5.5803571428571397E-2</v>
      </c>
      <c r="W705" s="138">
        <v>2.72</v>
      </c>
      <c r="X705" s="153">
        <v>0.4</v>
      </c>
      <c r="Y705" s="138">
        <f>0.033*X705*X705-0.2936*X705+0.9336</f>
        <v>0.82143999999999995</v>
      </c>
      <c r="Z705" s="138">
        <f>0.033*Y705*Y705-0.2936*Y705+0.9336</f>
        <v>0.71469241722879995</v>
      </c>
      <c r="AA705" s="127">
        <v>2.536</v>
      </c>
      <c r="AB705" s="138">
        <v>2.68</v>
      </c>
      <c r="AC705" s="160">
        <v>5</v>
      </c>
      <c r="AD705" s="138">
        <f>100*AC705/(100+AC705)</f>
        <v>4.7619047619047601</v>
      </c>
      <c r="AE705" s="137"/>
      <c r="AF705" s="154">
        <f>AC705-E710*F710*AE710-E710*F711*AE711-E710*F712*AE712</f>
        <v>1.93760319748395</v>
      </c>
    </row>
    <row r="706" spans="1:32" ht="14.4">
      <c r="A706" s="276"/>
      <c r="B706" s="276"/>
      <c r="C706" s="159" t="s">
        <v>61</v>
      </c>
      <c r="D706" s="157" t="s">
        <v>65</v>
      </c>
      <c r="E706" s="275"/>
      <c r="F706" s="146">
        <v>0.5</v>
      </c>
      <c r="G706" s="149">
        <v>100</v>
      </c>
      <c r="H706" s="149">
        <v>100</v>
      </c>
      <c r="I706" s="134">
        <v>100</v>
      </c>
      <c r="J706" s="134">
        <v>100</v>
      </c>
      <c r="K706" s="134">
        <v>99.236611901192305</v>
      </c>
      <c r="L706" s="134">
        <v>86.826955227471302</v>
      </c>
      <c r="M706" s="134">
        <v>71.086515167718204</v>
      </c>
      <c r="N706" s="134">
        <v>45.040300052994397</v>
      </c>
      <c r="O706" s="134">
        <v>21.575020368028198</v>
      </c>
      <c r="P706" s="134">
        <v>4.9984219960763498</v>
      </c>
      <c r="Q706" s="134">
        <v>3.2489656252831902</v>
      </c>
      <c r="R706" s="134">
        <v>3.1262759441073702</v>
      </c>
      <c r="S706" s="138">
        <v>2.7080000000000002</v>
      </c>
      <c r="T706" s="138">
        <v>2.681</v>
      </c>
      <c r="U706" s="138">
        <f>[2]级配!F706/S706*E705</f>
        <v>3.32348596750369E-2</v>
      </c>
      <c r="V706" s="138">
        <f>[2]级配!F706/T706*E705</f>
        <v>3.3569563595673299E-2</v>
      </c>
      <c r="W706" s="138"/>
      <c r="X706" s="138"/>
      <c r="Y706" s="151"/>
      <c r="Z706" s="151"/>
      <c r="AA706" s="127"/>
      <c r="AB706" s="138"/>
      <c r="AC706" s="160"/>
      <c r="AD706" s="138"/>
      <c r="AE706" s="137"/>
      <c r="AF706" s="137"/>
    </row>
    <row r="707" spans="1:32" ht="13.8" customHeight="1">
      <c r="A707" s="276"/>
      <c r="B707" s="276"/>
      <c r="C707" s="159" t="s">
        <v>61</v>
      </c>
      <c r="D707" s="134" t="s">
        <v>117</v>
      </c>
      <c r="E707" s="275"/>
      <c r="F707" s="146">
        <v>0</v>
      </c>
      <c r="G707" s="149">
        <v>100</v>
      </c>
      <c r="H707" s="149">
        <v>100</v>
      </c>
      <c r="I707" s="134">
        <v>100</v>
      </c>
      <c r="J707" s="134">
        <v>100</v>
      </c>
      <c r="K707" s="134">
        <v>98.083762953604506</v>
      </c>
      <c r="L707" s="134">
        <v>56.827495177978399</v>
      </c>
      <c r="M707" s="134">
        <v>0.55765195882440799</v>
      </c>
      <c r="N707" s="134">
        <v>0.37869315390193498</v>
      </c>
      <c r="O707" s="134">
        <v>0.37869315390193498</v>
      </c>
      <c r="P707" s="134">
        <v>0.37869315390193498</v>
      </c>
      <c r="Q707" s="134">
        <v>0.37869315390193498</v>
      </c>
      <c r="R707" s="134">
        <v>0.37869315390193498</v>
      </c>
      <c r="S707" s="138">
        <v>2.7730000000000001</v>
      </c>
      <c r="T707" s="138">
        <v>2.629</v>
      </c>
      <c r="U707" s="138">
        <f>[2]级配!F707/S707*E705</f>
        <v>2.1637216011539801E-2</v>
      </c>
      <c r="V707" s="138">
        <f>[2]级配!F707/T707*E705</f>
        <v>2.28223659186002E-2</v>
      </c>
      <c r="AA707" s="127"/>
      <c r="AB707" s="138"/>
      <c r="AC707" s="160"/>
      <c r="AD707" s="138"/>
      <c r="AE707" s="137"/>
      <c r="AF707" s="137"/>
    </row>
    <row r="708" spans="1:32">
      <c r="A708" s="276"/>
      <c r="B708" s="276"/>
      <c r="C708" s="159" t="s">
        <v>82</v>
      </c>
      <c r="D708" s="134" t="s">
        <v>71</v>
      </c>
      <c r="E708" s="275"/>
      <c r="F708" s="146">
        <v>0</v>
      </c>
      <c r="G708" s="149">
        <v>100</v>
      </c>
      <c r="H708" s="149">
        <v>100</v>
      </c>
      <c r="I708" s="134">
        <v>100</v>
      </c>
      <c r="J708" s="134">
        <v>100</v>
      </c>
      <c r="K708" s="134">
        <v>100</v>
      </c>
      <c r="L708" s="134">
        <v>99.535863080549802</v>
      </c>
      <c r="M708" s="134">
        <v>80.920571600011101</v>
      </c>
      <c r="N708" s="134">
        <v>52.361261114203501</v>
      </c>
      <c r="O708" s="134">
        <v>35.177958105460696</v>
      </c>
      <c r="P708" s="134">
        <v>20.742205209966201</v>
      </c>
      <c r="Q708" s="134">
        <v>9.9446623024430405</v>
      </c>
      <c r="R708" s="134">
        <v>6.6012497172878204</v>
      </c>
      <c r="S708" s="138">
        <v>2.6789999999999998</v>
      </c>
      <c r="T708" s="138">
        <v>2.6789999999999998</v>
      </c>
      <c r="U708" s="138">
        <f>[2]级配!F708/S708*E705</f>
        <v>0</v>
      </c>
      <c r="V708" s="138">
        <f>[2]级配!F708/T708*E705</f>
        <v>0</v>
      </c>
      <c r="AA708" s="153"/>
      <c r="AE708" s="137"/>
      <c r="AF708" s="137"/>
    </row>
    <row r="709" spans="1:32" ht="14.4">
      <c r="A709" s="276"/>
      <c r="B709" s="276"/>
      <c r="C709" s="164" t="s">
        <v>99</v>
      </c>
      <c r="D709" s="168" t="s">
        <v>91</v>
      </c>
      <c r="E709" s="275"/>
      <c r="F709" s="129">
        <v>0</v>
      </c>
      <c r="G709" s="149">
        <v>100</v>
      </c>
      <c r="H709" s="149">
        <v>100</v>
      </c>
      <c r="I709" s="149">
        <v>100</v>
      </c>
      <c r="J709" s="149">
        <v>100</v>
      </c>
      <c r="K709" s="149">
        <v>100</v>
      </c>
      <c r="L709" s="149">
        <v>100</v>
      </c>
      <c r="M709" s="149">
        <v>100</v>
      </c>
      <c r="N709" s="149">
        <v>100</v>
      </c>
      <c r="O709" s="149">
        <v>100</v>
      </c>
      <c r="P709" s="149">
        <v>97.4</v>
      </c>
      <c r="Q709" s="149">
        <v>90.2</v>
      </c>
      <c r="R709" s="149">
        <v>78.2</v>
      </c>
      <c r="S709" s="138">
        <v>2.6789999999999998</v>
      </c>
      <c r="T709" s="138">
        <v>2.6789999999999998</v>
      </c>
      <c r="U709" s="138">
        <f>[2]级配!F709/S709*E705</f>
        <v>0</v>
      </c>
      <c r="V709" s="138">
        <f>[2]级配!F709/T709*E705</f>
        <v>0</v>
      </c>
      <c r="AA709" s="153"/>
      <c r="AE709" s="137"/>
      <c r="AF709" s="137"/>
    </row>
    <row r="710" spans="1:32">
      <c r="A710" s="276"/>
      <c r="B710" s="276"/>
      <c r="C710" s="159" t="s">
        <v>74</v>
      </c>
      <c r="D710" s="157" t="s">
        <v>68</v>
      </c>
      <c r="E710" s="276">
        <v>0.7</v>
      </c>
      <c r="F710" s="129">
        <v>1</v>
      </c>
      <c r="G710" s="149">
        <v>100</v>
      </c>
      <c r="H710" s="149">
        <v>100</v>
      </c>
      <c r="I710" s="134">
        <v>100</v>
      </c>
      <c r="J710" s="134">
        <v>100</v>
      </c>
      <c r="K710" s="134">
        <v>98.177912288745205</v>
      </c>
      <c r="L710" s="134">
        <v>73.821693572194803</v>
      </c>
      <c r="M710" s="134">
        <v>47.239610365571799</v>
      </c>
      <c r="N710" s="134">
        <v>31.981399802975901</v>
      </c>
      <c r="O710" s="134">
        <v>25.115732115088498</v>
      </c>
      <c r="P710" s="134">
        <v>19.8664693332525</v>
      </c>
      <c r="Q710" s="134">
        <v>15.319459798481001</v>
      </c>
      <c r="R710" s="134">
        <v>13.447492309697401</v>
      </c>
      <c r="S710" s="138">
        <v>2.72</v>
      </c>
      <c r="T710" s="138">
        <v>2.65</v>
      </c>
      <c r="U710" s="138">
        <f>[2]级配!F710/S710*E705</f>
        <v>0.110294117647059</v>
      </c>
      <c r="V710" s="138">
        <f>[2]级配!F710/T710*E705</f>
        <v>0.113207547169811</v>
      </c>
      <c r="AA710" s="153"/>
      <c r="AE710" s="137">
        <v>4.3748525750229197</v>
      </c>
      <c r="AF710" s="137"/>
    </row>
    <row r="711" spans="1:32">
      <c r="A711" s="276"/>
      <c r="B711" s="276"/>
      <c r="C711" s="159" t="s">
        <v>76</v>
      </c>
      <c r="D711" s="134" t="s">
        <v>65</v>
      </c>
      <c r="E711" s="276"/>
      <c r="F711" s="129">
        <v>0</v>
      </c>
      <c r="G711" s="149">
        <v>100</v>
      </c>
      <c r="H711" s="149">
        <v>100</v>
      </c>
      <c r="I711" s="134">
        <v>100</v>
      </c>
      <c r="J711" s="134">
        <v>100</v>
      </c>
      <c r="K711" s="134">
        <v>100</v>
      </c>
      <c r="L711" s="134">
        <v>99.846564268322695</v>
      </c>
      <c r="M711" s="134">
        <v>93.887234677489801</v>
      </c>
      <c r="N711" s="134">
        <v>68.363897673676107</v>
      </c>
      <c r="O711" s="134">
        <v>50.980040748104798</v>
      </c>
      <c r="P711" s="134">
        <v>33.530336651835</v>
      </c>
      <c r="Q711" s="134">
        <v>22.239253603116399</v>
      </c>
      <c r="R711" s="134">
        <v>18.428441763522802</v>
      </c>
      <c r="S711" s="138">
        <v>2.8519999999999999</v>
      </c>
      <c r="T711" s="138">
        <v>2.7229999999999999</v>
      </c>
      <c r="U711" s="138">
        <f>[2]级配!F711/S711*E705</f>
        <v>0</v>
      </c>
      <c r="V711" s="138">
        <f>[2]级配!F711/T711*E705</f>
        <v>0</v>
      </c>
      <c r="AA711" s="153"/>
      <c r="AE711" s="137"/>
      <c r="AF711" s="137"/>
    </row>
    <row r="712" spans="1:32">
      <c r="A712" s="276"/>
      <c r="B712" s="276"/>
      <c r="C712" s="159" t="s">
        <v>76</v>
      </c>
      <c r="D712" s="134" t="s">
        <v>65</v>
      </c>
      <c r="E712" s="276"/>
      <c r="F712" s="130">
        <v>0</v>
      </c>
      <c r="G712" s="149">
        <v>100</v>
      </c>
      <c r="H712" s="149">
        <v>100</v>
      </c>
      <c r="I712" s="134">
        <v>100</v>
      </c>
      <c r="J712" s="134">
        <v>100</v>
      </c>
      <c r="K712" s="134">
        <v>100</v>
      </c>
      <c r="L712" s="134">
        <v>96.773241575442697</v>
      </c>
      <c r="M712" s="134">
        <v>58.955499795773399</v>
      </c>
      <c r="N712" s="134">
        <v>32.060997642496702</v>
      </c>
      <c r="O712" s="134">
        <v>23.467347478352799</v>
      </c>
      <c r="P712" s="134">
        <v>17.429766402104299</v>
      </c>
      <c r="Q712" s="134">
        <v>13.4674110343355</v>
      </c>
      <c r="R712" s="134">
        <v>11.5498931412078</v>
      </c>
      <c r="S712" s="138">
        <v>2.8290000000000002</v>
      </c>
      <c r="T712" s="138">
        <v>2.7650000000000001</v>
      </c>
      <c r="U712" s="138">
        <f>[2]级配!F712/S712*E710</f>
        <v>0</v>
      </c>
      <c r="V712" s="138">
        <f>[2]级配!F712/T712*E710</f>
        <v>0</v>
      </c>
      <c r="AA712" s="153"/>
      <c r="AE712" s="137"/>
      <c r="AF712" s="137"/>
    </row>
    <row r="713" spans="1:32">
      <c r="A713" s="276"/>
      <c r="B713" s="276"/>
      <c r="C713" s="159" t="s">
        <v>76</v>
      </c>
      <c r="D713" s="168" t="s">
        <v>97</v>
      </c>
      <c r="E713" s="276"/>
      <c r="F713" s="130">
        <v>0</v>
      </c>
      <c r="G713" s="149">
        <v>100</v>
      </c>
      <c r="H713" s="149">
        <v>100</v>
      </c>
      <c r="I713" s="149">
        <v>100</v>
      </c>
      <c r="J713" s="149">
        <v>99.709455890121504</v>
      </c>
      <c r="K713" s="149">
        <v>93.611005421295204</v>
      </c>
      <c r="L713" s="149">
        <v>62.883664943704403</v>
      </c>
      <c r="M713" s="149">
        <v>41.736211500847702</v>
      </c>
      <c r="N713" s="149">
        <v>29.275015875296301</v>
      </c>
      <c r="O713" s="149">
        <v>22.374005580422299</v>
      </c>
      <c r="P713" s="149">
        <v>14.3321095762082</v>
      </c>
      <c r="Q713" s="149">
        <v>9.6170951500159596</v>
      </c>
      <c r="R713" s="149">
        <v>6.5264817525129803</v>
      </c>
      <c r="S713" s="138">
        <v>2.76</v>
      </c>
      <c r="T713" s="138">
        <v>2.7</v>
      </c>
      <c r="U713" s="138">
        <f>[2]级配!F713/S713*E710</f>
        <v>0</v>
      </c>
      <c r="V713" s="138">
        <f>[2]级配!F713/T713*E710</f>
        <v>0</v>
      </c>
      <c r="AA713" s="153"/>
      <c r="AE713" s="137"/>
      <c r="AF713" s="137"/>
    </row>
    <row r="714" spans="1:32" ht="14.4">
      <c r="A714" s="276"/>
      <c r="B714" s="276"/>
      <c r="C714"/>
      <c r="F714" s="129" t="s">
        <v>240</v>
      </c>
      <c r="G714" s="170">
        <f>$E$29*($F$29*G705+$F$30*G706+$F$31*G707+$F$32*G708+$F$33*G709+$F$34*G710+$F$35*G711)+$E$36*($F$36*G712+$F$37*G713)</f>
        <v>100</v>
      </c>
      <c r="H714" s="170">
        <f>E705*(F705*H705+F706*H706+F707*H707+F708*H708+F709*H709)+E710*(F712*H712+F713*H713+F710*H710+F711*H711)</f>
        <v>100</v>
      </c>
      <c r="I714" s="170">
        <f>E705*(F705*I705+F706*I706+F707*I707+F708*I708+F709*I709)+E710*(F712*I712+F713*I713+F710*I710+F711*I711)</f>
        <v>100</v>
      </c>
      <c r="J714" s="170">
        <f>E705*(F705*J705+F706*J706+F707*J707+F708*J708+F709*J709)+E710*(F712*J712+F713*J713+F710*J710+F711*J711)</f>
        <v>100</v>
      </c>
      <c r="K714" s="170">
        <f>E705*(F705*K705+F706*K706+F707*K707+F708*K708+F709*K709)+E710*(F712*K712+F713*K713+F710*K710+F711*K711)</f>
        <v>98.016439589202605</v>
      </c>
      <c r="L714" s="170">
        <f>E705*(F705*L705+F706*L706+F707*L707+F708*L708+F709*L709)+E710*(F712*L712+F713*L713+F710*L710+F711*L711)</f>
        <v>68.831660991314294</v>
      </c>
      <c r="M714" s="170">
        <f>E705*(F705*M705+F706*M706+F707*M707+F708*M708+F709*M709)+E710*(F712*M712+F713*M713+F710*M710+F711*M711)</f>
        <v>44.465339539411701</v>
      </c>
      <c r="N714" s="170">
        <f>E705*(F705*N705+F706*N706+F707*N707+F708*N708+F709*N709)+E710*(F712*N712+F713*N713+F710*N710+F711*N711)</f>
        <v>29.517147090826501</v>
      </c>
      <c r="O714" s="170">
        <f>E705*(F705*O705+F706*O706+F707*O707+F708*O708+F709*O709)+E710*(F712*O712+F713*O713+F710*O710+F711*O711)</f>
        <v>21.0350916506614</v>
      </c>
      <c r="P714" s="170">
        <f>E705*(F705*P705+F706*P706+F707*P707+F708*P708+F709*P709)+E710*(F712*P712+F713*P713+F710*P710+F711*P711)</f>
        <v>14.803810789120501</v>
      </c>
      <c r="Q714" s="170">
        <f>E705*(F705*Q705+F706*Q706+F707*Q707+F708*Q708+F709*Q709)+E710*(F712*Q712+F713*Q713+F710*Q710+F711*Q711)</f>
        <v>11.3327164778224</v>
      </c>
      <c r="R714" s="170">
        <f>E705*(F705*R705+F706*R706+F707*R707+F708*R708+F709*R709)+E710*(F712*R712+F713*R713+F710*R710+F711*R711)</f>
        <v>9.9979879618806997</v>
      </c>
      <c r="AA714" s="153"/>
      <c r="AE714" s="137"/>
      <c r="AF714" s="137"/>
    </row>
    <row r="715" spans="1:32" ht="14.4">
      <c r="A715" s="276"/>
      <c r="B715" s="276"/>
      <c r="C715"/>
      <c r="F715" s="129" t="s">
        <v>241</v>
      </c>
      <c r="G715" s="149">
        <v>100</v>
      </c>
      <c r="H715" s="149">
        <v>100</v>
      </c>
      <c r="I715" s="129">
        <v>100</v>
      </c>
      <c r="J715" s="129">
        <v>100</v>
      </c>
      <c r="K715" s="129">
        <v>100</v>
      </c>
      <c r="L715" s="129">
        <v>75</v>
      </c>
      <c r="M715" s="129">
        <v>58</v>
      </c>
      <c r="N715" s="129">
        <v>44</v>
      </c>
      <c r="O715" s="129">
        <v>32</v>
      </c>
      <c r="P715" s="129">
        <v>23</v>
      </c>
      <c r="Q715" s="129">
        <v>16</v>
      </c>
      <c r="R715" s="129">
        <v>8</v>
      </c>
      <c r="AA715" s="153"/>
      <c r="AE715" s="137"/>
      <c r="AF715" s="137"/>
    </row>
    <row r="716" spans="1:32" ht="14.4">
      <c r="A716" s="276"/>
      <c r="B716" s="276"/>
      <c r="C716"/>
      <c r="F716" s="129" t="s">
        <v>242</v>
      </c>
      <c r="G716" s="149">
        <f t="shared" ref="G716" si="114">(G715+G717)/2</f>
        <v>100</v>
      </c>
      <c r="H716" s="149">
        <v>100</v>
      </c>
      <c r="I716" s="129">
        <v>100</v>
      </c>
      <c r="J716" s="129">
        <v>100</v>
      </c>
      <c r="K716" s="129">
        <f t="shared" ref="K716:R716" si="115">(K715+K717)/2</f>
        <v>95</v>
      </c>
      <c r="L716" s="129">
        <f t="shared" si="115"/>
        <v>60</v>
      </c>
      <c r="M716" s="129">
        <f t="shared" si="115"/>
        <v>44</v>
      </c>
      <c r="N716" s="129">
        <f t="shared" si="115"/>
        <v>32</v>
      </c>
      <c r="O716" s="129">
        <f t="shared" si="115"/>
        <v>22.5</v>
      </c>
      <c r="P716" s="129">
        <f t="shared" si="115"/>
        <v>16</v>
      </c>
      <c r="Q716" s="129">
        <f t="shared" si="115"/>
        <v>11</v>
      </c>
      <c r="R716" s="129">
        <f t="shared" si="115"/>
        <v>6</v>
      </c>
      <c r="AA716" s="153"/>
      <c r="AE716" s="137"/>
      <c r="AF716" s="137"/>
    </row>
    <row r="717" spans="1:32" ht="14.4">
      <c r="A717" s="276"/>
      <c r="B717" s="276"/>
      <c r="C717"/>
      <c r="F717" s="129" t="s">
        <v>243</v>
      </c>
      <c r="G717" s="149">
        <v>100</v>
      </c>
      <c r="H717" s="149">
        <v>100</v>
      </c>
      <c r="I717" s="129">
        <v>100</v>
      </c>
      <c r="J717" s="129">
        <v>100</v>
      </c>
      <c r="K717" s="129">
        <v>90</v>
      </c>
      <c r="L717" s="129">
        <v>45</v>
      </c>
      <c r="M717" s="129">
        <v>30</v>
      </c>
      <c r="N717" s="129">
        <v>20</v>
      </c>
      <c r="O717" s="129">
        <v>13</v>
      </c>
      <c r="P717" s="129">
        <v>9</v>
      </c>
      <c r="Q717" s="129">
        <v>6</v>
      </c>
      <c r="R717" s="129">
        <v>4</v>
      </c>
      <c r="AA717" s="153"/>
      <c r="AE717" s="137"/>
      <c r="AF717" s="137"/>
    </row>
    <row r="718" spans="1:32" ht="14.4">
      <c r="A718" s="276" t="s">
        <v>139</v>
      </c>
      <c r="B718" s="276" t="s">
        <v>218</v>
      </c>
      <c r="C718" s="159" t="s">
        <v>61</v>
      </c>
      <c r="D718" s="157" t="s">
        <v>79</v>
      </c>
      <c r="E718" s="275">
        <v>0.5</v>
      </c>
      <c r="F718" s="146">
        <v>0.3</v>
      </c>
      <c r="G718" s="149">
        <v>100</v>
      </c>
      <c r="H718" s="149">
        <v>100</v>
      </c>
      <c r="I718" s="134">
        <v>99.815487173382493</v>
      </c>
      <c r="J718" s="134">
        <v>71.804270529175099</v>
      </c>
      <c r="K718" s="134">
        <v>2.05813713412343</v>
      </c>
      <c r="L718" s="134">
        <v>0.36445529606907501</v>
      </c>
      <c r="M718" s="134">
        <v>0.20873111641036199</v>
      </c>
      <c r="N718" s="134">
        <v>0.181860642073808</v>
      </c>
      <c r="O718" s="134">
        <v>0.181860642073808</v>
      </c>
      <c r="P718" s="134">
        <v>0.181860642073808</v>
      </c>
      <c r="Q718" s="134">
        <v>0.181860642073808</v>
      </c>
      <c r="R718" s="134">
        <v>0.181860642073808</v>
      </c>
      <c r="S718" s="138">
        <v>2.73</v>
      </c>
      <c r="T718" s="138">
        <v>2.6880000000000002</v>
      </c>
      <c r="U718" s="138">
        <f>[2]级配!F718/S718*E718</f>
        <v>9.1575091575091597E-2</v>
      </c>
      <c r="V718" s="138">
        <f>[2]级配!F718/T718*E718</f>
        <v>9.3005952380952397E-2</v>
      </c>
      <c r="W718" s="138">
        <f>1/SUM(U718:U726)</f>
        <v>2.7234845188494301</v>
      </c>
      <c r="X718" s="153">
        <v>0.4</v>
      </c>
      <c r="Y718" s="138">
        <f>0.033*X718*X718-0.2936*X718+0.9336</f>
        <v>0.82143999999999995</v>
      </c>
      <c r="Z718" s="138">
        <f>0.033*Y718*Y718-0.2936*Y718+0.9336</f>
        <v>0.71469241722879995</v>
      </c>
      <c r="AA718" s="127">
        <v>2.5621021095993002</v>
      </c>
      <c r="AB718" s="138">
        <f>1/SUM(V718:V726)</f>
        <v>2.6638601208198098</v>
      </c>
      <c r="AC718" s="160">
        <v>4.8</v>
      </c>
      <c r="AD718" s="138">
        <f>100*AC718/(100+AC718)</f>
        <v>4.5801526717557302</v>
      </c>
      <c r="AE718" s="137"/>
      <c r="AF718" s="154">
        <f>AC718-E723*F723*AE723-E723*F724*AE724-E723*F725*AE725</f>
        <v>2.5550628586503401</v>
      </c>
    </row>
    <row r="719" spans="1:32" ht="14.4">
      <c r="A719" s="276"/>
      <c r="B719" s="276"/>
      <c r="C719" s="159" t="s">
        <v>61</v>
      </c>
      <c r="D719" s="157" t="s">
        <v>63</v>
      </c>
      <c r="E719" s="275"/>
      <c r="F719" s="146">
        <v>0.3</v>
      </c>
      <c r="G719" s="149">
        <v>100</v>
      </c>
      <c r="H719" s="149">
        <v>100</v>
      </c>
      <c r="I719" s="134">
        <v>100</v>
      </c>
      <c r="J719" s="134">
        <v>100</v>
      </c>
      <c r="K719" s="134">
        <v>81.668649106546198</v>
      </c>
      <c r="L719" s="134">
        <v>1.81686729782663</v>
      </c>
      <c r="M719" s="134">
        <v>0.29438793944159902</v>
      </c>
      <c r="N719" s="134">
        <v>0.22131603568859501</v>
      </c>
      <c r="O719" s="134">
        <v>0.22131603568859501</v>
      </c>
      <c r="P719" s="134">
        <v>0.22131603568859501</v>
      </c>
      <c r="Q719" s="134">
        <v>0.22131603568859501</v>
      </c>
      <c r="R719" s="134">
        <v>0.22131603568859501</v>
      </c>
      <c r="S719" s="138">
        <v>2.7080000000000002</v>
      </c>
      <c r="T719" s="138">
        <v>2.681</v>
      </c>
      <c r="U719" s="138">
        <f>[2]级配!F719/S719*E718</f>
        <v>6.9239290989660293E-2</v>
      </c>
      <c r="V719" s="138">
        <f>[2]级配!F719/T719*E718</f>
        <v>6.99365908243193E-2</v>
      </c>
      <c r="W719" s="138"/>
      <c r="X719" s="138"/>
      <c r="Y719" s="151"/>
      <c r="Z719" s="151"/>
      <c r="AA719" s="127"/>
      <c r="AB719" s="138"/>
      <c r="AC719" s="160"/>
      <c r="AD719" s="138"/>
      <c r="AE719" s="137"/>
      <c r="AF719" s="137"/>
    </row>
    <row r="720" spans="1:32" ht="13.8" customHeight="1">
      <c r="A720" s="276"/>
      <c r="B720" s="276"/>
      <c r="C720" s="159" t="s">
        <v>82</v>
      </c>
      <c r="D720" s="157" t="s">
        <v>70</v>
      </c>
      <c r="E720" s="275"/>
      <c r="F720" s="146">
        <v>0.2</v>
      </c>
      <c r="G720" s="149">
        <v>100</v>
      </c>
      <c r="H720" s="149">
        <v>100</v>
      </c>
      <c r="I720" s="134">
        <v>100</v>
      </c>
      <c r="J720" s="134">
        <v>100</v>
      </c>
      <c r="K720" s="134">
        <v>95.036330210977894</v>
      </c>
      <c r="L720" s="134">
        <v>46.4282003930415</v>
      </c>
      <c r="M720" s="134">
        <v>1.1347013717423999</v>
      </c>
      <c r="N720" s="134">
        <v>0.44895733280608102</v>
      </c>
      <c r="O720" s="134">
        <v>0.42155006074322898</v>
      </c>
      <c r="P720" s="134">
        <v>0.42155006074322898</v>
      </c>
      <c r="Q720" s="134">
        <v>0.42155006074322898</v>
      </c>
      <c r="R720" s="134">
        <v>0.42155006074322898</v>
      </c>
      <c r="S720" s="138">
        <v>2.7730000000000001</v>
      </c>
      <c r="T720" s="138">
        <v>2.629</v>
      </c>
      <c r="U720" s="138">
        <f>[2]级配!F720/S720*E718</f>
        <v>2.2538766678687299E-2</v>
      </c>
      <c r="V720" s="138">
        <f>[2]级配!F720/T720*E718</f>
        <v>2.3773297831875199E-2</v>
      </c>
      <c r="AA720" s="127"/>
      <c r="AB720" s="138"/>
      <c r="AC720" s="160"/>
      <c r="AD720" s="138"/>
      <c r="AE720" s="137"/>
      <c r="AF720" s="137"/>
    </row>
    <row r="721" spans="1:32">
      <c r="A721" s="276"/>
      <c r="B721" s="276"/>
      <c r="C721" s="159" t="s">
        <v>82</v>
      </c>
      <c r="D721" s="134" t="s">
        <v>71</v>
      </c>
      <c r="E721" s="275"/>
      <c r="F721" s="146">
        <v>0.2</v>
      </c>
      <c r="G721" s="149">
        <v>100</v>
      </c>
      <c r="H721" s="149">
        <v>100</v>
      </c>
      <c r="I721" s="134">
        <v>100</v>
      </c>
      <c r="J721" s="134">
        <v>100</v>
      </c>
      <c r="K721" s="134">
        <v>100</v>
      </c>
      <c r="L721" s="134">
        <v>99.532533164876796</v>
      </c>
      <c r="M721" s="134">
        <v>80.821225521162305</v>
      </c>
      <c r="N721" s="134">
        <v>44.763108022741598</v>
      </c>
      <c r="O721" s="134">
        <v>28.553379658875599</v>
      </c>
      <c r="P721" s="134">
        <v>14.971572962729001</v>
      </c>
      <c r="Q721" s="134">
        <v>6.9993682880606496</v>
      </c>
      <c r="R721" s="134">
        <v>4.7252053063802899</v>
      </c>
      <c r="S721" s="138">
        <v>2.6789999999999998</v>
      </c>
      <c r="T721" s="138">
        <v>2.6789999999999998</v>
      </c>
      <c r="U721" s="138">
        <f>[2]级配!F721/S721*E718</f>
        <v>0</v>
      </c>
      <c r="V721" s="138">
        <f>[2]级配!F721/T721*E718</f>
        <v>0</v>
      </c>
      <c r="AA721" s="153"/>
      <c r="AE721" s="137"/>
      <c r="AF721" s="137"/>
    </row>
    <row r="722" spans="1:32" ht="14.4">
      <c r="A722" s="276"/>
      <c r="B722" s="276"/>
      <c r="C722" s="164" t="s">
        <v>99</v>
      </c>
      <c r="D722" s="168" t="s">
        <v>91</v>
      </c>
      <c r="E722" s="275"/>
      <c r="F722" s="129">
        <v>0</v>
      </c>
      <c r="G722" s="149">
        <v>100</v>
      </c>
      <c r="H722" s="149">
        <v>100</v>
      </c>
      <c r="I722" s="134">
        <v>100</v>
      </c>
      <c r="J722" s="134">
        <v>100</v>
      </c>
      <c r="K722" s="134">
        <v>100</v>
      </c>
      <c r="L722" s="134">
        <v>100</v>
      </c>
      <c r="M722" s="134">
        <v>100</v>
      </c>
      <c r="N722" s="134">
        <v>100</v>
      </c>
      <c r="O722" s="134">
        <v>100</v>
      </c>
      <c r="P722" s="134">
        <v>97.4</v>
      </c>
      <c r="Q722" s="134">
        <v>90.2</v>
      </c>
      <c r="R722" s="134">
        <v>78.2</v>
      </c>
      <c r="S722" s="138">
        <v>2.6789999999999998</v>
      </c>
      <c r="T722" s="138">
        <v>2.6789999999999998</v>
      </c>
      <c r="U722" s="138">
        <f>[2]级配!F722/S722*E718</f>
        <v>0</v>
      </c>
      <c r="V722" s="138">
        <f>[2]级配!F722/T722*E718</f>
        <v>0</v>
      </c>
      <c r="AA722" s="153"/>
      <c r="AE722" s="137"/>
      <c r="AF722" s="137"/>
    </row>
    <row r="723" spans="1:32">
      <c r="A723" s="276"/>
      <c r="B723" s="276"/>
      <c r="C723" s="159" t="s">
        <v>74</v>
      </c>
      <c r="D723" s="157" t="s">
        <v>79</v>
      </c>
      <c r="E723" s="276">
        <v>0.5</v>
      </c>
      <c r="F723" s="129">
        <v>0.4</v>
      </c>
      <c r="G723" s="149">
        <v>100</v>
      </c>
      <c r="H723" s="149">
        <v>100</v>
      </c>
      <c r="I723" s="134">
        <v>100</v>
      </c>
      <c r="J723" s="134">
        <v>91.013576504729301</v>
      </c>
      <c r="K723" s="134">
        <v>35.114676769530597</v>
      </c>
      <c r="L723" s="134">
        <v>14.138474366119601</v>
      </c>
      <c r="M723" s="134">
        <v>12.017557231641501</v>
      </c>
      <c r="N723" s="134">
        <v>9.5475946629640909</v>
      </c>
      <c r="O723" s="134">
        <v>8.0902106454630793</v>
      </c>
      <c r="P723" s="134">
        <v>6.4950104302226599</v>
      </c>
      <c r="Q723" s="134">
        <v>4.9259508419456699</v>
      </c>
      <c r="R723" s="134">
        <v>3.9324442812726899</v>
      </c>
      <c r="S723" s="138">
        <v>2.72</v>
      </c>
      <c r="T723" s="138">
        <v>2.65</v>
      </c>
      <c r="U723" s="138">
        <f>[2]级配!F723/S723*E718</f>
        <v>0.183823529411765</v>
      </c>
      <c r="V723" s="138">
        <f>[2]级配!F723/T723*E718</f>
        <v>0.18867924528301899</v>
      </c>
      <c r="AA723" s="153"/>
      <c r="AE723" s="137">
        <v>2.4334841309111499</v>
      </c>
      <c r="AF723" s="137"/>
    </row>
    <row r="724" spans="1:32">
      <c r="A724" s="276"/>
      <c r="B724" s="276"/>
      <c r="C724" s="159" t="s">
        <v>76</v>
      </c>
      <c r="D724" s="134" t="s">
        <v>68</v>
      </c>
      <c r="E724" s="276"/>
      <c r="F724" s="129">
        <v>0.6</v>
      </c>
      <c r="G724" s="149">
        <v>100</v>
      </c>
      <c r="H724" s="149">
        <v>100</v>
      </c>
      <c r="I724" s="134">
        <v>100</v>
      </c>
      <c r="J724" s="134">
        <v>100</v>
      </c>
      <c r="K724" s="134">
        <v>100</v>
      </c>
      <c r="L724" s="134">
        <v>75.325455099566</v>
      </c>
      <c r="M724" s="134">
        <v>55.826170615454799</v>
      </c>
      <c r="N724" s="134">
        <v>38.336554587692198</v>
      </c>
      <c r="O724" s="134">
        <v>30.279386471354599</v>
      </c>
      <c r="P724" s="134">
        <v>23.056654870431</v>
      </c>
      <c r="Q724" s="134">
        <v>17.608254986307401</v>
      </c>
      <c r="R724" s="134">
        <v>15.252162407194501</v>
      </c>
      <c r="S724" s="138">
        <v>2.8519999999999999</v>
      </c>
      <c r="T724" s="138">
        <v>2.7229999999999999</v>
      </c>
      <c r="U724" s="138">
        <f>[2]级配!F724/S724*E718</f>
        <v>0</v>
      </c>
      <c r="V724" s="138">
        <f>[2]级配!F724/T724*E718</f>
        <v>0</v>
      </c>
      <c r="AA724" s="153"/>
      <c r="AE724" s="137">
        <v>5.8608010505581101</v>
      </c>
      <c r="AF724" s="137"/>
    </row>
    <row r="725" spans="1:32">
      <c r="A725" s="276"/>
      <c r="B725" s="276"/>
      <c r="C725" s="159" t="s">
        <v>76</v>
      </c>
      <c r="D725" s="134" t="s">
        <v>65</v>
      </c>
      <c r="E725" s="276"/>
      <c r="F725" s="130">
        <v>0</v>
      </c>
      <c r="G725" s="149">
        <v>100</v>
      </c>
      <c r="H725" s="149">
        <v>100</v>
      </c>
      <c r="I725" s="134">
        <v>100</v>
      </c>
      <c r="J725" s="134">
        <v>100</v>
      </c>
      <c r="K725" s="134">
        <v>100</v>
      </c>
      <c r="L725" s="134">
        <v>96.773241575442697</v>
      </c>
      <c r="M725" s="134">
        <v>58.955499795773399</v>
      </c>
      <c r="N725" s="134">
        <v>32.060997642496702</v>
      </c>
      <c r="O725" s="134">
        <v>23.467347478352799</v>
      </c>
      <c r="P725" s="134">
        <v>17.429766402104299</v>
      </c>
      <c r="Q725" s="134">
        <v>13.4674110343355</v>
      </c>
      <c r="R725" s="134">
        <v>11.5498931412078</v>
      </c>
      <c r="S725" s="138">
        <v>2.8290000000000002</v>
      </c>
      <c r="T725" s="138">
        <v>2.7650000000000001</v>
      </c>
      <c r="U725" s="138">
        <f>[2]级配!F725/S725*E723</f>
        <v>0</v>
      </c>
      <c r="V725" s="138">
        <f>[2]级配!F725/T725*E723</f>
        <v>0</v>
      </c>
      <c r="AA725" s="153"/>
      <c r="AE725" s="137"/>
      <c r="AF725" s="137"/>
    </row>
    <row r="726" spans="1:32">
      <c r="A726" s="276"/>
      <c r="B726" s="276"/>
      <c r="C726" s="159" t="s">
        <v>76</v>
      </c>
      <c r="D726" s="168" t="s">
        <v>97</v>
      </c>
      <c r="E726" s="276"/>
      <c r="F726" s="130">
        <v>0</v>
      </c>
      <c r="G726" s="149">
        <v>100</v>
      </c>
      <c r="H726" s="149">
        <v>100</v>
      </c>
      <c r="I726" s="149">
        <v>100</v>
      </c>
      <c r="J726" s="149">
        <v>99.709455890121504</v>
      </c>
      <c r="K726" s="149">
        <v>93.611005421295204</v>
      </c>
      <c r="L726" s="149">
        <v>62.883664943704403</v>
      </c>
      <c r="M726" s="149">
        <v>41.736211500847702</v>
      </c>
      <c r="N726" s="149">
        <v>29.275015875296301</v>
      </c>
      <c r="O726" s="149">
        <v>22.374005580422299</v>
      </c>
      <c r="P726" s="149">
        <v>14.3321095762082</v>
      </c>
      <c r="Q726" s="149">
        <v>9.6170951500159596</v>
      </c>
      <c r="R726" s="149">
        <v>6.5264817525129803</v>
      </c>
      <c r="S726" s="138">
        <v>2.76</v>
      </c>
      <c r="T726" s="138">
        <v>2.7</v>
      </c>
      <c r="U726" s="138">
        <f>[2]级配!F726/S726*E723</f>
        <v>0</v>
      </c>
      <c r="V726" s="138">
        <f>[2]级配!F726/T726*E723</f>
        <v>0</v>
      </c>
      <c r="AA726" s="153"/>
      <c r="AE726" s="137"/>
      <c r="AF726" s="137"/>
    </row>
    <row r="727" spans="1:32" ht="14.4">
      <c r="A727" s="276"/>
      <c r="B727" s="276"/>
      <c r="C727"/>
      <c r="F727" s="129" t="s">
        <v>240</v>
      </c>
      <c r="G727" s="170">
        <f>$E$29*($F$29*G718+$F$30*G719+$F$31*G720+$F$32*G721+$F$33*G722+$F$34*G723+$F$35*G724)+$E$36*($F$36*G725+$F$37*G726)</f>
        <v>100</v>
      </c>
      <c r="H727" s="170">
        <f>E718*(F718*H718+F719*H719+F720*H720+F721*H721+F722*H722)+E723*(F725*H725+F726*H726+F723*H723+F724*H724)</f>
        <v>100</v>
      </c>
      <c r="I727" s="170">
        <f>E718*(F718*I718+F719*I719+F720*I720+F721*I721+F722*I722)+E723*(F725*I725+F726*I726+F723*I723+F724*I724)</f>
        <v>99.972323076007399</v>
      </c>
      <c r="J727" s="170">
        <f>E718*(F718*J718+F719*J719+F720*J720+F721*J721+F722*J722)+E723*(F725*J725+F726*J726+F723*J723+F724*J724)</f>
        <v>93.973355880322103</v>
      </c>
      <c r="K727" s="170">
        <f>E718*(F718*K718+F719*K719+F720*K720+F721*K721+F722*K722)+E723*(F725*K725+F726*K726+F723*K723+F724*K724)</f>
        <v>69.085586311104393</v>
      </c>
      <c r="L727" s="170">
        <f>E718*(F718*L718+F719*L719+F720*L720+F721*L721+F722*L722)+E723*(F725*L725+F726*L726+F723*L723+F724*L724)</f>
        <v>40.348603147969897</v>
      </c>
      <c r="M727" s="170">
        <f>E718*(F718*M718+F719*M719+F720*M720+F721*M721+F722*M722)+E723*(F725*M725+F726*M726+F723*M723+F724*M724)</f>
        <v>27.422423178633</v>
      </c>
      <c r="N727" s="170">
        <f>E718*(F718*N718+F719*N719+F720*N720+F721*N721+F722*N722)+E723*(F725*N725+F726*N726+F723*N723+F724*N724)</f>
        <v>17.992168346119598</v>
      </c>
      <c r="O727" s="170">
        <f>E718*(F718*O718+F719*O719+F720*O720+F721*O721+F722*O722)+E723*(F725*O725+F726*O726+F723*O723+F724*O724)</f>
        <v>13.6598275441252</v>
      </c>
      <c r="P727" s="170">
        <f>E718*(F718*P718+F719*P719+F720*P720+F721*P721+F722*P722)+E723*(F725*P725+F726*P726+F723*P723+F724*P724)</f>
        <v>9.8157873511854206</v>
      </c>
      <c r="Q727" s="170">
        <f>E718*(F718*Q718+F719*Q719+F720*Q720+F721*Q721+F722*Q722)+E723*(F725*Q725+F726*Q726+F723*Q723+F724*Q724)</f>
        <v>7.0702350008261003</v>
      </c>
      <c r="R727" s="170">
        <f>E718*(F718*R718+F719*R719+F720*R720+F721*R721+F722*R722)+E723*(F725*R725+F726*R726+F723*R723+F724*R724)</f>
        <v>5.9372896167895997</v>
      </c>
      <c r="AA727" s="153"/>
      <c r="AE727" s="137"/>
      <c r="AF727" s="137"/>
    </row>
    <row r="728" spans="1:32" ht="14.4">
      <c r="A728" s="276"/>
      <c r="B728" s="276"/>
      <c r="C728"/>
      <c r="F728" s="129" t="s">
        <v>241</v>
      </c>
      <c r="G728" s="149">
        <v>100</v>
      </c>
      <c r="H728" s="149">
        <v>100</v>
      </c>
      <c r="I728" s="129">
        <v>100</v>
      </c>
      <c r="J728" s="129">
        <v>100</v>
      </c>
      <c r="K728" s="129">
        <v>85</v>
      </c>
      <c r="L728" s="129">
        <v>68</v>
      </c>
      <c r="M728" s="129">
        <v>50</v>
      </c>
      <c r="N728" s="129">
        <v>38</v>
      </c>
      <c r="O728" s="129">
        <v>28</v>
      </c>
      <c r="P728" s="129">
        <v>20</v>
      </c>
      <c r="Q728" s="129">
        <v>15</v>
      </c>
      <c r="R728" s="129">
        <v>8</v>
      </c>
      <c r="AA728" s="153"/>
      <c r="AE728" s="137"/>
      <c r="AF728" s="137"/>
    </row>
    <row r="729" spans="1:32" ht="14.4">
      <c r="A729" s="276"/>
      <c r="B729" s="276"/>
      <c r="C729"/>
      <c r="F729" s="129" t="s">
        <v>242</v>
      </c>
      <c r="G729" s="149">
        <f t="shared" ref="G729" si="116">(G728+G730)/2</f>
        <v>100</v>
      </c>
      <c r="H729" s="149">
        <v>100</v>
      </c>
      <c r="I729" s="129">
        <v>100</v>
      </c>
      <c r="J729" s="129">
        <f t="shared" ref="J729:R729" si="117">(J728+J730)/2</f>
        <v>95</v>
      </c>
      <c r="K729" s="129">
        <f t="shared" si="117"/>
        <v>76.5</v>
      </c>
      <c r="L729" s="129">
        <f t="shared" si="117"/>
        <v>53</v>
      </c>
      <c r="M729" s="129">
        <f t="shared" si="117"/>
        <v>37</v>
      </c>
      <c r="N729" s="129">
        <f t="shared" si="117"/>
        <v>26.5</v>
      </c>
      <c r="O729" s="129">
        <f t="shared" si="117"/>
        <v>19</v>
      </c>
      <c r="P729" s="129">
        <f t="shared" si="117"/>
        <v>13.5</v>
      </c>
      <c r="Q729" s="129">
        <f t="shared" si="117"/>
        <v>10</v>
      </c>
      <c r="R729" s="129">
        <f t="shared" si="117"/>
        <v>6</v>
      </c>
      <c r="AA729" s="153"/>
      <c r="AE729" s="137"/>
      <c r="AF729" s="137"/>
    </row>
    <row r="730" spans="1:32" ht="14.4">
      <c r="A730" s="276"/>
      <c r="B730" s="276"/>
      <c r="C730"/>
      <c r="F730" s="129" t="s">
        <v>243</v>
      </c>
      <c r="G730" s="149">
        <v>100</v>
      </c>
      <c r="H730" s="149">
        <v>100</v>
      </c>
      <c r="I730" s="129">
        <v>100</v>
      </c>
      <c r="J730" s="129">
        <v>90</v>
      </c>
      <c r="K730" s="129">
        <v>68</v>
      </c>
      <c r="L730" s="129">
        <v>38</v>
      </c>
      <c r="M730" s="129">
        <v>24</v>
      </c>
      <c r="N730" s="129">
        <v>15</v>
      </c>
      <c r="O730" s="129">
        <v>10</v>
      </c>
      <c r="P730" s="129">
        <v>7</v>
      </c>
      <c r="Q730" s="129">
        <v>5</v>
      </c>
      <c r="R730" s="129">
        <v>4</v>
      </c>
      <c r="AA730" s="153"/>
      <c r="AE730" s="137"/>
      <c r="AF730" s="137"/>
    </row>
    <row r="731" spans="1:32" ht="14.4">
      <c r="A731" s="276" t="s">
        <v>140</v>
      </c>
      <c r="B731" s="276" t="s">
        <v>218</v>
      </c>
      <c r="C731" s="159" t="s">
        <v>61</v>
      </c>
      <c r="D731" s="157" t="s">
        <v>79</v>
      </c>
      <c r="E731" s="275">
        <v>0.5</v>
      </c>
      <c r="F731" s="146">
        <v>0.4</v>
      </c>
      <c r="G731" s="149">
        <v>100</v>
      </c>
      <c r="H731" s="149">
        <v>100</v>
      </c>
      <c r="I731" s="134">
        <v>100</v>
      </c>
      <c r="J731" s="134">
        <v>63.6</v>
      </c>
      <c r="K731" s="134">
        <v>8.8000000000000007</v>
      </c>
      <c r="L731" s="134">
        <v>0.5</v>
      </c>
      <c r="M731" s="134">
        <v>0.4</v>
      </c>
      <c r="N731" s="134">
        <v>0.4</v>
      </c>
      <c r="O731" s="134">
        <v>0.4</v>
      </c>
      <c r="P731" s="134">
        <v>0.4</v>
      </c>
      <c r="Q731" s="134">
        <v>0.4</v>
      </c>
      <c r="R731" s="134">
        <v>0.4</v>
      </c>
      <c r="S731" s="138">
        <v>2.73</v>
      </c>
      <c r="T731" s="138">
        <v>2.6880000000000002</v>
      </c>
      <c r="U731" s="138">
        <f>[2]级配!F731/S731*E731</f>
        <v>8.7912087912087905E-2</v>
      </c>
      <c r="V731" s="138">
        <f>[2]级配!F731/T731*E731</f>
        <v>8.9285714285714302E-2</v>
      </c>
      <c r="W731" s="138">
        <f>1/SUM(U731:U739)</f>
        <v>2.7671378370501798</v>
      </c>
      <c r="X731" s="153">
        <v>0.4</v>
      </c>
      <c r="Y731" s="138">
        <f>0.033*X731*X731-0.2936*X731+0.9336</f>
        <v>0.82143999999999995</v>
      </c>
      <c r="Z731" s="138">
        <f>0.033*Y731*Y731-0.2936*Y731+0.9336</f>
        <v>0.71469241722879995</v>
      </c>
      <c r="AA731" s="127">
        <v>2.58501920614597</v>
      </c>
      <c r="AB731" s="138">
        <f>1/SUM(V731:V739)</f>
        <v>2.6808344683215202</v>
      </c>
      <c r="AC731" s="160">
        <v>4.8</v>
      </c>
      <c r="AD731" s="138">
        <f>100*AC731/(100+AC731)</f>
        <v>4.5801526717557302</v>
      </c>
      <c r="AE731" s="137"/>
      <c r="AF731" s="154">
        <f>AC731-E736*F736*AE736-E736*F737*AE737-E736*F738*AE738</f>
        <v>2.3575456310761198</v>
      </c>
    </row>
    <row r="732" spans="1:32" ht="14.4">
      <c r="A732" s="276"/>
      <c r="B732" s="276"/>
      <c r="C732" s="159" t="s">
        <v>61</v>
      </c>
      <c r="D732" s="157" t="s">
        <v>63</v>
      </c>
      <c r="E732" s="275"/>
      <c r="F732" s="146">
        <v>0.2</v>
      </c>
      <c r="G732" s="149">
        <v>100</v>
      </c>
      <c r="H732" s="149">
        <v>100</v>
      </c>
      <c r="I732" s="134">
        <v>100</v>
      </c>
      <c r="J732" s="134">
        <v>100</v>
      </c>
      <c r="K732" s="134">
        <v>93.5</v>
      </c>
      <c r="L732" s="134">
        <v>7.4</v>
      </c>
      <c r="M732" s="134">
        <v>0.35999999999999899</v>
      </c>
      <c r="N732" s="134">
        <v>0.35999999999999899</v>
      </c>
      <c r="O732" s="134">
        <v>0.35999999999999899</v>
      </c>
      <c r="P732" s="134">
        <v>0.35999999999999899</v>
      </c>
      <c r="Q732" s="134">
        <v>0.35999999999999899</v>
      </c>
      <c r="R732" s="134">
        <v>0.35999999999999899</v>
      </c>
      <c r="S732" s="138">
        <v>2.7080000000000002</v>
      </c>
      <c r="T732" s="138">
        <v>2.681</v>
      </c>
      <c r="U732" s="138">
        <f>[2]级配!F732/S732*E731</f>
        <v>3.6927621861152102E-2</v>
      </c>
      <c r="V732" s="138">
        <f>[2]级配!F732/T732*E731</f>
        <v>3.7299515106303603E-2</v>
      </c>
      <c r="W732" s="138"/>
      <c r="X732" s="138"/>
      <c r="Y732" s="151"/>
      <c r="Z732" s="151"/>
      <c r="AA732" s="127"/>
      <c r="AB732" s="138"/>
      <c r="AC732" s="160"/>
      <c r="AD732" s="138"/>
      <c r="AE732" s="137"/>
      <c r="AF732" s="137"/>
    </row>
    <row r="733" spans="1:32" ht="13.8" customHeight="1">
      <c r="A733" s="276"/>
      <c r="B733" s="276"/>
      <c r="C733" s="159" t="s">
        <v>82</v>
      </c>
      <c r="D733" s="157" t="s">
        <v>65</v>
      </c>
      <c r="E733" s="275"/>
      <c r="F733" s="146">
        <v>0.4</v>
      </c>
      <c r="G733" s="149">
        <v>100</v>
      </c>
      <c r="H733" s="149">
        <v>100</v>
      </c>
      <c r="I733" s="134">
        <v>100</v>
      </c>
      <c r="J733" s="134">
        <v>100</v>
      </c>
      <c r="K733" s="134">
        <v>100</v>
      </c>
      <c r="L733" s="134">
        <v>99.9</v>
      </c>
      <c r="M733" s="134">
        <v>83.5</v>
      </c>
      <c r="N733" s="134">
        <v>56.8</v>
      </c>
      <c r="O733" s="134">
        <v>39.9</v>
      </c>
      <c r="P733" s="134">
        <v>20.6</v>
      </c>
      <c r="Q733" s="134">
        <v>10.9</v>
      </c>
      <c r="R733" s="134">
        <v>8.1</v>
      </c>
      <c r="S733" s="138">
        <v>2.7730000000000001</v>
      </c>
      <c r="T733" s="138">
        <v>2.629</v>
      </c>
      <c r="U733" s="138">
        <f>[2]级配!F733/S733*E731</f>
        <v>5.4093040028849598E-2</v>
      </c>
      <c r="V733" s="138">
        <f>[2]级配!F733/T733*E731</f>
        <v>5.7055914796500601E-2</v>
      </c>
      <c r="AA733" s="127"/>
      <c r="AB733" s="138"/>
      <c r="AC733" s="160"/>
      <c r="AD733" s="138"/>
      <c r="AE733" s="137"/>
      <c r="AF733" s="137"/>
    </row>
    <row r="734" spans="1:32">
      <c r="A734" s="276"/>
      <c r="B734" s="276"/>
      <c r="C734" s="159" t="s">
        <v>82</v>
      </c>
      <c r="D734" s="134" t="s">
        <v>71</v>
      </c>
      <c r="E734" s="275"/>
      <c r="F734" s="146">
        <v>0</v>
      </c>
      <c r="G734" s="149">
        <v>100</v>
      </c>
      <c r="H734" s="149">
        <v>100</v>
      </c>
      <c r="I734" s="134">
        <v>100</v>
      </c>
      <c r="J734" s="134">
        <v>100</v>
      </c>
      <c r="K734" s="134">
        <v>100</v>
      </c>
      <c r="L734" s="134">
        <v>99.532533164876796</v>
      </c>
      <c r="M734" s="134">
        <v>80.821225521162305</v>
      </c>
      <c r="N734" s="134">
        <v>44.763108022741598</v>
      </c>
      <c r="O734" s="134">
        <v>28.553379658875599</v>
      </c>
      <c r="P734" s="134">
        <v>14.971572962729001</v>
      </c>
      <c r="Q734" s="134">
        <v>6.9993682880606496</v>
      </c>
      <c r="R734" s="134">
        <v>4.7252053063802899</v>
      </c>
      <c r="S734" s="138">
        <v>2.6789999999999998</v>
      </c>
      <c r="T734" s="138">
        <v>2.6789999999999998</v>
      </c>
      <c r="U734" s="138">
        <f>[2]级配!F734/S734*E731</f>
        <v>0</v>
      </c>
      <c r="V734" s="138">
        <f>[2]级配!F734/T734*E731</f>
        <v>0</v>
      </c>
      <c r="AA734" s="153"/>
      <c r="AE734" s="137"/>
      <c r="AF734" s="137"/>
    </row>
    <row r="735" spans="1:32" ht="14.4">
      <c r="A735" s="276"/>
      <c r="B735" s="276"/>
      <c r="C735" s="164" t="s">
        <v>99</v>
      </c>
      <c r="D735" s="168" t="s">
        <v>91</v>
      </c>
      <c r="E735" s="275"/>
      <c r="F735" s="129">
        <v>0</v>
      </c>
      <c r="G735" s="149">
        <v>100</v>
      </c>
      <c r="H735" s="149">
        <v>100</v>
      </c>
      <c r="I735" s="134">
        <v>100</v>
      </c>
      <c r="J735" s="134">
        <v>100</v>
      </c>
      <c r="K735" s="134">
        <v>100</v>
      </c>
      <c r="L735" s="134">
        <v>100</v>
      </c>
      <c r="M735" s="134">
        <v>100</v>
      </c>
      <c r="N735" s="134">
        <v>100</v>
      </c>
      <c r="O735" s="134">
        <v>100</v>
      </c>
      <c r="P735" s="134">
        <v>97.4</v>
      </c>
      <c r="Q735" s="134">
        <v>90.2</v>
      </c>
      <c r="R735" s="134">
        <v>78.2</v>
      </c>
      <c r="S735" s="138">
        <v>2.6789999999999998</v>
      </c>
      <c r="T735" s="138">
        <v>2.6789999999999998</v>
      </c>
      <c r="U735" s="138">
        <f>[2]级配!F735/S735*E731</f>
        <v>3.7327360955580402E-3</v>
      </c>
      <c r="V735" s="138">
        <f>[2]级配!F735/T735*E731</f>
        <v>3.7327360955580402E-3</v>
      </c>
      <c r="AA735" s="153"/>
      <c r="AE735" s="137"/>
      <c r="AF735" s="137"/>
    </row>
    <row r="736" spans="1:32">
      <c r="A736" s="276"/>
      <c r="B736" s="276"/>
      <c r="C736" s="159" t="s">
        <v>74</v>
      </c>
      <c r="D736" s="157" t="s">
        <v>79</v>
      </c>
      <c r="E736" s="276">
        <v>0.5</v>
      </c>
      <c r="F736" s="129">
        <v>0.6</v>
      </c>
      <c r="G736" s="149">
        <v>100</v>
      </c>
      <c r="H736" s="149">
        <v>100</v>
      </c>
      <c r="I736" s="134">
        <v>99.061349142189897</v>
      </c>
      <c r="J736" s="134">
        <v>93.522061341639997</v>
      </c>
      <c r="K736" s="134">
        <v>70.466137268272206</v>
      </c>
      <c r="L736" s="134">
        <v>24.944912416444801</v>
      </c>
      <c r="M736" s="134">
        <v>16.7509758878846</v>
      </c>
      <c r="N736" s="134">
        <v>13.6415206737985</v>
      </c>
      <c r="O736" s="134">
        <v>12.135196512757</v>
      </c>
      <c r="P736" s="134">
        <v>10.9083350720075</v>
      </c>
      <c r="Q736" s="134">
        <v>9.7272316820288296</v>
      </c>
      <c r="R736" s="134">
        <v>8.7535209418483895</v>
      </c>
      <c r="S736" s="138">
        <v>2.72</v>
      </c>
      <c r="T736" s="138">
        <v>2.65</v>
      </c>
      <c r="U736" s="138">
        <f>[2]级配!F736/S736*E731</f>
        <v>7.3529411764705899E-2</v>
      </c>
      <c r="V736" s="138">
        <f>[2]级配!F736/T736*E731</f>
        <v>7.54716981132076E-2</v>
      </c>
      <c r="AA736" s="153"/>
      <c r="AE736" s="137">
        <v>3.9552232102757499</v>
      </c>
      <c r="AF736" s="137"/>
    </row>
    <row r="737" spans="1:32">
      <c r="A737" s="276"/>
      <c r="B737" s="276"/>
      <c r="C737" s="159" t="s">
        <v>76</v>
      </c>
      <c r="D737" s="134" t="s">
        <v>68</v>
      </c>
      <c r="E737" s="276"/>
      <c r="F737" s="129">
        <v>0.4</v>
      </c>
      <c r="G737" s="149">
        <v>100</v>
      </c>
      <c r="H737" s="149">
        <v>100</v>
      </c>
      <c r="I737" s="134">
        <v>100</v>
      </c>
      <c r="J737" s="134">
        <v>99.024444856800201</v>
      </c>
      <c r="K737" s="134">
        <v>96.353643135230101</v>
      </c>
      <c r="L737" s="134">
        <v>69.669906188055506</v>
      </c>
      <c r="M737" s="134">
        <v>50.000926367474698</v>
      </c>
      <c r="N737" s="134">
        <v>36.3312093640562</v>
      </c>
      <c r="O737" s="134">
        <v>28.752656900308999</v>
      </c>
      <c r="P737" s="134">
        <v>23.421788024767601</v>
      </c>
      <c r="Q737" s="134">
        <v>19.962279226780002</v>
      </c>
      <c r="R737" s="134">
        <v>18.206417533326</v>
      </c>
      <c r="S737" s="138">
        <v>2.8519999999999999</v>
      </c>
      <c r="T737" s="138">
        <v>2.7229999999999999</v>
      </c>
      <c r="U737" s="138">
        <f>[2]级配!F737/S737*E731</f>
        <v>0.105189340813464</v>
      </c>
      <c r="V737" s="138">
        <f>[2]级配!F737/T737*E731</f>
        <v>0.110172603745869</v>
      </c>
      <c r="AA737" s="153"/>
      <c r="AE737" s="137">
        <v>6.2794370292057602</v>
      </c>
      <c r="AF737" s="137"/>
    </row>
    <row r="738" spans="1:32">
      <c r="A738" s="276"/>
      <c r="B738" s="276"/>
      <c r="C738" s="159" t="s">
        <v>76</v>
      </c>
      <c r="D738" s="134" t="s">
        <v>65</v>
      </c>
      <c r="E738" s="276"/>
      <c r="F738" s="130">
        <v>0</v>
      </c>
      <c r="G738" s="149">
        <v>100</v>
      </c>
      <c r="H738" s="149">
        <v>100</v>
      </c>
      <c r="I738" s="134">
        <v>100</v>
      </c>
      <c r="J738" s="134">
        <v>100</v>
      </c>
      <c r="K738" s="134">
        <v>100</v>
      </c>
      <c r="L738" s="134">
        <v>96.773241575442697</v>
      </c>
      <c r="M738" s="134">
        <v>58.955499795773399</v>
      </c>
      <c r="N738" s="134">
        <v>32.060997642496702</v>
      </c>
      <c r="O738" s="134">
        <v>23.467347478352799</v>
      </c>
      <c r="P738" s="134">
        <v>17.429766402104299</v>
      </c>
      <c r="Q738" s="134">
        <v>13.4674110343355</v>
      </c>
      <c r="R738" s="134">
        <v>11.5498931412078</v>
      </c>
      <c r="S738" s="138">
        <v>2.8290000000000002</v>
      </c>
      <c r="T738" s="138">
        <v>2.7650000000000001</v>
      </c>
      <c r="U738" s="138">
        <f>[2]级配!F738/S738*E736</f>
        <v>0</v>
      </c>
      <c r="V738" s="138">
        <f>[2]级配!F738/T738*E736</f>
        <v>0</v>
      </c>
      <c r="AA738" s="153"/>
      <c r="AE738" s="137"/>
      <c r="AF738" s="137"/>
    </row>
    <row r="739" spans="1:32">
      <c r="A739" s="276"/>
      <c r="B739" s="276"/>
      <c r="C739" s="159" t="s">
        <v>76</v>
      </c>
      <c r="D739" s="168" t="s">
        <v>97</v>
      </c>
      <c r="E739" s="276"/>
      <c r="F739" s="130">
        <v>0</v>
      </c>
      <c r="G739" s="149">
        <v>100</v>
      </c>
      <c r="H739" s="149">
        <v>100</v>
      </c>
      <c r="I739" s="149">
        <v>100</v>
      </c>
      <c r="J739" s="149">
        <v>99.709455890121504</v>
      </c>
      <c r="K739" s="149">
        <v>93.611005421295204</v>
      </c>
      <c r="L739" s="149">
        <v>62.883664943704403</v>
      </c>
      <c r="M739" s="149">
        <v>41.736211500847702</v>
      </c>
      <c r="N739" s="149">
        <v>29.275015875296301</v>
      </c>
      <c r="O739" s="149">
        <v>22.374005580422299</v>
      </c>
      <c r="P739" s="149">
        <v>14.3321095762082</v>
      </c>
      <c r="Q739" s="149">
        <v>9.6170951500159596</v>
      </c>
      <c r="R739" s="149">
        <v>6.5264817525129803</v>
      </c>
      <c r="S739" s="138">
        <v>2.76</v>
      </c>
      <c r="T739" s="138">
        <v>2.7</v>
      </c>
      <c r="U739" s="138">
        <f>[2]级配!F739/S739*E736</f>
        <v>0</v>
      </c>
      <c r="V739" s="138">
        <f>[2]级配!F739/T739*E736</f>
        <v>0</v>
      </c>
      <c r="AA739" s="153"/>
      <c r="AE739" s="137"/>
      <c r="AF739" s="137"/>
    </row>
    <row r="740" spans="1:32" ht="14.4">
      <c r="A740" s="276"/>
      <c r="B740" s="276"/>
      <c r="C740"/>
      <c r="F740" s="129" t="s">
        <v>240</v>
      </c>
      <c r="G740" s="170">
        <f>$E$29*($F$29*G731+$F$30*G732+$F$31*G733+$F$32*G734+$F$33*G735+$F$34*G736+$F$35*G737)+$E$36*($F$36*G738+$F$37*G739)</f>
        <v>100</v>
      </c>
      <c r="H740" s="170">
        <f>E731*(F731*H731+F732*H732+F733*H733+F734*H734+F735*H735)+E736*(F738*H738+F739*H739+F736*H736+F737*H737)</f>
        <v>100</v>
      </c>
      <c r="I740" s="170">
        <f>E731*(F731*I731+F732*I732+F733*I733+F734*I734+F735*I735)+E736*(F738*I738+F739*I739+F736*I736+F737*I737)</f>
        <v>99.718404742657</v>
      </c>
      <c r="J740" s="170">
        <f>E731*(F731*J731+F732*J732+F733*J733+F734*J734+F735*J735)+E736*(F738*J738+F739*J739+F736*J736+F737*J737)</f>
        <v>90.581507373852006</v>
      </c>
      <c r="K740" s="170">
        <f>E731*(F731*K731+F732*K732+F733*K733+F734*K734+F735*K735)+E736*(F738*K738+F739*K739+F736*K736+F737*K737)</f>
        <v>71.520569807527707</v>
      </c>
      <c r="L740" s="170">
        <f>E731*(F731*L731+F732*L732+F733*L733+F734*L734+F735*L735)+E736*(F738*L738+F739*L739+F736*L736+F737*L737)</f>
        <v>42.237454962544497</v>
      </c>
      <c r="M740" s="170">
        <f>E731*(F731*M731+F732*M732+F733*M733+F734*M734+F735*M735)+E736*(F738*M738+F739*M739+F736*M736+F737*M737)</f>
        <v>31.841478039860299</v>
      </c>
      <c r="N740" s="170">
        <f>E731*(F731*N731+F732*N732+F733*N733+F734*N734+F735*N735)+E736*(F738*N738+F739*N739+F736*N736+F737*N737)</f>
        <v>22.834698074950801</v>
      </c>
      <c r="O740" s="170">
        <f>E731*(F731*O731+F732*O732+F733*O733+F734*O734+F735*O735)+E736*(F738*O738+F739*O739+F736*O736+F737*O737)</f>
        <v>17.487090333888901</v>
      </c>
      <c r="P740" s="170">
        <f>E731*(F731*P731+F732*P732+F733*P733+F734*P734+F735*P735)+E736*(F738*P738+F739*P739+F736*P736+F737*P737)</f>
        <v>12.1928581265558</v>
      </c>
      <c r="Q740" s="170">
        <f>E731*(F731*Q731+F732*Q732+F733*Q733+F734*Q734+F735*Q735)+E736*(F738*Q738+F739*Q739+F736*Q736+F737*Q737)</f>
        <v>9.20662534996465</v>
      </c>
      <c r="R740" s="170">
        <f>E731*(F731*R731+F732*R732+F733*R733+F734*R734+F735*R735)+E736*(F738*R738+F739*R739+F736*R736+F737*R737)</f>
        <v>8.0033397892197193</v>
      </c>
      <c r="AA740" s="153"/>
      <c r="AE740" s="137"/>
      <c r="AF740" s="137"/>
    </row>
    <row r="741" spans="1:32" ht="14.4">
      <c r="A741" s="276"/>
      <c r="B741" s="276"/>
      <c r="C741"/>
      <c r="F741" s="129" t="s">
        <v>241</v>
      </c>
      <c r="G741" s="149">
        <v>100</v>
      </c>
      <c r="H741" s="149">
        <v>100</v>
      </c>
      <c r="I741" s="129">
        <v>100</v>
      </c>
      <c r="J741" s="129">
        <v>100</v>
      </c>
      <c r="K741" s="129">
        <v>85</v>
      </c>
      <c r="L741" s="129">
        <v>68</v>
      </c>
      <c r="M741" s="129">
        <v>50</v>
      </c>
      <c r="N741" s="129">
        <v>38</v>
      </c>
      <c r="O741" s="129">
        <v>28</v>
      </c>
      <c r="P741" s="129">
        <v>20</v>
      </c>
      <c r="Q741" s="129">
        <v>15</v>
      </c>
      <c r="R741" s="129">
        <v>8</v>
      </c>
      <c r="AA741" s="153"/>
      <c r="AE741" s="137"/>
      <c r="AF741" s="137"/>
    </row>
    <row r="742" spans="1:32" ht="14.4">
      <c r="A742" s="276"/>
      <c r="B742" s="276"/>
      <c r="C742"/>
      <c r="F742" s="129" t="s">
        <v>242</v>
      </c>
      <c r="G742" s="149">
        <f t="shared" ref="G742" si="118">(G741+G743)/2</f>
        <v>100</v>
      </c>
      <c r="H742" s="149">
        <v>100</v>
      </c>
      <c r="I742" s="129">
        <v>100</v>
      </c>
      <c r="J742" s="129">
        <f t="shared" ref="J742:R742" si="119">(J741+J743)/2</f>
        <v>95</v>
      </c>
      <c r="K742" s="129">
        <f t="shared" si="119"/>
        <v>76.5</v>
      </c>
      <c r="L742" s="129">
        <f t="shared" si="119"/>
        <v>53</v>
      </c>
      <c r="M742" s="129">
        <f t="shared" si="119"/>
        <v>37</v>
      </c>
      <c r="N742" s="129">
        <f t="shared" si="119"/>
        <v>26.5</v>
      </c>
      <c r="O742" s="129">
        <f t="shared" si="119"/>
        <v>19</v>
      </c>
      <c r="P742" s="129">
        <f t="shared" si="119"/>
        <v>13.5</v>
      </c>
      <c r="Q742" s="129">
        <f t="shared" si="119"/>
        <v>10</v>
      </c>
      <c r="R742" s="129">
        <f t="shared" si="119"/>
        <v>6</v>
      </c>
      <c r="AA742" s="153"/>
      <c r="AE742" s="137"/>
      <c r="AF742" s="137"/>
    </row>
    <row r="743" spans="1:32" ht="14.4">
      <c r="A743" s="276"/>
      <c r="B743" s="276"/>
      <c r="C743"/>
      <c r="F743" s="129" t="s">
        <v>243</v>
      </c>
      <c r="G743" s="149">
        <v>100</v>
      </c>
      <c r="H743" s="149">
        <v>100</v>
      </c>
      <c r="I743" s="129">
        <v>100</v>
      </c>
      <c r="J743" s="129">
        <v>90</v>
      </c>
      <c r="K743" s="129">
        <v>68</v>
      </c>
      <c r="L743" s="129">
        <v>38</v>
      </c>
      <c r="M743" s="129">
        <v>24</v>
      </c>
      <c r="N743" s="129">
        <v>15</v>
      </c>
      <c r="O743" s="129">
        <v>10</v>
      </c>
      <c r="P743" s="129">
        <v>7</v>
      </c>
      <c r="Q743" s="129">
        <v>5</v>
      </c>
      <c r="R743" s="129">
        <v>4</v>
      </c>
      <c r="AA743" s="153"/>
      <c r="AE743" s="137"/>
      <c r="AF743" s="137"/>
    </row>
    <row r="744" spans="1:32" ht="14.4">
      <c r="A744" s="276" t="s">
        <v>141</v>
      </c>
      <c r="B744" s="276" t="s">
        <v>254</v>
      </c>
      <c r="C744" s="159" t="s">
        <v>61</v>
      </c>
      <c r="D744" s="157" t="s">
        <v>79</v>
      </c>
      <c r="E744" s="275">
        <v>0.6</v>
      </c>
      <c r="F744" s="146">
        <v>0.33</v>
      </c>
      <c r="G744" s="149">
        <v>100</v>
      </c>
      <c r="H744" s="149">
        <v>100</v>
      </c>
      <c r="I744" s="134">
        <v>95.736024086581494</v>
      </c>
      <c r="J744" s="134">
        <v>58.100740499633801</v>
      </c>
      <c r="K744" s="134">
        <v>8.2675563512084</v>
      </c>
      <c r="L744" s="134">
        <v>0.46382944096346501</v>
      </c>
      <c r="M744" s="134">
        <v>0.45569208235008302</v>
      </c>
      <c r="N744" s="134">
        <v>0.45569208235008302</v>
      </c>
      <c r="O744" s="134">
        <v>0.45569208235008302</v>
      </c>
      <c r="P744" s="134">
        <v>0.45569208235008302</v>
      </c>
      <c r="Q744" s="134">
        <v>0.45569208235008302</v>
      </c>
      <c r="R744" s="134">
        <v>0.45569208235008302</v>
      </c>
      <c r="S744" s="138">
        <v>2.73</v>
      </c>
      <c r="T744" s="138">
        <v>2.6880000000000002</v>
      </c>
      <c r="U744" s="138">
        <f>[2]级配!F744/S744*E744</f>
        <v>8.7912087912087905E-2</v>
      </c>
      <c r="V744" s="138">
        <f>[2]级配!F744/T744*E744</f>
        <v>8.9285714285714302E-2</v>
      </c>
      <c r="W744" s="138">
        <v>2.71</v>
      </c>
      <c r="X744" s="153">
        <v>0.4</v>
      </c>
      <c r="Y744" s="138">
        <f>0.033*X744*X744-0.2936*X744+0.9336</f>
        <v>0.82143999999999995</v>
      </c>
      <c r="Z744" s="138">
        <f>0.033*Y744*Y744-0.2936*Y744+0.9336</f>
        <v>0.71469241722879995</v>
      </c>
      <c r="AA744" s="127">
        <v>2.5392202951485698</v>
      </c>
      <c r="AB744" s="138">
        <v>2.71</v>
      </c>
      <c r="AC744" s="160">
        <v>4.8</v>
      </c>
      <c r="AD744" s="138">
        <f>100*AC744/(100+AC744)</f>
        <v>4.5801526717557302</v>
      </c>
      <c r="AE744" s="137"/>
      <c r="AF744" s="154">
        <f>AC744-E749*F749*AE749-E749*F750*AE750-E749*F751*AE751</f>
        <v>2.76738749269433</v>
      </c>
    </row>
    <row r="745" spans="1:32" ht="14.4">
      <c r="A745" s="276"/>
      <c r="B745" s="276"/>
      <c r="C745" s="159" t="s">
        <v>61</v>
      </c>
      <c r="D745" s="157" t="s">
        <v>63</v>
      </c>
      <c r="E745" s="275"/>
      <c r="F745" s="146">
        <v>0.33</v>
      </c>
      <c r="G745" s="149">
        <v>100</v>
      </c>
      <c r="H745" s="149">
        <v>100</v>
      </c>
      <c r="I745" s="134">
        <v>100</v>
      </c>
      <c r="J745" s="134">
        <v>100</v>
      </c>
      <c r="K745" s="134">
        <v>96.401811445039101</v>
      </c>
      <c r="L745" s="134">
        <v>11.0415808974887</v>
      </c>
      <c r="M745" s="134">
        <v>1.6797035817208601</v>
      </c>
      <c r="N745" s="134">
        <v>1.6797035817208601</v>
      </c>
      <c r="O745" s="134">
        <v>1.6797035817208601</v>
      </c>
      <c r="P745" s="134">
        <v>1.6797035817208601</v>
      </c>
      <c r="Q745" s="134">
        <v>1.6797035817208601</v>
      </c>
      <c r="R745" s="134">
        <v>1.4738575545491801</v>
      </c>
      <c r="S745" s="138">
        <v>2.7080000000000002</v>
      </c>
      <c r="T745" s="138">
        <v>2.681</v>
      </c>
      <c r="U745" s="138">
        <f>[2]级配!F745/S745*E744</f>
        <v>6.2038404726735601E-2</v>
      </c>
      <c r="V745" s="138">
        <f>[2]级配!F745/T745*E744</f>
        <v>6.26631853785901E-2</v>
      </c>
      <c r="W745" s="138"/>
      <c r="X745" s="138"/>
      <c r="Y745" s="151"/>
      <c r="Z745" s="151"/>
      <c r="AA745" s="127">
        <v>2.5670000000000002</v>
      </c>
      <c r="AB745" s="138">
        <v>2.71</v>
      </c>
      <c r="AC745" s="160">
        <v>4.8</v>
      </c>
      <c r="AD745" s="138">
        <v>4.5801526717557302</v>
      </c>
      <c r="AE745" s="137"/>
      <c r="AF745" s="137">
        <v>2.76738749269433</v>
      </c>
    </row>
    <row r="746" spans="1:32" ht="13.8" customHeight="1">
      <c r="A746" s="276"/>
      <c r="B746" s="276"/>
      <c r="C746" s="159" t="s">
        <v>82</v>
      </c>
      <c r="D746" s="157" t="s">
        <v>70</v>
      </c>
      <c r="E746" s="275"/>
      <c r="F746" s="146">
        <v>0.25</v>
      </c>
      <c r="G746" s="149">
        <v>100</v>
      </c>
      <c r="H746" s="149">
        <v>100</v>
      </c>
      <c r="I746" s="134">
        <v>100</v>
      </c>
      <c r="J746" s="134">
        <v>100</v>
      </c>
      <c r="K746" s="134">
        <v>100</v>
      </c>
      <c r="L746" s="134">
        <v>97.156617578957096</v>
      </c>
      <c r="M746" s="134">
        <v>28.248587570621499</v>
      </c>
      <c r="N746" s="134">
        <v>9.3822358062424591</v>
      </c>
      <c r="O746" s="134">
        <v>6.2054274335463599</v>
      </c>
      <c r="P746" s="134">
        <v>5.3903862183940001</v>
      </c>
      <c r="Q746" s="134">
        <v>4.9180327868852602</v>
      </c>
      <c r="R746" s="134">
        <v>4.2974900435306198</v>
      </c>
      <c r="S746" s="138">
        <v>2.7730000000000001</v>
      </c>
      <c r="T746" s="138">
        <v>2.629</v>
      </c>
      <c r="U746" s="138">
        <f>[2]级配!F746/S746*E744</f>
        <v>6.0584204832311597E-2</v>
      </c>
      <c r="V746" s="138">
        <f>[2]级配!F746/T746*E744</f>
        <v>6.3902624572080693E-2</v>
      </c>
      <c r="AA746" s="127">
        <v>2.5659999999999998</v>
      </c>
      <c r="AB746" s="138">
        <v>2.71</v>
      </c>
      <c r="AC746" s="160">
        <v>4.8</v>
      </c>
      <c r="AD746" s="138">
        <v>4.5801526717557302</v>
      </c>
      <c r="AE746" s="137"/>
      <c r="AF746" s="137">
        <v>2.76738749269433</v>
      </c>
    </row>
    <row r="747" spans="1:32">
      <c r="A747" s="276"/>
      <c r="B747" s="276"/>
      <c r="C747" s="159" t="s">
        <v>82</v>
      </c>
      <c r="D747" s="134" t="s">
        <v>71</v>
      </c>
      <c r="E747" s="275"/>
      <c r="F747" s="146">
        <v>0.09</v>
      </c>
      <c r="G747" s="149">
        <v>100</v>
      </c>
      <c r="H747" s="149">
        <v>100</v>
      </c>
      <c r="I747" s="134">
        <v>100</v>
      </c>
      <c r="J747" s="134">
        <v>100</v>
      </c>
      <c r="K747" s="134">
        <v>100</v>
      </c>
      <c r="L747" s="134">
        <v>100</v>
      </c>
      <c r="M747" s="134">
        <v>94.585448392554994</v>
      </c>
      <c r="N747" s="134">
        <v>49.557081715935098</v>
      </c>
      <c r="O747" s="134">
        <v>28.934010152284301</v>
      </c>
      <c r="P747" s="134">
        <v>16.820941574599399</v>
      </c>
      <c r="Q747" s="134">
        <v>9.2166815964964695</v>
      </c>
      <c r="R747" s="134">
        <v>6.3003881755748097</v>
      </c>
      <c r="S747" s="138">
        <v>2.6789999999999998</v>
      </c>
      <c r="T747" s="138">
        <v>2.6789999999999998</v>
      </c>
      <c r="U747" s="138">
        <f>[2]级配!F747/S747*E744</f>
        <v>0</v>
      </c>
      <c r="V747" s="138">
        <f>[2]级配!F747/T747*E744</f>
        <v>0</v>
      </c>
      <c r="AA747" s="153"/>
      <c r="AE747" s="137"/>
      <c r="AF747" s="137"/>
    </row>
    <row r="748" spans="1:32" ht="14.4">
      <c r="A748" s="276"/>
      <c r="B748" s="276"/>
      <c r="C748" s="164" t="s">
        <v>99</v>
      </c>
      <c r="D748" s="168" t="s">
        <v>91</v>
      </c>
      <c r="E748" s="275"/>
      <c r="F748" s="129">
        <v>0</v>
      </c>
      <c r="G748" s="149">
        <v>100</v>
      </c>
      <c r="H748" s="149">
        <v>100</v>
      </c>
      <c r="I748" s="134">
        <v>100</v>
      </c>
      <c r="J748" s="134">
        <v>100</v>
      </c>
      <c r="K748" s="134">
        <v>100</v>
      </c>
      <c r="L748" s="134">
        <v>100</v>
      </c>
      <c r="M748" s="134">
        <v>100</v>
      </c>
      <c r="N748" s="134">
        <v>100</v>
      </c>
      <c r="O748" s="134">
        <v>100</v>
      </c>
      <c r="P748" s="134">
        <v>97.4</v>
      </c>
      <c r="Q748" s="134">
        <v>90.2</v>
      </c>
      <c r="R748" s="134">
        <v>78.2</v>
      </c>
      <c r="S748" s="138">
        <v>2.6789999999999998</v>
      </c>
      <c r="T748" s="138">
        <v>2.6789999999999998</v>
      </c>
      <c r="U748" s="138">
        <f>[2]级配!F748/S748*E744</f>
        <v>8.9585666293393092E-3</v>
      </c>
      <c r="V748" s="138">
        <f>[2]级配!F748/T748*E744</f>
        <v>8.9585666293393092E-3</v>
      </c>
      <c r="AA748" s="153"/>
      <c r="AE748" s="137"/>
      <c r="AF748" s="137"/>
    </row>
    <row r="749" spans="1:32">
      <c r="A749" s="276"/>
      <c r="B749" s="276"/>
      <c r="C749" s="159" t="s">
        <v>74</v>
      </c>
      <c r="D749" s="157" t="s">
        <v>111</v>
      </c>
      <c r="E749" s="276">
        <v>0.4</v>
      </c>
      <c r="F749" s="129">
        <v>1</v>
      </c>
      <c r="G749" s="149">
        <v>100</v>
      </c>
      <c r="H749" s="149">
        <v>100</v>
      </c>
      <c r="I749" s="134">
        <v>99.387624531578496</v>
      </c>
      <c r="J749" s="134">
        <v>96.099894439390098</v>
      </c>
      <c r="K749" s="134">
        <v>86.531711371940204</v>
      </c>
      <c r="L749" s="134">
        <v>64.999844284612294</v>
      </c>
      <c r="M749" s="134">
        <v>50.518839398460997</v>
      </c>
      <c r="N749" s="134">
        <v>35.572675523159603</v>
      </c>
      <c r="O749" s="134">
        <v>26.0537351100165</v>
      </c>
      <c r="P749" s="134">
        <v>17.3911051310704</v>
      </c>
      <c r="Q749" s="134">
        <v>11.0224325777745</v>
      </c>
      <c r="R749" s="134">
        <v>8.8285256274141499</v>
      </c>
      <c r="S749" s="138">
        <v>2.72</v>
      </c>
      <c r="T749" s="138">
        <v>2.65</v>
      </c>
      <c r="U749" s="138">
        <f>[2]级配!F749/S749*E744</f>
        <v>0.220588235294118</v>
      </c>
      <c r="V749" s="138">
        <f>[2]级配!F749/T749*E744</f>
        <v>0.22641509433962301</v>
      </c>
      <c r="AA749" s="153"/>
      <c r="AE749" s="137">
        <v>5.08153126826417</v>
      </c>
      <c r="AF749" s="137"/>
    </row>
    <row r="750" spans="1:32">
      <c r="A750" s="276"/>
      <c r="B750" s="276"/>
      <c r="C750" s="159" t="s">
        <v>76</v>
      </c>
      <c r="D750" s="134" t="s">
        <v>68</v>
      </c>
      <c r="E750" s="276"/>
      <c r="F750" s="129">
        <v>0</v>
      </c>
      <c r="G750" s="149">
        <v>100</v>
      </c>
      <c r="H750" s="149">
        <v>100</v>
      </c>
      <c r="I750" s="134">
        <v>100</v>
      </c>
      <c r="J750" s="134">
        <v>99.024444856800201</v>
      </c>
      <c r="K750" s="134">
        <v>96.353643135230101</v>
      </c>
      <c r="L750" s="134">
        <v>69.669906188055506</v>
      </c>
      <c r="M750" s="134">
        <v>50.000926367474698</v>
      </c>
      <c r="N750" s="134">
        <v>36.3312093640562</v>
      </c>
      <c r="O750" s="134">
        <v>28.752656900308999</v>
      </c>
      <c r="P750" s="134">
        <v>23.421788024767601</v>
      </c>
      <c r="Q750" s="134">
        <v>19.962279226780002</v>
      </c>
      <c r="R750" s="134">
        <v>18.206417533326</v>
      </c>
      <c r="S750" s="138">
        <v>2.8519999999999999</v>
      </c>
      <c r="T750" s="138">
        <v>2.7229999999999999</v>
      </c>
      <c r="U750" s="138">
        <f>[2]级配!F750/S750*E744</f>
        <v>0</v>
      </c>
      <c r="V750" s="138">
        <f>[2]级配!F750/T750*E744</f>
        <v>0</v>
      </c>
      <c r="AA750" s="153"/>
      <c r="AE750" s="137"/>
      <c r="AF750" s="137"/>
    </row>
    <row r="751" spans="1:32">
      <c r="A751" s="276"/>
      <c r="B751" s="276"/>
      <c r="C751" s="159" t="s">
        <v>76</v>
      </c>
      <c r="D751" s="134" t="s">
        <v>65</v>
      </c>
      <c r="E751" s="276"/>
      <c r="F751" s="130">
        <v>0</v>
      </c>
      <c r="G751" s="149">
        <v>100</v>
      </c>
      <c r="H751" s="149">
        <v>100</v>
      </c>
      <c r="I751" s="134">
        <v>100</v>
      </c>
      <c r="J751" s="134">
        <v>100</v>
      </c>
      <c r="K751" s="134">
        <v>100</v>
      </c>
      <c r="L751" s="134">
        <v>96.773241575442697</v>
      </c>
      <c r="M751" s="134">
        <v>58.955499795773399</v>
      </c>
      <c r="N751" s="134">
        <v>32.060997642496702</v>
      </c>
      <c r="O751" s="134">
        <v>23.467347478352799</v>
      </c>
      <c r="P751" s="134">
        <v>17.429766402104299</v>
      </c>
      <c r="Q751" s="134">
        <v>13.4674110343355</v>
      </c>
      <c r="R751" s="134">
        <v>11.5498931412078</v>
      </c>
      <c r="S751" s="138">
        <v>2.8290000000000002</v>
      </c>
      <c r="T751" s="138">
        <v>2.7650000000000001</v>
      </c>
      <c r="U751" s="138">
        <f>[2]级配!F751/S751*E749</f>
        <v>0</v>
      </c>
      <c r="V751" s="138">
        <f>[2]级配!F751/T751*E749</f>
        <v>0</v>
      </c>
      <c r="AA751" s="153"/>
      <c r="AE751" s="137"/>
      <c r="AF751" s="137"/>
    </row>
    <row r="752" spans="1:32">
      <c r="A752" s="276"/>
      <c r="B752" s="276"/>
      <c r="C752" s="159" t="s">
        <v>76</v>
      </c>
      <c r="D752" s="168" t="s">
        <v>97</v>
      </c>
      <c r="E752" s="276"/>
      <c r="F752" s="130">
        <v>0</v>
      </c>
      <c r="G752" s="149">
        <v>100</v>
      </c>
      <c r="H752" s="149">
        <v>100</v>
      </c>
      <c r="I752" s="149">
        <v>100</v>
      </c>
      <c r="J752" s="149">
        <v>99.709455890121504</v>
      </c>
      <c r="K752" s="149">
        <v>93.611005421295204</v>
      </c>
      <c r="L752" s="149">
        <v>62.883664943704403</v>
      </c>
      <c r="M752" s="149">
        <v>41.736211500847702</v>
      </c>
      <c r="N752" s="149">
        <v>29.275015875296301</v>
      </c>
      <c r="O752" s="149">
        <v>22.374005580422299</v>
      </c>
      <c r="P752" s="149">
        <v>14.3321095762082</v>
      </c>
      <c r="Q752" s="149">
        <v>9.6170951500159596</v>
      </c>
      <c r="R752" s="149">
        <v>6.5264817525129803</v>
      </c>
      <c r="S752" s="138">
        <v>2.76</v>
      </c>
      <c r="T752" s="138">
        <v>2.7</v>
      </c>
      <c r="U752" s="138">
        <f>[2]级配!F752/S752*E749</f>
        <v>0</v>
      </c>
      <c r="V752" s="138">
        <f>[2]级配!F752/T752*E749</f>
        <v>0</v>
      </c>
      <c r="AA752" s="153"/>
      <c r="AE752" s="137"/>
      <c r="AF752" s="137"/>
    </row>
    <row r="753" spans="1:32" ht="14.4">
      <c r="A753" s="276"/>
      <c r="B753" s="276"/>
      <c r="C753"/>
      <c r="F753" s="129" t="s">
        <v>240</v>
      </c>
      <c r="G753" s="170">
        <f>$E$29*($F$29*G744+$F$30*G745+$F$31*G746+$F$32*G747+$F$33*G748+$F$34*G749+$F$35*G750)+$E$36*($F$36*G751+$F$37*G752)</f>
        <v>100</v>
      </c>
      <c r="H753" s="170">
        <f>E744*(F744*H744+F745*H745+F746*H746+F747*H747+F748*H748)+E749*(F751*H751+F752*H752+F749*H749+F750*H750)</f>
        <v>100</v>
      </c>
      <c r="I753" s="170">
        <f>E744*(F744*I744+F745*I745+F746*I746+F747*I747+F748*I748)+E749*(F751*I751+F752*I752+F749*I749+F750*I750)</f>
        <v>98.910782581774498</v>
      </c>
      <c r="J753" s="170">
        <f>E744*(F744*J744+F745*J745+F746*J746+F747*J747+F748*J748)+E749*(F751*J751+F752*J752+F749*J749+F750*J750)</f>
        <v>90.143904394683503</v>
      </c>
      <c r="K753" s="170">
        <f>E744*(F744*K744+F745*K745+F746*K746+F747*K747+F748*K748)+E749*(F751*K751+F752*K752+F749*K749+F750*K750)</f>
        <v>75.737219372433103</v>
      </c>
      <c r="L753" s="170">
        <f>E744*(F744*L744+F745*L745+F746*L746+F747*L747+F748*L748)+E749*(F751*L751+F752*L752+F749*L749+F750*L750)</f>
        <v>48.251501597702003</v>
      </c>
      <c r="M753" s="170">
        <f>E744*(F744*M744+F745*M745+F746*M746+F747*M747+F748*M748)+E749*(F751*M751+F752*M752+F749*M749+F750*M750)</f>
        <v>29.975246449661601</v>
      </c>
      <c r="N753" s="170">
        <f>E744*(F744*N744+F745*N745+F746*N746+F747*N747+F748*N748)+E749*(F751*N751+F752*N752+F749*N749+F750*N750)</f>
        <v>18.735296334346799</v>
      </c>
      <c r="O753" s="170">
        <f>E744*(F744*O744+F745*O745+F746*O746+F747*O747+F748*O748)+E749*(F751*O751+F752*O752+F749*O749+F750*O750)</f>
        <v>13.337553048747999</v>
      </c>
      <c r="P753" s="170">
        <f>E744*(F744*P744+F745*P745+F746*P746+F747*P747+F748*P748)+E749*(F751*P751+F752*P752+F749*P749+F750*P750)</f>
        <v>9.0961391717016706</v>
      </c>
      <c r="Q753" s="170">
        <f>E744*(F744*Q744+F745*Q745+F746*Q746+F747*Q747+F748*Q748)+E749*(F751*Q751+F752*Q752+F749*Q749+F750*Q750)</f>
        <v>6.0671870968394499</v>
      </c>
      <c r="R753" s="170">
        <f>E744*(F744*R744+F745*R745+F746*R746+F747*R747+F748*R748)+E749*(F751*R751+F752*R752+F749*R749+F750*R750)</f>
        <v>4.8983055470823498</v>
      </c>
      <c r="AA753" s="153"/>
      <c r="AE753" s="137"/>
      <c r="AF753" s="137"/>
    </row>
    <row r="754" spans="1:32" ht="14.4">
      <c r="A754" s="276"/>
      <c r="B754" s="276"/>
      <c r="C754"/>
      <c r="F754" s="129" t="s">
        <v>241</v>
      </c>
      <c r="G754" s="149">
        <v>100</v>
      </c>
      <c r="H754" s="149">
        <v>100</v>
      </c>
      <c r="I754" s="129">
        <v>100</v>
      </c>
      <c r="J754" s="129">
        <v>100</v>
      </c>
      <c r="K754" s="129">
        <v>85</v>
      </c>
      <c r="L754" s="129">
        <v>68</v>
      </c>
      <c r="M754" s="129">
        <v>50</v>
      </c>
      <c r="N754" s="129">
        <v>38</v>
      </c>
      <c r="O754" s="129">
        <v>28</v>
      </c>
      <c r="P754" s="129">
        <v>20</v>
      </c>
      <c r="Q754" s="129">
        <v>15</v>
      </c>
      <c r="R754" s="129">
        <v>8</v>
      </c>
      <c r="AA754" s="153"/>
      <c r="AE754" s="137"/>
      <c r="AF754" s="137"/>
    </row>
    <row r="755" spans="1:32" ht="14.4">
      <c r="A755" s="276"/>
      <c r="B755" s="276"/>
      <c r="C755"/>
      <c r="F755" s="129" t="s">
        <v>242</v>
      </c>
      <c r="G755" s="149">
        <f t="shared" ref="G755" si="120">(G754+G756)/2</f>
        <v>100</v>
      </c>
      <c r="H755" s="149">
        <v>100</v>
      </c>
      <c r="I755" s="129">
        <v>100</v>
      </c>
      <c r="J755" s="129">
        <f t="shared" ref="J755:R755" si="121">(J754+J756)/2</f>
        <v>95</v>
      </c>
      <c r="K755" s="129">
        <f t="shared" si="121"/>
        <v>76.5</v>
      </c>
      <c r="L755" s="129">
        <f t="shared" si="121"/>
        <v>53</v>
      </c>
      <c r="M755" s="129">
        <f t="shared" si="121"/>
        <v>37</v>
      </c>
      <c r="N755" s="129">
        <f t="shared" si="121"/>
        <v>26.5</v>
      </c>
      <c r="O755" s="129">
        <f t="shared" si="121"/>
        <v>19</v>
      </c>
      <c r="P755" s="129">
        <f t="shared" si="121"/>
        <v>13.5</v>
      </c>
      <c r="Q755" s="129">
        <f t="shared" si="121"/>
        <v>10</v>
      </c>
      <c r="R755" s="129">
        <f t="shared" si="121"/>
        <v>6</v>
      </c>
      <c r="AA755" s="153"/>
      <c r="AE755" s="137"/>
      <c r="AF755" s="137"/>
    </row>
    <row r="756" spans="1:32" ht="14.4">
      <c r="A756" s="276"/>
      <c r="B756" s="276"/>
      <c r="C756"/>
      <c r="F756" s="129" t="s">
        <v>243</v>
      </c>
      <c r="G756" s="149">
        <v>100</v>
      </c>
      <c r="H756" s="149">
        <v>100</v>
      </c>
      <c r="I756" s="129">
        <v>100</v>
      </c>
      <c r="J756" s="129">
        <v>90</v>
      </c>
      <c r="K756" s="129">
        <v>68</v>
      </c>
      <c r="L756" s="129">
        <v>38</v>
      </c>
      <c r="M756" s="129">
        <v>24</v>
      </c>
      <c r="N756" s="129">
        <v>15</v>
      </c>
      <c r="O756" s="129">
        <v>10</v>
      </c>
      <c r="P756" s="129">
        <v>7</v>
      </c>
      <c r="Q756" s="129">
        <v>5</v>
      </c>
      <c r="R756" s="129">
        <v>4</v>
      </c>
      <c r="AA756" s="153"/>
      <c r="AE756" s="137"/>
      <c r="AF756" s="137"/>
    </row>
    <row r="757" spans="1:32" ht="14.4">
      <c r="A757" s="276" t="s">
        <v>141</v>
      </c>
      <c r="B757" s="276" t="s">
        <v>255</v>
      </c>
      <c r="C757" s="159" t="s">
        <v>61</v>
      </c>
      <c r="D757" s="157" t="s">
        <v>79</v>
      </c>
      <c r="E757" s="275">
        <v>0.6</v>
      </c>
      <c r="F757" s="146">
        <v>0.25</v>
      </c>
      <c r="G757" s="149">
        <v>100</v>
      </c>
      <c r="H757" s="149">
        <v>100</v>
      </c>
      <c r="I757" s="134">
        <v>95.736024086581494</v>
      </c>
      <c r="J757" s="134">
        <v>58.100740499633801</v>
      </c>
      <c r="K757" s="134">
        <v>8.2675563512084</v>
      </c>
      <c r="L757" s="134">
        <v>0.46382944096346501</v>
      </c>
      <c r="M757" s="134">
        <v>0.45569208235008302</v>
      </c>
      <c r="N757" s="134">
        <v>0.45569208235008302</v>
      </c>
      <c r="O757" s="134">
        <v>0.45569208235008302</v>
      </c>
      <c r="P757" s="134">
        <v>0.45569208235008302</v>
      </c>
      <c r="Q757" s="134">
        <v>0.45569208235008302</v>
      </c>
      <c r="R757" s="134">
        <v>0.45569208235008302</v>
      </c>
      <c r="S757" s="138">
        <v>2.73</v>
      </c>
      <c r="T757" s="138">
        <v>2.6880000000000002</v>
      </c>
      <c r="U757" s="138">
        <f>[2]级配!F757/S757*E757</f>
        <v>0.10989010989011</v>
      </c>
      <c r="V757" s="138">
        <f>[2]级配!F757/T757*E757</f>
        <v>0.111607142857143</v>
      </c>
      <c r="W757" s="138">
        <v>2.69</v>
      </c>
      <c r="X757" s="153">
        <v>0.4</v>
      </c>
      <c r="Y757" s="138">
        <f>0.033*X757*X757-0.2936*X757+0.9336</f>
        <v>0.82143999999999995</v>
      </c>
      <c r="Z757" s="138">
        <f>0.033*Y757*Y757-0.2936*Y757+0.9336</f>
        <v>0.71469241722879995</v>
      </c>
      <c r="AA757" s="127">
        <v>2.5590000000000002</v>
      </c>
      <c r="AB757" s="138">
        <v>2.71</v>
      </c>
      <c r="AC757" s="160">
        <v>4.8</v>
      </c>
      <c r="AD757" s="138">
        <f>100*AC757/(100+AC757)</f>
        <v>4.5801526717557302</v>
      </c>
      <c r="AE757" s="137"/>
      <c r="AF757" s="154">
        <f>AC757-E762*F762*AE762-E762*F763*AE763-E762*F764*AE764</f>
        <v>2.76738749269433</v>
      </c>
    </row>
    <row r="758" spans="1:32" ht="14.4">
      <c r="A758" s="276"/>
      <c r="B758" s="276"/>
      <c r="C758" s="159" t="s">
        <v>61</v>
      </c>
      <c r="D758" s="157" t="s">
        <v>63</v>
      </c>
      <c r="E758" s="275"/>
      <c r="F758" s="146">
        <v>0.33</v>
      </c>
      <c r="G758" s="149">
        <v>100</v>
      </c>
      <c r="H758" s="149">
        <v>100</v>
      </c>
      <c r="I758" s="134">
        <v>100</v>
      </c>
      <c r="J758" s="134">
        <v>100</v>
      </c>
      <c r="K758" s="134">
        <v>96.401811445039101</v>
      </c>
      <c r="L758" s="134">
        <v>11.0415808974887</v>
      </c>
      <c r="M758" s="134">
        <v>1.6797035817208601</v>
      </c>
      <c r="N758" s="134">
        <v>1.6797035817208601</v>
      </c>
      <c r="O758" s="134">
        <v>1.6797035817208601</v>
      </c>
      <c r="P758" s="134">
        <v>1.6797035817208601</v>
      </c>
      <c r="Q758" s="134">
        <v>1.6797035817208601</v>
      </c>
      <c r="R758" s="134">
        <v>1.4738575545491801</v>
      </c>
      <c r="S758" s="138">
        <v>2.7080000000000002</v>
      </c>
      <c r="T758" s="138">
        <v>2.681</v>
      </c>
      <c r="U758" s="138">
        <f>[2]级配!F758/S758*E757</f>
        <v>7.5332348596750406E-2</v>
      </c>
      <c r="V758" s="138">
        <f>[2]级配!F758/T758*E757</f>
        <v>7.60910108168594E-2</v>
      </c>
      <c r="W758" s="138"/>
      <c r="X758" s="138"/>
      <c r="Y758" s="151"/>
      <c r="Z758" s="151"/>
      <c r="AA758" s="127">
        <v>2.5579999999999998</v>
      </c>
      <c r="AB758" s="138">
        <v>2.71</v>
      </c>
      <c r="AC758" s="160">
        <v>4.8</v>
      </c>
      <c r="AD758" s="138">
        <v>4.5801526717557302</v>
      </c>
      <c r="AE758" s="137"/>
      <c r="AF758" s="137">
        <v>2.76738749269433</v>
      </c>
    </row>
    <row r="759" spans="1:32" ht="13.8" customHeight="1">
      <c r="A759" s="276"/>
      <c r="B759" s="276"/>
      <c r="C759" s="159" t="s">
        <v>82</v>
      </c>
      <c r="D759" s="157" t="s">
        <v>70</v>
      </c>
      <c r="E759" s="275"/>
      <c r="F759" s="146">
        <v>0.25</v>
      </c>
      <c r="G759" s="149">
        <v>100</v>
      </c>
      <c r="H759" s="149">
        <v>100</v>
      </c>
      <c r="I759" s="134">
        <v>100</v>
      </c>
      <c r="J759" s="134">
        <v>100</v>
      </c>
      <c r="K759" s="134">
        <v>100</v>
      </c>
      <c r="L759" s="134">
        <v>97.156617578957096</v>
      </c>
      <c r="M759" s="134">
        <v>28.248587570621499</v>
      </c>
      <c r="N759" s="134">
        <v>9.3822358062424591</v>
      </c>
      <c r="O759" s="134">
        <v>6.2054274335463599</v>
      </c>
      <c r="P759" s="134">
        <v>5.3903862183940001</v>
      </c>
      <c r="Q759" s="134">
        <v>4.9180327868852602</v>
      </c>
      <c r="R759" s="134">
        <v>4.2974900435306198</v>
      </c>
      <c r="S759" s="138">
        <v>2.7730000000000001</v>
      </c>
      <c r="T759" s="138">
        <v>2.629</v>
      </c>
      <c r="U759" s="138">
        <f>[2]级配!F759/S759*E757</f>
        <v>3.4619545618463803E-2</v>
      </c>
      <c r="V759" s="138">
        <f>[2]级配!F759/T759*E757</f>
        <v>3.6515785469760399E-2</v>
      </c>
      <c r="AA759" s="127"/>
      <c r="AB759" s="138"/>
      <c r="AC759" s="160"/>
      <c r="AD759" s="138"/>
      <c r="AE759" s="137"/>
      <c r="AF759" s="137"/>
    </row>
    <row r="760" spans="1:32">
      <c r="A760" s="276"/>
      <c r="B760" s="276"/>
      <c r="C760" s="159" t="s">
        <v>82</v>
      </c>
      <c r="D760" s="134" t="s">
        <v>71</v>
      </c>
      <c r="E760" s="275"/>
      <c r="F760" s="146">
        <v>0.14000000000000001</v>
      </c>
      <c r="G760" s="149">
        <v>100</v>
      </c>
      <c r="H760" s="149">
        <v>100</v>
      </c>
      <c r="I760" s="134">
        <v>100</v>
      </c>
      <c r="J760" s="134">
        <v>100</v>
      </c>
      <c r="K760" s="134">
        <v>100</v>
      </c>
      <c r="L760" s="134">
        <v>100</v>
      </c>
      <c r="M760" s="134">
        <v>94.585448392554994</v>
      </c>
      <c r="N760" s="134">
        <v>49.557081715935098</v>
      </c>
      <c r="O760" s="134">
        <v>28.934010152284301</v>
      </c>
      <c r="P760" s="134">
        <v>16.820941574599399</v>
      </c>
      <c r="Q760" s="134">
        <v>9.2166815964964695</v>
      </c>
      <c r="R760" s="134">
        <v>6.3003881755748097</v>
      </c>
      <c r="S760" s="138">
        <v>2.6789999999999998</v>
      </c>
      <c r="T760" s="138">
        <v>2.6789999999999998</v>
      </c>
      <c r="U760" s="138">
        <f>[2]级配!F760/S760*E757</f>
        <v>0</v>
      </c>
      <c r="V760" s="138">
        <f>[2]级配!F760/T760*E757</f>
        <v>0</v>
      </c>
      <c r="AA760" s="153"/>
      <c r="AE760" s="137"/>
      <c r="AF760" s="137"/>
    </row>
    <row r="761" spans="1:32" ht="14.4">
      <c r="A761" s="276"/>
      <c r="B761" s="276"/>
      <c r="C761" s="164" t="s">
        <v>99</v>
      </c>
      <c r="D761" s="168" t="s">
        <v>91</v>
      </c>
      <c r="E761" s="275"/>
      <c r="F761" s="129">
        <v>0.03</v>
      </c>
      <c r="G761" s="149">
        <v>100</v>
      </c>
      <c r="H761" s="149">
        <v>100</v>
      </c>
      <c r="I761" s="134">
        <v>100</v>
      </c>
      <c r="J761" s="134">
        <v>100</v>
      </c>
      <c r="K761" s="134">
        <v>100</v>
      </c>
      <c r="L761" s="134">
        <v>100</v>
      </c>
      <c r="M761" s="134">
        <v>100</v>
      </c>
      <c r="N761" s="134">
        <v>100</v>
      </c>
      <c r="O761" s="134">
        <v>100</v>
      </c>
      <c r="P761" s="134">
        <v>97.4</v>
      </c>
      <c r="Q761" s="134">
        <v>90.2</v>
      </c>
      <c r="R761" s="134">
        <v>78.2</v>
      </c>
      <c r="S761" s="138">
        <v>2.6789999999999998</v>
      </c>
      <c r="T761" s="138">
        <v>2.6789999999999998</v>
      </c>
      <c r="U761" s="138">
        <f>[2]级配!F761/S761*E757</f>
        <v>0</v>
      </c>
      <c r="V761" s="138">
        <f>[2]级配!F761/T761*E757</f>
        <v>0</v>
      </c>
      <c r="AA761" s="153"/>
      <c r="AE761" s="137"/>
      <c r="AF761" s="137"/>
    </row>
    <row r="762" spans="1:32">
      <c r="A762" s="276"/>
      <c r="B762" s="276"/>
      <c r="C762" s="159" t="s">
        <v>74</v>
      </c>
      <c r="D762" s="157" t="s">
        <v>111</v>
      </c>
      <c r="E762" s="276">
        <v>0.4</v>
      </c>
      <c r="F762" s="129">
        <v>1</v>
      </c>
      <c r="G762" s="149">
        <v>100</v>
      </c>
      <c r="H762" s="149">
        <v>100</v>
      </c>
      <c r="I762" s="134">
        <v>99.387624531578496</v>
      </c>
      <c r="J762" s="134">
        <v>96.099894439390098</v>
      </c>
      <c r="K762" s="134">
        <v>86.531711371940204</v>
      </c>
      <c r="L762" s="134">
        <v>64.999844284612294</v>
      </c>
      <c r="M762" s="134">
        <v>50.518839398460997</v>
      </c>
      <c r="N762" s="134">
        <v>35.572675523159603</v>
      </c>
      <c r="O762" s="134">
        <v>26.0537351100165</v>
      </c>
      <c r="P762" s="134">
        <v>17.3911051310704</v>
      </c>
      <c r="Q762" s="134">
        <v>11.0224325777745</v>
      </c>
      <c r="R762" s="134">
        <v>8.8285256274141499</v>
      </c>
      <c r="S762" s="138">
        <v>2.72</v>
      </c>
      <c r="T762" s="138">
        <v>2.65</v>
      </c>
      <c r="U762" s="138">
        <f>[2]级配!F762/S762*E757</f>
        <v>0.14117647058823499</v>
      </c>
      <c r="V762" s="138">
        <f>[2]级配!F762/T762*E757</f>
        <v>0.144905660377358</v>
      </c>
      <c r="AA762" s="153"/>
      <c r="AE762" s="137">
        <v>5.08153126826417</v>
      </c>
      <c r="AF762" s="137"/>
    </row>
    <row r="763" spans="1:32">
      <c r="A763" s="276"/>
      <c r="B763" s="276"/>
      <c r="C763" s="159" t="s">
        <v>76</v>
      </c>
      <c r="D763" s="134" t="s">
        <v>68</v>
      </c>
      <c r="E763" s="276"/>
      <c r="F763" s="129">
        <v>0</v>
      </c>
      <c r="G763" s="149">
        <v>100</v>
      </c>
      <c r="H763" s="149">
        <v>100</v>
      </c>
      <c r="I763" s="134">
        <v>100</v>
      </c>
      <c r="J763" s="134">
        <v>99.024444856800201</v>
      </c>
      <c r="K763" s="134">
        <v>96.353643135230101</v>
      </c>
      <c r="L763" s="134">
        <v>69.669906188055506</v>
      </c>
      <c r="M763" s="134">
        <v>50.000926367474698</v>
      </c>
      <c r="N763" s="134">
        <v>36.3312093640562</v>
      </c>
      <c r="O763" s="134">
        <v>28.752656900308999</v>
      </c>
      <c r="P763" s="134">
        <v>23.421788024767601</v>
      </c>
      <c r="Q763" s="134">
        <v>19.962279226780002</v>
      </c>
      <c r="R763" s="134">
        <v>18.206417533326</v>
      </c>
      <c r="S763" s="138">
        <v>2.8519999999999999</v>
      </c>
      <c r="T763" s="138">
        <v>2.7229999999999999</v>
      </c>
      <c r="U763" s="138">
        <f>[2]级配!F763/S763*E757</f>
        <v>7.5736325385694206E-2</v>
      </c>
      <c r="V763" s="138">
        <f>[2]级配!F763/T763*E757</f>
        <v>7.9324274697025299E-2</v>
      </c>
      <c r="AA763" s="153"/>
      <c r="AF763" s="137"/>
    </row>
    <row r="764" spans="1:32">
      <c r="A764" s="276"/>
      <c r="B764" s="276"/>
      <c r="C764" s="159" t="s">
        <v>76</v>
      </c>
      <c r="D764" s="134" t="s">
        <v>65</v>
      </c>
      <c r="E764" s="276"/>
      <c r="F764" s="130">
        <v>0</v>
      </c>
      <c r="G764" s="149">
        <v>100</v>
      </c>
      <c r="H764" s="149">
        <v>100</v>
      </c>
      <c r="I764" s="134">
        <v>100</v>
      </c>
      <c r="J764" s="134">
        <v>100</v>
      </c>
      <c r="K764" s="134">
        <v>100</v>
      </c>
      <c r="L764" s="134">
        <v>96.773241575442697</v>
      </c>
      <c r="M764" s="134">
        <v>58.955499795773399</v>
      </c>
      <c r="N764" s="134">
        <v>32.060997642496702</v>
      </c>
      <c r="O764" s="134">
        <v>23.467347478352799</v>
      </c>
      <c r="P764" s="134">
        <v>17.429766402104299</v>
      </c>
      <c r="Q764" s="134">
        <v>13.4674110343355</v>
      </c>
      <c r="R764" s="134">
        <v>11.5498931412078</v>
      </c>
      <c r="S764" s="138">
        <v>2.8290000000000002</v>
      </c>
      <c r="T764" s="138">
        <v>2.7650000000000001</v>
      </c>
      <c r="U764" s="138">
        <f>[2]级配!F764/S764*E762</f>
        <v>0</v>
      </c>
      <c r="V764" s="138">
        <f>[2]级配!F764/T764*E762</f>
        <v>0</v>
      </c>
      <c r="AA764" s="153"/>
      <c r="AE764" s="137"/>
      <c r="AF764" s="137"/>
    </row>
    <row r="765" spans="1:32">
      <c r="A765" s="276"/>
      <c r="B765" s="276"/>
      <c r="C765" s="159" t="s">
        <v>76</v>
      </c>
      <c r="D765" s="168" t="s">
        <v>97</v>
      </c>
      <c r="E765" s="276"/>
      <c r="F765" s="130">
        <v>0</v>
      </c>
      <c r="G765" s="149">
        <v>100</v>
      </c>
      <c r="H765" s="149">
        <v>100</v>
      </c>
      <c r="I765" s="149">
        <v>100</v>
      </c>
      <c r="J765" s="149">
        <v>99.709455890121504</v>
      </c>
      <c r="K765" s="149">
        <v>93.611005421295204</v>
      </c>
      <c r="L765" s="149">
        <v>62.883664943704403</v>
      </c>
      <c r="M765" s="149">
        <v>41.736211500847702</v>
      </c>
      <c r="N765" s="149">
        <v>29.275015875296301</v>
      </c>
      <c r="O765" s="149">
        <v>22.374005580422299</v>
      </c>
      <c r="P765" s="149">
        <v>14.3321095762082</v>
      </c>
      <c r="Q765" s="149">
        <v>9.6170951500159596</v>
      </c>
      <c r="R765" s="149">
        <v>6.5264817525129803</v>
      </c>
      <c r="S765" s="138">
        <v>2.76</v>
      </c>
      <c r="T765" s="138">
        <v>2.7</v>
      </c>
      <c r="U765" s="138">
        <f>[2]级配!F765/S765*E762</f>
        <v>0</v>
      </c>
      <c r="V765" s="138">
        <f>[2]级配!F765/T765*E762</f>
        <v>0</v>
      </c>
      <c r="AA765" s="153"/>
      <c r="AE765" s="137"/>
      <c r="AF765" s="137"/>
    </row>
    <row r="766" spans="1:32" ht="14.4">
      <c r="A766" s="276"/>
      <c r="B766" s="276"/>
      <c r="C766"/>
      <c r="F766" s="129" t="s">
        <v>240</v>
      </c>
      <c r="G766" s="170">
        <f>$E$29*($F$29*G757+$F$30*G758+$F$31*G759+$F$32*G760+$F$33*G761+$F$34*G762+$F$35*G763)+$E$36*($F$36*G764+$F$37*G765)</f>
        <v>100</v>
      </c>
      <c r="H766" s="170">
        <f>E757*(F757*H757+F758*H758+F759*H759+F760*H760+F761*H761)+E762*(F764*H764+F765*H765+F762*H762+F763*H763)</f>
        <v>100</v>
      </c>
      <c r="I766" s="170">
        <f>E757*(F757*I757+F758*I758+F759*I759+F760*I760+F761*I761)+E762*(F764*I764+F765*I765+F762*I762+F763*I763)</f>
        <v>99.115453425618597</v>
      </c>
      <c r="J766" s="170">
        <f>E757*(F757*J757+F758*J758+F759*J759+F760*J760+F761*J761)+E762*(F764*J764+F765*J765+F762*J762+F763*J763)</f>
        <v>92.155068850701099</v>
      </c>
      <c r="K766" s="170">
        <f>E757*(F757*K757+F758*K758+F759*K759+F760*K760+F761*K761)+E762*(F764*K764+F765*K765+F762*K762+F763*K763)</f>
        <v>80.140376667575097</v>
      </c>
      <c r="L766" s="170">
        <f>E757*(F757*L757+F758*L758+F759*L759+F760*L760+F761*L761)+E762*(F764*L764+F765*L765+F762*L762+F763*L763)</f>
        <v>53.029237784535802</v>
      </c>
      <c r="M766" s="170">
        <f>E757*(F757*M757+F758*M758+F759*M759+F760*M760+F761*M761)+E762*(F764*M764+F765*M765+F762*M762+F763*M763)</f>
        <v>34.590936681485502</v>
      </c>
      <c r="N766" s="170">
        <f>E757*(F757*N757+F758*N758+F759*N759+F760*N760+F761*N761)+E762*(F764*N764+F765*N765+F762*N762+F763*N763)</f>
        <v>22.000135565872</v>
      </c>
      <c r="O766" s="170">
        <f>E757*(F757*O757+F758*O758+F759*O759+F760*O760+F761*O761)+E762*(F764*O764+F765*O765+F762*O762+F763*O763)</f>
        <v>15.983700133363699</v>
      </c>
      <c r="P766" s="170">
        <f>E757*(F757*P757+F758*P758+F759*P759+F760*P760+F761*P761)+E762*(F764*P764+F765*P765+F762*P762+F763*P763)</f>
        <v>11.3320941989869</v>
      </c>
      <c r="Q766" s="170">
        <f>E757*(F757*Q757+F758*Q758+F759*Q759+F760*Q760+F761*Q761)+E762*(F764*Q764+F765*Q765+F762*Q762+F763*Q763)</f>
        <v>7.9454143247815399</v>
      </c>
      <c r="R766" s="170">
        <f>E757*(F757*R757+F758*R758+F759*R759+F760*R760+F761*R761)+E762*(F764*R764+F765*R765+F762*R762+F763*R763)</f>
        <v>6.4730439723967903</v>
      </c>
      <c r="AA766" s="153"/>
      <c r="AE766" s="137"/>
      <c r="AF766" s="137"/>
    </row>
    <row r="767" spans="1:32" ht="14.4">
      <c r="A767" s="276"/>
      <c r="B767" s="276"/>
      <c r="C767"/>
      <c r="F767" s="129" t="s">
        <v>241</v>
      </c>
      <c r="G767" s="149">
        <v>100</v>
      </c>
      <c r="H767" s="149">
        <v>100</v>
      </c>
      <c r="I767" s="129">
        <v>100</v>
      </c>
      <c r="J767" s="129">
        <v>100</v>
      </c>
      <c r="K767" s="129">
        <v>85</v>
      </c>
      <c r="L767" s="129">
        <v>68</v>
      </c>
      <c r="M767" s="129">
        <v>50</v>
      </c>
      <c r="N767" s="129">
        <v>38</v>
      </c>
      <c r="O767" s="129">
        <v>28</v>
      </c>
      <c r="P767" s="129">
        <v>20</v>
      </c>
      <c r="Q767" s="129">
        <v>15</v>
      </c>
      <c r="R767" s="129">
        <v>8</v>
      </c>
      <c r="AA767" s="153"/>
      <c r="AE767" s="137"/>
      <c r="AF767" s="137"/>
    </row>
    <row r="768" spans="1:32" ht="14.4">
      <c r="A768" s="276"/>
      <c r="B768" s="276"/>
      <c r="C768"/>
      <c r="F768" s="129" t="s">
        <v>242</v>
      </c>
      <c r="G768" s="149">
        <f t="shared" ref="G768" si="122">(G767+G769)/2</f>
        <v>100</v>
      </c>
      <c r="H768" s="149">
        <v>100</v>
      </c>
      <c r="I768" s="129">
        <v>100</v>
      </c>
      <c r="J768" s="129">
        <f t="shared" ref="J768:R768" si="123">(J767+J769)/2</f>
        <v>95</v>
      </c>
      <c r="K768" s="129">
        <f t="shared" si="123"/>
        <v>76.5</v>
      </c>
      <c r="L768" s="129">
        <f t="shared" si="123"/>
        <v>53</v>
      </c>
      <c r="M768" s="129">
        <f t="shared" si="123"/>
        <v>37</v>
      </c>
      <c r="N768" s="129">
        <f t="shared" si="123"/>
        <v>26.5</v>
      </c>
      <c r="O768" s="129">
        <f t="shared" si="123"/>
        <v>19</v>
      </c>
      <c r="P768" s="129">
        <f t="shared" si="123"/>
        <v>13.5</v>
      </c>
      <c r="Q768" s="129">
        <f t="shared" si="123"/>
        <v>10</v>
      </c>
      <c r="R768" s="129">
        <f t="shared" si="123"/>
        <v>6</v>
      </c>
      <c r="AA768" s="153"/>
      <c r="AE768" s="137"/>
      <c r="AF768" s="137"/>
    </row>
    <row r="769" spans="1:32" ht="14.4">
      <c r="A769" s="276"/>
      <c r="B769" s="276"/>
      <c r="C769"/>
      <c r="F769" s="129" t="s">
        <v>243</v>
      </c>
      <c r="G769" s="149">
        <v>100</v>
      </c>
      <c r="H769" s="149">
        <v>100</v>
      </c>
      <c r="I769" s="129">
        <v>100</v>
      </c>
      <c r="J769" s="129">
        <v>90</v>
      </c>
      <c r="K769" s="129">
        <v>68</v>
      </c>
      <c r="L769" s="129">
        <v>38</v>
      </c>
      <c r="M769" s="129">
        <v>24</v>
      </c>
      <c r="N769" s="129">
        <v>15</v>
      </c>
      <c r="O769" s="129">
        <v>10</v>
      </c>
      <c r="P769" s="129">
        <v>7</v>
      </c>
      <c r="Q769" s="129">
        <v>5</v>
      </c>
      <c r="R769" s="129">
        <v>4</v>
      </c>
      <c r="AA769" s="153"/>
      <c r="AE769" s="137"/>
      <c r="AF769" s="137"/>
    </row>
    <row r="770" spans="1:32" ht="14.4">
      <c r="A770" s="276" t="s">
        <v>142</v>
      </c>
      <c r="B770" s="276" t="s">
        <v>218</v>
      </c>
      <c r="C770" s="159" t="s">
        <v>61</v>
      </c>
      <c r="D770" s="157" t="s">
        <v>79</v>
      </c>
      <c r="E770" s="275">
        <v>0.45</v>
      </c>
      <c r="F770" s="146">
        <v>0.5</v>
      </c>
      <c r="G770" s="149">
        <v>100</v>
      </c>
      <c r="H770" s="149">
        <v>100</v>
      </c>
      <c r="I770" s="175">
        <v>100</v>
      </c>
      <c r="J770" s="175">
        <v>91.437286438985197</v>
      </c>
      <c r="K770" s="175">
        <v>22.984206828022799</v>
      </c>
      <c r="L770" s="175">
        <v>0.34897496353152502</v>
      </c>
      <c r="M770" s="175">
        <v>0.34897496353152502</v>
      </c>
      <c r="N770" s="175">
        <v>0.34897496353152502</v>
      </c>
      <c r="O770" s="175">
        <v>0.34897496353152502</v>
      </c>
      <c r="P770" s="175">
        <v>0.34897496353152502</v>
      </c>
      <c r="Q770" s="175">
        <v>0.34897496353152502</v>
      </c>
      <c r="R770" s="175">
        <v>0.34897496353152502</v>
      </c>
      <c r="S770" s="138">
        <v>2.73</v>
      </c>
      <c r="T770" s="138">
        <v>2.6880000000000002</v>
      </c>
      <c r="U770" s="138">
        <f>F770/S770*E770</f>
        <v>8.2417582417582402E-2</v>
      </c>
      <c r="V770" s="138">
        <f>F770/T770*E770</f>
        <v>8.3705357142857095E-2</v>
      </c>
      <c r="W770" s="138">
        <v>2.78</v>
      </c>
      <c r="X770" s="153">
        <v>0.4</v>
      </c>
      <c r="Y770" s="138">
        <f>0.033*X770*X770-0.2936*X770+0.9336</f>
        <v>0.82143999999999995</v>
      </c>
      <c r="Z770" s="138">
        <f>0.033*Y770*Y770-0.2936*Y770+0.9336</f>
        <v>0.71469241722879995</v>
      </c>
      <c r="AA770" s="127">
        <v>2.5588433995406001</v>
      </c>
      <c r="AB770" s="138">
        <v>2.68</v>
      </c>
      <c r="AC770" s="160">
        <v>4.8</v>
      </c>
      <c r="AD770" s="138">
        <f>100*AC770/(100+AC770)</f>
        <v>4.5801526717557302</v>
      </c>
      <c r="AE770" s="137"/>
      <c r="AF770" s="154">
        <f>AC770-E775*F775*AE775-E775*F776*AE776-E775*F777*AE777</f>
        <v>4.8</v>
      </c>
    </row>
    <row r="771" spans="1:32" ht="14.4">
      <c r="A771" s="276"/>
      <c r="B771" s="276"/>
      <c r="C771" s="159" t="s">
        <v>61</v>
      </c>
      <c r="D771" s="157" t="s">
        <v>63</v>
      </c>
      <c r="E771" s="275"/>
      <c r="F771" s="146">
        <v>0.33</v>
      </c>
      <c r="G771" s="149">
        <v>100</v>
      </c>
      <c r="H771" s="149">
        <v>100</v>
      </c>
      <c r="I771" s="175">
        <v>100</v>
      </c>
      <c r="J771" s="175">
        <v>100</v>
      </c>
      <c r="K771" s="175">
        <v>92.5</v>
      </c>
      <c r="L771" s="175">
        <v>7.4</v>
      </c>
      <c r="M771" s="175">
        <v>0.35999999999999899</v>
      </c>
      <c r="N771" s="175">
        <v>0.35999999999999899</v>
      </c>
      <c r="O771" s="175">
        <v>0.35999999999999899</v>
      </c>
      <c r="P771" s="175">
        <v>0.35999999999999899</v>
      </c>
      <c r="Q771" s="175">
        <v>0.35999999999999899</v>
      </c>
      <c r="R771" s="175">
        <v>0.35999999999999899</v>
      </c>
      <c r="S771" s="138">
        <v>2.7080000000000002</v>
      </c>
      <c r="T771" s="138">
        <v>2.681</v>
      </c>
      <c r="U771" s="138">
        <f>F771/S771*E770</f>
        <v>5.4837518463810901E-2</v>
      </c>
      <c r="V771" s="138">
        <f>F771/T771*E770</f>
        <v>5.53897799328609E-2</v>
      </c>
      <c r="W771" s="138"/>
      <c r="X771" s="138"/>
      <c r="Y771" s="151"/>
      <c r="Z771" s="151"/>
      <c r="AA771" s="127"/>
      <c r="AB771" s="138"/>
      <c r="AC771" s="160"/>
      <c r="AD771" s="138"/>
      <c r="AE771" s="137"/>
      <c r="AF771" s="137"/>
    </row>
    <row r="772" spans="1:32" ht="13.8" customHeight="1">
      <c r="A772" s="276"/>
      <c r="B772" s="276"/>
      <c r="C772" s="159" t="s">
        <v>82</v>
      </c>
      <c r="D772" s="157" t="s">
        <v>70</v>
      </c>
      <c r="E772" s="275"/>
      <c r="F772" s="146">
        <v>0.17</v>
      </c>
      <c r="G772" s="149">
        <v>100</v>
      </c>
      <c r="H772" s="149">
        <v>100</v>
      </c>
      <c r="I772" s="175">
        <v>100</v>
      </c>
      <c r="J772" s="175">
        <v>100</v>
      </c>
      <c r="K772" s="175">
        <v>100</v>
      </c>
      <c r="L772" s="175">
        <v>99.9</v>
      </c>
      <c r="M772" s="175">
        <v>83.5</v>
      </c>
      <c r="N772" s="175">
        <v>56.8</v>
      </c>
      <c r="O772" s="175">
        <v>39.9</v>
      </c>
      <c r="P772" s="175">
        <v>20.6</v>
      </c>
      <c r="Q772" s="175">
        <v>10.9</v>
      </c>
      <c r="R772" s="175">
        <v>8.1</v>
      </c>
      <c r="S772" s="138">
        <v>2.7730000000000001</v>
      </c>
      <c r="T772" s="138">
        <v>2.629</v>
      </c>
      <c r="U772" s="138">
        <f>F772/S772*E770</f>
        <v>2.7587450414713301E-2</v>
      </c>
      <c r="V772" s="138">
        <f>F772/T772*E770</f>
        <v>2.90985165462153E-2</v>
      </c>
      <c r="AA772" s="127"/>
      <c r="AB772" s="138"/>
      <c r="AC772" s="160"/>
      <c r="AD772" s="138"/>
      <c r="AE772" s="137"/>
      <c r="AF772" s="137"/>
    </row>
    <row r="773" spans="1:32">
      <c r="A773" s="276"/>
      <c r="B773" s="276"/>
      <c r="C773" s="159" t="s">
        <v>82</v>
      </c>
      <c r="D773" s="134" t="s">
        <v>71</v>
      </c>
      <c r="E773" s="275"/>
      <c r="F773" s="146">
        <v>0</v>
      </c>
      <c r="G773" s="149">
        <v>100</v>
      </c>
      <c r="H773" s="149">
        <v>100</v>
      </c>
      <c r="I773" s="134">
        <v>100</v>
      </c>
      <c r="J773" s="134">
        <v>100</v>
      </c>
      <c r="K773" s="134">
        <v>100</v>
      </c>
      <c r="L773" s="134">
        <v>100</v>
      </c>
      <c r="M773" s="134">
        <v>94.585448392554994</v>
      </c>
      <c r="N773" s="134">
        <v>49.557081715935098</v>
      </c>
      <c r="O773" s="134">
        <v>28.934010152284301</v>
      </c>
      <c r="P773" s="134">
        <v>16.820941574599399</v>
      </c>
      <c r="Q773" s="134">
        <v>9.2166815964964695</v>
      </c>
      <c r="R773" s="134">
        <v>6.3003881755748097</v>
      </c>
      <c r="S773" s="138">
        <v>2.6789999999999998</v>
      </c>
      <c r="T773" s="138">
        <v>2.6789999999999998</v>
      </c>
      <c r="U773" s="138">
        <f>F773/S773*E770</f>
        <v>0</v>
      </c>
      <c r="V773" s="138">
        <f>F773/T773*E770</f>
        <v>0</v>
      </c>
      <c r="AA773" s="153"/>
      <c r="AE773" s="137"/>
      <c r="AF773" s="137"/>
    </row>
    <row r="774" spans="1:32" ht="14.4">
      <c r="A774" s="276"/>
      <c r="B774" s="276"/>
      <c r="C774" s="164" t="s">
        <v>99</v>
      </c>
      <c r="D774" s="168" t="s">
        <v>91</v>
      </c>
      <c r="E774" s="275"/>
      <c r="F774" s="129">
        <v>0</v>
      </c>
      <c r="G774" s="149">
        <v>100</v>
      </c>
      <c r="H774" s="149">
        <v>100</v>
      </c>
      <c r="I774" s="134">
        <v>100</v>
      </c>
      <c r="J774" s="134">
        <v>100</v>
      </c>
      <c r="K774" s="134">
        <v>100</v>
      </c>
      <c r="L774" s="134">
        <v>100</v>
      </c>
      <c r="M774" s="134">
        <v>100</v>
      </c>
      <c r="N774" s="134">
        <v>100</v>
      </c>
      <c r="O774" s="134">
        <v>100</v>
      </c>
      <c r="P774" s="134">
        <v>97.4</v>
      </c>
      <c r="Q774" s="134">
        <v>90.2</v>
      </c>
      <c r="R774" s="134">
        <v>78.2</v>
      </c>
      <c r="S774" s="138">
        <v>2.6789999999999998</v>
      </c>
      <c r="T774" s="138">
        <v>2.6789999999999998</v>
      </c>
      <c r="U774" s="138">
        <f>F774/S774*E770</f>
        <v>0</v>
      </c>
      <c r="V774" s="138">
        <f>F774/T774*E770</f>
        <v>0</v>
      </c>
      <c r="AA774" s="153"/>
      <c r="AE774" s="137"/>
      <c r="AF774" s="137"/>
    </row>
    <row r="775" spans="1:32">
      <c r="A775" s="276"/>
      <c r="B775" s="276"/>
      <c r="C775" s="159" t="s">
        <v>74</v>
      </c>
      <c r="D775" s="157" t="s">
        <v>111</v>
      </c>
      <c r="E775" s="276">
        <v>0.55000000000000004</v>
      </c>
      <c r="F775" s="129">
        <v>1</v>
      </c>
      <c r="G775" s="149">
        <v>100</v>
      </c>
      <c r="H775" s="149">
        <v>100</v>
      </c>
      <c r="I775" s="175">
        <v>100</v>
      </c>
      <c r="J775" s="175">
        <v>99.620172677117196</v>
      </c>
      <c r="K775" s="175">
        <v>92.357730024761807</v>
      </c>
      <c r="L775" s="175">
        <v>64.674846034911198</v>
      </c>
      <c r="M775" s="175">
        <v>46.329933084574201</v>
      </c>
      <c r="N775" s="175">
        <v>32.977763061594999</v>
      </c>
      <c r="O775" s="175">
        <v>25.047888052268299</v>
      </c>
      <c r="P775" s="175">
        <v>19.222329744859</v>
      </c>
      <c r="Q775" s="175">
        <v>14.748167489201499</v>
      </c>
      <c r="R775" s="175">
        <v>12.7905775986073</v>
      </c>
      <c r="S775" s="138">
        <v>2.72</v>
      </c>
      <c r="T775" s="138">
        <v>2.65</v>
      </c>
      <c r="U775" s="138">
        <f>F775/S775*E770</f>
        <v>0.16544117647058801</v>
      </c>
      <c r="V775" s="138">
        <f>F775/T775*E770</f>
        <v>0.169811320754717</v>
      </c>
      <c r="AA775" s="153"/>
      <c r="AE775" s="137"/>
      <c r="AF775" s="137"/>
    </row>
    <row r="776" spans="1:32">
      <c r="A776" s="276"/>
      <c r="B776" s="276"/>
      <c r="C776" s="159" t="s">
        <v>76</v>
      </c>
      <c r="D776" s="134" t="s">
        <v>68</v>
      </c>
      <c r="E776" s="276"/>
      <c r="F776" s="129">
        <v>0</v>
      </c>
      <c r="G776" s="149">
        <v>100</v>
      </c>
      <c r="H776" s="149">
        <v>100</v>
      </c>
      <c r="I776" s="134">
        <v>100</v>
      </c>
      <c r="J776" s="134">
        <v>99.024444856800201</v>
      </c>
      <c r="K776" s="134">
        <v>96.353643135230101</v>
      </c>
      <c r="L776" s="134">
        <v>69.669906188055506</v>
      </c>
      <c r="M776" s="134">
        <v>50.000926367474698</v>
      </c>
      <c r="N776" s="134">
        <v>36.3312093640562</v>
      </c>
      <c r="O776" s="134">
        <v>28.752656900308999</v>
      </c>
      <c r="P776" s="134">
        <v>23.421788024767601</v>
      </c>
      <c r="Q776" s="134">
        <v>19.962279226780002</v>
      </c>
      <c r="R776" s="134">
        <v>18.206417533326</v>
      </c>
      <c r="S776" s="138">
        <v>2.8519999999999999</v>
      </c>
      <c r="T776" s="138">
        <v>2.7229999999999999</v>
      </c>
      <c r="U776" s="138">
        <f>F776/S776*E770</f>
        <v>0</v>
      </c>
      <c r="V776" s="138">
        <f>F776/T776*E770</f>
        <v>0</v>
      </c>
      <c r="AA776" s="153"/>
      <c r="AE776" s="137">
        <v>4.7912979351032501</v>
      </c>
      <c r="AF776" s="137"/>
    </row>
    <row r="777" spans="1:32">
      <c r="A777" s="276"/>
      <c r="B777" s="276"/>
      <c r="C777" s="159" t="s">
        <v>76</v>
      </c>
      <c r="D777" s="134" t="s">
        <v>65</v>
      </c>
      <c r="E777" s="276"/>
      <c r="F777" s="130">
        <v>0</v>
      </c>
      <c r="G777" s="149">
        <v>100</v>
      </c>
      <c r="H777" s="149">
        <v>100</v>
      </c>
      <c r="I777" s="134">
        <v>100</v>
      </c>
      <c r="J777" s="134">
        <v>100</v>
      </c>
      <c r="K777" s="134">
        <v>100</v>
      </c>
      <c r="L777" s="134">
        <v>96.773241575442697</v>
      </c>
      <c r="M777" s="134">
        <v>58.955499795773399</v>
      </c>
      <c r="N777" s="134">
        <v>32.060997642496702</v>
      </c>
      <c r="O777" s="134">
        <v>23.467347478352799</v>
      </c>
      <c r="P777" s="134">
        <v>17.429766402104299</v>
      </c>
      <c r="Q777" s="134">
        <v>13.4674110343355</v>
      </c>
      <c r="R777" s="134">
        <v>11.5498931412078</v>
      </c>
      <c r="S777" s="138">
        <v>2.8290000000000002</v>
      </c>
      <c r="T777" s="138">
        <v>2.7650000000000001</v>
      </c>
      <c r="U777" s="138">
        <f>F777/S777*E775</f>
        <v>0</v>
      </c>
      <c r="V777" s="138">
        <f>F777/T777*E775</f>
        <v>0</v>
      </c>
      <c r="AA777" s="153"/>
      <c r="AE777" s="137"/>
      <c r="AF777" s="137"/>
    </row>
    <row r="778" spans="1:32">
      <c r="A778" s="276"/>
      <c r="B778" s="276"/>
      <c r="C778" s="159" t="s">
        <v>76</v>
      </c>
      <c r="D778" s="168" t="s">
        <v>97</v>
      </c>
      <c r="E778" s="276"/>
      <c r="F778" s="130">
        <v>0</v>
      </c>
      <c r="G778" s="149">
        <v>100</v>
      </c>
      <c r="H778" s="149">
        <v>100</v>
      </c>
      <c r="I778" s="149">
        <v>100</v>
      </c>
      <c r="J778" s="149">
        <v>99.709455890121504</v>
      </c>
      <c r="K778" s="149">
        <v>93.611005421295204</v>
      </c>
      <c r="L778" s="149">
        <v>62.883664943704403</v>
      </c>
      <c r="M778" s="149">
        <v>41.736211500847702</v>
      </c>
      <c r="N778" s="149">
        <v>29.275015875296301</v>
      </c>
      <c r="O778" s="149">
        <v>22.374005580422299</v>
      </c>
      <c r="P778" s="149">
        <v>14.3321095762082</v>
      </c>
      <c r="Q778" s="149">
        <v>9.6170951500159596</v>
      </c>
      <c r="R778" s="149">
        <v>6.5264817525129803</v>
      </c>
      <c r="S778" s="138">
        <v>2.76</v>
      </c>
      <c r="T778" s="138">
        <v>2.7</v>
      </c>
      <c r="U778" s="138">
        <f>F778/S778*E775</f>
        <v>0</v>
      </c>
      <c r="V778" s="138">
        <f>F778/T778*E775</f>
        <v>0</v>
      </c>
      <c r="AA778" s="153"/>
      <c r="AE778" s="137"/>
      <c r="AF778" s="137"/>
    </row>
    <row r="779" spans="1:32" ht="14.4">
      <c r="A779" s="276"/>
      <c r="B779" s="276"/>
      <c r="C779"/>
      <c r="F779" s="129" t="s">
        <v>240</v>
      </c>
      <c r="G779" s="170">
        <f>$E$29*($F$29*G770+$F$30*G771+$F$31*G772+$F$32*G773+$F$33*G774+$F$34*G775+$F$35*G776)+$E$36*($F$36*G777+$F$37*G778)</f>
        <v>100</v>
      </c>
      <c r="H779" s="170">
        <f>E770*(F770*H770+F771*H771+F772*H772+F773*H773+F774*H774)+E775*(F777*H777+F778*H778+F775*H775+F776*H776)</f>
        <v>100</v>
      </c>
      <c r="I779" s="170">
        <f>E770*(F770*I770+F771*I771+F772*I772+F773*I773+F774*I774)+E775*(F777*I777+F778*I778+F775*I775+F776*I776)</f>
        <v>100</v>
      </c>
      <c r="J779" s="170">
        <f>E770*(F770*J770+F771*J771+F772*J772+F773*J773+F774*J774)+E775*(F777*J777+F778*J778+F775*J775+F776*J776)</f>
        <v>97.864484421186106</v>
      </c>
      <c r="K779" s="170">
        <f>E770*(F770*K770+F771*K771+F772*K772+F773*K773+F774*K774)+E775*(F777*K777+F778*K778+F775*K775+F776*K776)</f>
        <v>77.354448049924102</v>
      </c>
      <c r="L779" s="170">
        <f>E770*(F770*L770+F771*L771+F772*L772+F773*L773+F774*L774)+E775*(F777*L777+F778*L778+F775*L775+F776*L776)</f>
        <v>44.390934685995802</v>
      </c>
      <c r="M779" s="170">
        <f>E770*(F770*M770+F771*M771+F772*M772+F773*M773+F774*M774)+E775*(F777*M777+F778*M778+F775*M775+F776*M776)</f>
        <v>32.001192563310397</v>
      </c>
      <c r="N779" s="170">
        <f>E770*(F770*N770+F771*N771+F772*N772+F773*N773+F774*N774)+E775*(F777*N777+F778*N778+F775*N775+F776*N776)</f>
        <v>22.6149490506718</v>
      </c>
      <c r="O779" s="170">
        <f>E770*(F770*O770+F771*O771+F772*O772+F773*O773+F774*O774)+E775*(F777*O777+F778*O778+F775*O775+F776*O776)</f>
        <v>16.9606677955422</v>
      </c>
      <c r="P779" s="170">
        <f>E770*(F770*P770+F771*P771+F772*P772+F773*P773+F774*P774)+E775*(F777*P777+F778*P778+F775*P775+F776*P776)</f>
        <v>12.280160726467001</v>
      </c>
      <c r="Q779" s="170">
        <f>E770*(F770*Q770+F771*Q771+F772*Q772+F773*Q773+F774*Q774)+E775*(F777*Q777+F778*Q778+F775*Q775+F776*Q776)</f>
        <v>9.0773214858554194</v>
      </c>
      <c r="R779" s="170">
        <f>E770*(F770*R770+F771*R771+F772*R772+F773*R773+F774*R774)+E775*(F777*R777+F778*R778+F775*R775+F776*R776)</f>
        <v>7.7864470460286102</v>
      </c>
      <c r="AA779" s="153"/>
      <c r="AE779" s="137"/>
      <c r="AF779" s="137"/>
    </row>
    <row r="780" spans="1:32" ht="14.4">
      <c r="A780" s="276"/>
      <c r="B780" s="276"/>
      <c r="C780"/>
      <c r="F780" s="129" t="s">
        <v>241</v>
      </c>
      <c r="G780" s="149">
        <v>100</v>
      </c>
      <c r="H780" s="149">
        <v>100</v>
      </c>
      <c r="I780" s="129">
        <v>100</v>
      </c>
      <c r="J780" s="129">
        <v>100</v>
      </c>
      <c r="K780" s="129">
        <v>85</v>
      </c>
      <c r="L780" s="129">
        <v>68</v>
      </c>
      <c r="M780" s="129">
        <v>50</v>
      </c>
      <c r="N780" s="129">
        <v>38</v>
      </c>
      <c r="O780" s="129">
        <v>28</v>
      </c>
      <c r="P780" s="129">
        <v>20</v>
      </c>
      <c r="Q780" s="129">
        <v>15</v>
      </c>
      <c r="R780" s="129">
        <v>8</v>
      </c>
      <c r="AA780" s="153"/>
      <c r="AE780" s="137"/>
      <c r="AF780" s="137"/>
    </row>
    <row r="781" spans="1:32" ht="14.4">
      <c r="A781" s="276"/>
      <c r="B781" s="276"/>
      <c r="C781"/>
      <c r="F781" s="129" t="s">
        <v>242</v>
      </c>
      <c r="G781" s="149">
        <f t="shared" ref="G781" si="124">(G780+G782)/2</f>
        <v>100</v>
      </c>
      <c r="H781" s="149">
        <v>100</v>
      </c>
      <c r="I781" s="129">
        <v>100</v>
      </c>
      <c r="J781" s="129">
        <f t="shared" ref="J781:R781" si="125">(J780+J782)/2</f>
        <v>95</v>
      </c>
      <c r="K781" s="129">
        <f t="shared" si="125"/>
        <v>76.5</v>
      </c>
      <c r="L781" s="129">
        <f t="shared" si="125"/>
        <v>53</v>
      </c>
      <c r="M781" s="129">
        <f t="shared" si="125"/>
        <v>37</v>
      </c>
      <c r="N781" s="129">
        <f t="shared" si="125"/>
        <v>26.5</v>
      </c>
      <c r="O781" s="129">
        <f t="shared" si="125"/>
        <v>19</v>
      </c>
      <c r="P781" s="129">
        <f t="shared" si="125"/>
        <v>13.5</v>
      </c>
      <c r="Q781" s="129">
        <f t="shared" si="125"/>
        <v>10</v>
      </c>
      <c r="R781" s="129">
        <f t="shared" si="125"/>
        <v>6</v>
      </c>
      <c r="AA781" s="153"/>
      <c r="AE781" s="137"/>
      <c r="AF781" s="137"/>
    </row>
    <row r="782" spans="1:32" ht="14.4">
      <c r="A782" s="276"/>
      <c r="B782" s="276"/>
      <c r="C782"/>
      <c r="F782" s="129" t="s">
        <v>243</v>
      </c>
      <c r="G782" s="149">
        <v>100</v>
      </c>
      <c r="H782" s="149">
        <v>100</v>
      </c>
      <c r="I782" s="129">
        <v>100</v>
      </c>
      <c r="J782" s="129">
        <v>90</v>
      </c>
      <c r="K782" s="129">
        <v>68</v>
      </c>
      <c r="L782" s="129">
        <v>38</v>
      </c>
      <c r="M782" s="129">
        <v>24</v>
      </c>
      <c r="N782" s="129">
        <v>15</v>
      </c>
      <c r="O782" s="129">
        <v>10</v>
      </c>
      <c r="P782" s="129">
        <v>7</v>
      </c>
      <c r="Q782" s="129">
        <v>5</v>
      </c>
      <c r="R782" s="129">
        <v>4</v>
      </c>
      <c r="AA782" s="153"/>
      <c r="AE782" s="137"/>
      <c r="AF782" s="137"/>
    </row>
    <row r="783" spans="1:32" ht="14.4">
      <c r="A783" s="276" t="s">
        <v>143</v>
      </c>
      <c r="B783" s="276" t="s">
        <v>218</v>
      </c>
      <c r="C783" s="159" t="s">
        <v>61</v>
      </c>
      <c r="D783" s="157" t="s">
        <v>79</v>
      </c>
      <c r="E783" s="275">
        <v>0.5</v>
      </c>
      <c r="F783" s="146">
        <v>0.3</v>
      </c>
      <c r="G783" s="149">
        <v>100</v>
      </c>
      <c r="H783" s="149">
        <v>100</v>
      </c>
      <c r="I783" s="175">
        <v>100</v>
      </c>
      <c r="J783" s="175">
        <v>91.437286438985197</v>
      </c>
      <c r="K783" s="175">
        <v>22.984206828022799</v>
      </c>
      <c r="L783" s="175">
        <v>0.34897496353152502</v>
      </c>
      <c r="M783" s="175">
        <v>0.34897496353152502</v>
      </c>
      <c r="N783" s="175">
        <v>0.34897496353152502</v>
      </c>
      <c r="O783" s="175">
        <v>0.34897496353152502</v>
      </c>
      <c r="P783" s="175">
        <v>0.34897496353152502</v>
      </c>
      <c r="Q783" s="175">
        <v>0.34897496353152502</v>
      </c>
      <c r="R783" s="175">
        <v>0.34897496353152502</v>
      </c>
      <c r="S783" s="138">
        <v>2.73</v>
      </c>
      <c r="T783" s="138">
        <v>2.6880000000000002</v>
      </c>
      <c r="U783" s="138">
        <f>F783/S783*E783</f>
        <v>5.4945054945054903E-2</v>
      </c>
      <c r="V783" s="138">
        <f>F783/T783*E783</f>
        <v>5.5803571428571397E-2</v>
      </c>
      <c r="W783" s="138">
        <f>1/SUM(U783:U791)</f>
        <v>2.7491674884834798</v>
      </c>
      <c r="X783" s="153">
        <v>0.4</v>
      </c>
      <c r="Y783" s="138">
        <f>0.033*X783*X783-0.2936*X783+0.9336</f>
        <v>0.82143999999999995</v>
      </c>
      <c r="Z783" s="138">
        <f>0.033*Y783*Y783-0.2936*Y783+0.9336</f>
        <v>0.71469241722879995</v>
      </c>
      <c r="AA783" s="127">
        <v>2.5392202951485698</v>
      </c>
      <c r="AB783" s="138">
        <f>1/SUM(V783:V791)</f>
        <v>2.6756168877556599</v>
      </c>
      <c r="AC783" s="160">
        <v>4.8</v>
      </c>
      <c r="AD783" s="138">
        <f>100*AC783/(100+AC783)</f>
        <v>4.5801526717557302</v>
      </c>
      <c r="AE783" s="137"/>
      <c r="AF783" s="154">
        <f>AC783-E788*F788*AE788-E788*F789*AE789-E788*F790*AE790</f>
        <v>2.3883214193342099</v>
      </c>
    </row>
    <row r="784" spans="1:32" ht="14.4">
      <c r="A784" s="276"/>
      <c r="B784" s="276"/>
      <c r="C784" s="159" t="s">
        <v>61</v>
      </c>
      <c r="D784" s="157" t="s">
        <v>63</v>
      </c>
      <c r="E784" s="275"/>
      <c r="F784" s="146">
        <v>0.5</v>
      </c>
      <c r="G784" s="149">
        <v>100</v>
      </c>
      <c r="H784" s="149">
        <v>100</v>
      </c>
      <c r="I784" s="175">
        <v>100</v>
      </c>
      <c r="J784" s="175">
        <v>100</v>
      </c>
      <c r="K784" s="175">
        <v>92.5</v>
      </c>
      <c r="L784" s="175">
        <v>7.4</v>
      </c>
      <c r="M784" s="175">
        <v>0.35999999999999899</v>
      </c>
      <c r="N784" s="175">
        <v>0.35999999999999899</v>
      </c>
      <c r="O784" s="175">
        <v>0.35999999999999899</v>
      </c>
      <c r="P784" s="175">
        <v>0.35999999999999899</v>
      </c>
      <c r="Q784" s="175">
        <v>0.35999999999999899</v>
      </c>
      <c r="R784" s="175">
        <v>0.35999999999999899</v>
      </c>
      <c r="S784" s="138">
        <v>2.7080000000000002</v>
      </c>
      <c r="T784" s="138">
        <v>2.681</v>
      </c>
      <c r="U784" s="138">
        <f>F784/S784*E783</f>
        <v>9.2319054652880303E-2</v>
      </c>
      <c r="V784" s="138">
        <f>F784/T784*E783</f>
        <v>9.3248787765758998E-2</v>
      </c>
      <c r="W784" s="138"/>
      <c r="X784" s="138"/>
      <c r="Y784" s="151"/>
      <c r="Z784" s="151"/>
      <c r="AA784" s="127"/>
      <c r="AB784" s="138"/>
      <c r="AC784" s="160"/>
      <c r="AD784" s="138"/>
      <c r="AE784" s="137"/>
      <c r="AF784" s="137"/>
    </row>
    <row r="785" spans="1:32" ht="13.8" customHeight="1">
      <c r="A785" s="276"/>
      <c r="B785" s="276"/>
      <c r="C785" s="159" t="s">
        <v>82</v>
      </c>
      <c r="D785" s="157" t="s">
        <v>70</v>
      </c>
      <c r="E785" s="275"/>
      <c r="F785" s="146">
        <v>0.2</v>
      </c>
      <c r="G785" s="149">
        <v>100</v>
      </c>
      <c r="H785" s="149">
        <v>100</v>
      </c>
      <c r="I785" s="175">
        <v>100</v>
      </c>
      <c r="J785" s="175">
        <v>100</v>
      </c>
      <c r="K785" s="175">
        <v>100</v>
      </c>
      <c r="L785" s="175">
        <v>99.9</v>
      </c>
      <c r="M785" s="175">
        <v>83.5</v>
      </c>
      <c r="N785" s="175">
        <v>56.8</v>
      </c>
      <c r="O785" s="175">
        <v>39.9</v>
      </c>
      <c r="P785" s="175">
        <v>20.6</v>
      </c>
      <c r="Q785" s="175">
        <v>10.9</v>
      </c>
      <c r="R785" s="175">
        <v>8.1</v>
      </c>
      <c r="S785" s="138">
        <v>2.7730000000000001</v>
      </c>
      <c r="T785" s="138">
        <v>2.629</v>
      </c>
      <c r="U785" s="138">
        <f>F785/S785*E783</f>
        <v>3.6062026685899799E-2</v>
      </c>
      <c r="V785" s="138">
        <f>F785/T785*E783</f>
        <v>3.8037276531000398E-2</v>
      </c>
      <c r="AA785" s="127"/>
      <c r="AB785" s="138"/>
      <c r="AC785" s="160"/>
      <c r="AD785" s="138"/>
      <c r="AE785" s="137"/>
      <c r="AF785" s="137"/>
    </row>
    <row r="786" spans="1:32">
      <c r="A786" s="276"/>
      <c r="B786" s="276"/>
      <c r="C786" s="159" t="s">
        <v>82</v>
      </c>
      <c r="D786" s="134" t="s">
        <v>71</v>
      </c>
      <c r="E786" s="275"/>
      <c r="F786" s="146">
        <v>0</v>
      </c>
      <c r="G786" s="149">
        <v>100</v>
      </c>
      <c r="H786" s="149">
        <v>100</v>
      </c>
      <c r="I786" s="134">
        <v>100</v>
      </c>
      <c r="J786" s="134">
        <v>100</v>
      </c>
      <c r="K786" s="134">
        <v>100</v>
      </c>
      <c r="L786" s="134">
        <v>100</v>
      </c>
      <c r="M786" s="134">
        <v>94.585448392554994</v>
      </c>
      <c r="N786" s="134">
        <v>49.557081715935098</v>
      </c>
      <c r="O786" s="134">
        <v>28.934010152284301</v>
      </c>
      <c r="P786" s="134">
        <v>16.820941574599399</v>
      </c>
      <c r="Q786" s="134">
        <v>9.2166815964964695</v>
      </c>
      <c r="R786" s="134">
        <v>6.3003881755748097</v>
      </c>
      <c r="S786" s="138">
        <v>2.6789999999999998</v>
      </c>
      <c r="T786" s="138">
        <v>2.6789999999999998</v>
      </c>
      <c r="U786" s="138">
        <f>F786/S786*E783</f>
        <v>0</v>
      </c>
      <c r="V786" s="138">
        <f>F786/T786*E783</f>
        <v>0</v>
      </c>
      <c r="AA786" s="153"/>
      <c r="AE786" s="137"/>
      <c r="AF786" s="137"/>
    </row>
    <row r="787" spans="1:32" ht="14.4">
      <c r="A787" s="276"/>
      <c r="B787" s="276"/>
      <c r="C787" s="164" t="s">
        <v>99</v>
      </c>
      <c r="D787" s="168" t="s">
        <v>91</v>
      </c>
      <c r="E787" s="275"/>
      <c r="F787" s="129">
        <v>0</v>
      </c>
      <c r="G787" s="149">
        <v>100</v>
      </c>
      <c r="H787" s="149">
        <v>100</v>
      </c>
      <c r="I787" s="134">
        <v>100</v>
      </c>
      <c r="J787" s="134">
        <v>100</v>
      </c>
      <c r="K787" s="134">
        <v>100</v>
      </c>
      <c r="L787" s="134">
        <v>100</v>
      </c>
      <c r="M787" s="134">
        <v>100</v>
      </c>
      <c r="N787" s="134">
        <v>100</v>
      </c>
      <c r="O787" s="134">
        <v>100</v>
      </c>
      <c r="P787" s="134">
        <v>97.4</v>
      </c>
      <c r="Q787" s="134">
        <v>90.2</v>
      </c>
      <c r="R787" s="134">
        <v>78.2</v>
      </c>
      <c r="S787" s="138">
        <v>2.6789999999999998</v>
      </c>
      <c r="T787" s="138">
        <v>2.6789999999999998</v>
      </c>
      <c r="U787" s="138">
        <f>F787/S787*E783</f>
        <v>0</v>
      </c>
      <c r="V787" s="138">
        <f>F787/T787*E783</f>
        <v>0</v>
      </c>
      <c r="AA787" s="153"/>
      <c r="AE787" s="137"/>
      <c r="AF787" s="137"/>
    </row>
    <row r="788" spans="1:32">
      <c r="A788" s="276"/>
      <c r="B788" s="276"/>
      <c r="C788" s="159" t="s">
        <v>74</v>
      </c>
      <c r="D788" s="157" t="s">
        <v>111</v>
      </c>
      <c r="E788" s="276">
        <v>0.5</v>
      </c>
      <c r="F788" s="129">
        <v>0.6</v>
      </c>
      <c r="G788" s="149">
        <v>100</v>
      </c>
      <c r="H788" s="149">
        <v>100</v>
      </c>
      <c r="I788" s="175">
        <v>98.815826135413801</v>
      </c>
      <c r="J788" s="175">
        <v>94.839114747462403</v>
      </c>
      <c r="K788" s="175">
        <v>73.415186724375104</v>
      </c>
      <c r="L788" s="175">
        <v>42.675238987936602</v>
      </c>
      <c r="M788" s="175">
        <v>29.029170661558801</v>
      </c>
      <c r="N788" s="175">
        <v>20.941949813070998</v>
      </c>
      <c r="O788" s="175">
        <v>16.021754844800299</v>
      </c>
      <c r="P788" s="175">
        <v>12.081363515278699</v>
      </c>
      <c r="Q788" s="175">
        <v>9.5138522790398206</v>
      </c>
      <c r="R788" s="175">
        <v>8.5369764631661305</v>
      </c>
      <c r="S788" s="138">
        <v>2.72</v>
      </c>
      <c r="T788" s="138">
        <v>2.65</v>
      </c>
      <c r="U788" s="138">
        <f>F788/S788*E783</f>
        <v>0.110294117647059</v>
      </c>
      <c r="V788" s="138">
        <f>F788/T788*E783</f>
        <v>0.113207547169811</v>
      </c>
      <c r="AA788" s="153"/>
      <c r="AE788" s="137">
        <v>3.61442370205256</v>
      </c>
      <c r="AF788" s="137"/>
    </row>
    <row r="789" spans="1:32">
      <c r="A789" s="276"/>
      <c r="B789" s="276"/>
      <c r="C789" s="159" t="s">
        <v>76</v>
      </c>
      <c r="D789" s="134" t="s">
        <v>68</v>
      </c>
      <c r="E789" s="276"/>
      <c r="F789" s="129">
        <v>0.4</v>
      </c>
      <c r="G789" s="149">
        <v>100</v>
      </c>
      <c r="H789" s="149">
        <v>100</v>
      </c>
      <c r="I789" s="175">
        <v>100</v>
      </c>
      <c r="J789" s="175">
        <v>100</v>
      </c>
      <c r="K789" s="175">
        <v>100</v>
      </c>
      <c r="L789" s="175">
        <v>88.657609858163994</v>
      </c>
      <c r="M789" s="175">
        <v>72.101874372017605</v>
      </c>
      <c r="N789" s="175">
        <v>54.176647938692398</v>
      </c>
      <c r="O789" s="175">
        <v>41.6004796084367</v>
      </c>
      <c r="P789" s="175">
        <v>30.701322330350099</v>
      </c>
      <c r="Q789" s="175">
        <v>22.962816987307399</v>
      </c>
      <c r="R789" s="175">
        <v>20.0645821764092</v>
      </c>
      <c r="S789" s="138">
        <v>2.8519999999999999</v>
      </c>
      <c r="T789" s="138">
        <v>2.7229999999999999</v>
      </c>
      <c r="U789" s="138">
        <f>F789/S789*E783</f>
        <v>7.0126227208976197E-2</v>
      </c>
      <c r="V789" s="138">
        <f>F789/T789*E783</f>
        <v>7.3448402497245699E-2</v>
      </c>
      <c r="AA789" s="153"/>
      <c r="AE789" s="137">
        <v>6.6367573502500896</v>
      </c>
      <c r="AF789" s="137"/>
    </row>
    <row r="790" spans="1:32">
      <c r="A790" s="276"/>
      <c r="B790" s="276"/>
      <c r="C790" s="159" t="s">
        <v>76</v>
      </c>
      <c r="D790" s="134" t="s">
        <v>65</v>
      </c>
      <c r="E790" s="276"/>
      <c r="F790" s="130">
        <v>0</v>
      </c>
      <c r="G790" s="149">
        <v>100</v>
      </c>
      <c r="H790" s="149">
        <v>100</v>
      </c>
      <c r="I790" s="134">
        <v>100</v>
      </c>
      <c r="J790" s="134">
        <v>100</v>
      </c>
      <c r="K790" s="134">
        <v>100</v>
      </c>
      <c r="L790" s="134">
        <v>96.773241575442697</v>
      </c>
      <c r="M790" s="134">
        <v>58.955499795773399</v>
      </c>
      <c r="N790" s="134">
        <v>32.060997642496702</v>
      </c>
      <c r="O790" s="134">
        <v>23.467347478352799</v>
      </c>
      <c r="P790" s="134">
        <v>17.429766402104299</v>
      </c>
      <c r="Q790" s="134">
        <v>13.4674110343355</v>
      </c>
      <c r="R790" s="134">
        <v>11.5498931412078</v>
      </c>
      <c r="S790" s="138">
        <v>2.8290000000000002</v>
      </c>
      <c r="T790" s="138">
        <v>2.7650000000000001</v>
      </c>
      <c r="U790" s="138">
        <f>F790/S790*E788</f>
        <v>0</v>
      </c>
      <c r="V790" s="138">
        <f>F790/T790*E788</f>
        <v>0</v>
      </c>
      <c r="AA790" s="153"/>
      <c r="AE790" s="137"/>
      <c r="AF790" s="137"/>
    </row>
    <row r="791" spans="1:32">
      <c r="A791" s="276"/>
      <c r="B791" s="276"/>
      <c r="C791" s="159" t="s">
        <v>76</v>
      </c>
      <c r="D791" s="168" t="s">
        <v>97</v>
      </c>
      <c r="E791" s="276"/>
      <c r="F791" s="130">
        <v>0</v>
      </c>
      <c r="G791" s="149">
        <v>100</v>
      </c>
      <c r="H791" s="149">
        <v>100</v>
      </c>
      <c r="I791" s="149">
        <v>100</v>
      </c>
      <c r="J791" s="149">
        <v>99.709455890121504</v>
      </c>
      <c r="K791" s="149">
        <v>93.611005421295204</v>
      </c>
      <c r="L791" s="149">
        <v>62.883664943704403</v>
      </c>
      <c r="M791" s="149">
        <v>41.736211500847702</v>
      </c>
      <c r="N791" s="149">
        <v>29.275015875296301</v>
      </c>
      <c r="O791" s="149">
        <v>22.374005580422299</v>
      </c>
      <c r="P791" s="149">
        <v>14.3321095762082</v>
      </c>
      <c r="Q791" s="149">
        <v>9.6170951500159596</v>
      </c>
      <c r="R791" s="149">
        <v>6.5264817525129803</v>
      </c>
      <c r="S791" s="138">
        <v>2.76</v>
      </c>
      <c r="T791" s="138">
        <v>2.7</v>
      </c>
      <c r="U791" s="138">
        <f>F791/S791*E788</f>
        <v>0</v>
      </c>
      <c r="V791" s="138">
        <f>F791/T791*E788</f>
        <v>0</v>
      </c>
      <c r="AA791" s="153"/>
      <c r="AE791" s="137"/>
      <c r="AF791" s="137"/>
    </row>
    <row r="792" spans="1:32" ht="14.4">
      <c r="A792" s="276"/>
      <c r="B792" s="276"/>
      <c r="C792"/>
      <c r="F792" s="129" t="s">
        <v>240</v>
      </c>
      <c r="G792" s="170">
        <f>$E$29*($F$29*G783+$F$30*G784+$F$31*G785+$F$32*G786+$F$33*G787+$F$34*G788+$F$35*G789)+$E$36*($F$36*G790+$F$37*G791)</f>
        <v>100</v>
      </c>
      <c r="H792" s="170">
        <f>E783*(F783*H783+F784*H784+F785*H785+F786*H786+F787*H787)+E788*(F790*H790+F791*H791+F788*H788+F789*H789)</f>
        <v>100</v>
      </c>
      <c r="I792" s="170">
        <f>E783*(F783*I783+F784*I784+F785*I785+F786*I786+F787*I787)+E788*(F790*I790+F791*I791+F788*I788+F789*I789)</f>
        <v>99.644747840624106</v>
      </c>
      <c r="J792" s="170">
        <f>E783*(F783*J783+F784*J784+F785*J785+F786*J786+F787*J787)+E788*(F790*J790+F791*J791+F788*J788+F789*J789)</f>
        <v>97.167327390086498</v>
      </c>
      <c r="K792" s="170">
        <f>E783*(F783*K783+F784*K784+F785*K785+F786*K786+F787*K787)+E788*(F790*K790+F791*K791+F788*K788+F789*K789)</f>
        <v>78.597187041515994</v>
      </c>
      <c r="L792" s="170">
        <f>E783*(F783*L783+F784*L784+F785*L785+F786*L786+F787*L787)+E788*(F790*L790+F791*L791+F788*L788+F789*L789)</f>
        <v>42.426439912543501</v>
      </c>
      <c r="M792" s="170">
        <f>E783*(F783*M783+F784*M784+F785*M785+F786*M786+F787*M787)+E788*(F790*M790+F791*M791+F788*M788+F789*M789)</f>
        <v>31.621472317400901</v>
      </c>
      <c r="N792" s="170">
        <f>E783*(F783*N783+F784*N784+F785*N785+F786*N786+F787*N787)+E788*(F790*N790+F791*N791+F788*N788+F789*N789)</f>
        <v>22.940260776189501</v>
      </c>
      <c r="O792" s="170">
        <f>E783*(F783*O783+F784*O784+F785*O785+F786*O786+F787*O787)+E788*(F790*O790+F791*O791+F788*O788+F789*O789)</f>
        <v>17.2589686196572</v>
      </c>
      <c r="P792" s="170">
        <f>E783*(F783*P783+F784*P784+F785*P785+F786*P786+F787*P787)+E788*(F790*P790+F791*P791+F788*P788+F789*P789)</f>
        <v>11.9670197651834</v>
      </c>
      <c r="Q792" s="170">
        <f>E783*(F783*Q783+F784*Q784+F785*Q785+F786*Q786+F787*Q787)+E788*(F790*Q790+F791*Q791+F788*Q788+F789*Q789)</f>
        <v>8.6790653257031494</v>
      </c>
      <c r="R792" s="170">
        <f>E783*(F783*R783+F784*R784+F785*R785+F786*R786+F787*R787)+E788*(F790*R790+F791*R791+F788*R788+F789*R789)</f>
        <v>7.5263556187614098</v>
      </c>
      <c r="AA792" s="153"/>
      <c r="AE792" s="137"/>
      <c r="AF792" s="137"/>
    </row>
    <row r="793" spans="1:32" ht="14.4">
      <c r="A793" s="276"/>
      <c r="B793" s="276"/>
      <c r="C793"/>
      <c r="F793" s="129" t="s">
        <v>241</v>
      </c>
      <c r="G793" s="149">
        <v>100</v>
      </c>
      <c r="H793" s="149">
        <v>100</v>
      </c>
      <c r="I793" s="129">
        <v>100</v>
      </c>
      <c r="J793" s="129">
        <v>100</v>
      </c>
      <c r="K793" s="129">
        <v>85</v>
      </c>
      <c r="L793" s="129">
        <v>68</v>
      </c>
      <c r="M793" s="129">
        <v>50</v>
      </c>
      <c r="N793" s="129">
        <v>38</v>
      </c>
      <c r="O793" s="129">
        <v>28</v>
      </c>
      <c r="P793" s="129">
        <v>20</v>
      </c>
      <c r="Q793" s="129">
        <v>15</v>
      </c>
      <c r="R793" s="129">
        <v>8</v>
      </c>
      <c r="AA793" s="153"/>
      <c r="AE793" s="137"/>
      <c r="AF793" s="137"/>
    </row>
    <row r="794" spans="1:32" ht="14.4">
      <c r="A794" s="276"/>
      <c r="B794" s="276"/>
      <c r="C794"/>
      <c r="F794" s="129" t="s">
        <v>242</v>
      </c>
      <c r="G794" s="149">
        <f t="shared" ref="G794" si="126">(G793+G795)/2</f>
        <v>100</v>
      </c>
      <c r="H794" s="149">
        <v>100</v>
      </c>
      <c r="I794" s="129">
        <v>100</v>
      </c>
      <c r="J794" s="129">
        <f t="shared" ref="J794:R794" si="127">(J793+J795)/2</f>
        <v>95</v>
      </c>
      <c r="K794" s="129">
        <f t="shared" si="127"/>
        <v>76.5</v>
      </c>
      <c r="L794" s="129">
        <f t="shared" si="127"/>
        <v>53</v>
      </c>
      <c r="M794" s="129">
        <f t="shared" si="127"/>
        <v>37</v>
      </c>
      <c r="N794" s="129">
        <f t="shared" si="127"/>
        <v>26.5</v>
      </c>
      <c r="O794" s="129">
        <f t="shared" si="127"/>
        <v>19</v>
      </c>
      <c r="P794" s="129">
        <f t="shared" si="127"/>
        <v>13.5</v>
      </c>
      <c r="Q794" s="129">
        <f t="shared" si="127"/>
        <v>10</v>
      </c>
      <c r="R794" s="129">
        <f t="shared" si="127"/>
        <v>6</v>
      </c>
      <c r="AA794" s="153"/>
      <c r="AE794" s="137"/>
      <c r="AF794" s="137"/>
    </row>
    <row r="795" spans="1:32" ht="14.4">
      <c r="A795" s="276"/>
      <c r="B795" s="276"/>
      <c r="C795"/>
      <c r="F795" s="129" t="s">
        <v>243</v>
      </c>
      <c r="G795" s="149">
        <v>100</v>
      </c>
      <c r="H795" s="149">
        <v>100</v>
      </c>
      <c r="I795" s="129">
        <v>100</v>
      </c>
      <c r="J795" s="129">
        <v>90</v>
      </c>
      <c r="K795" s="129">
        <v>68</v>
      </c>
      <c r="L795" s="129">
        <v>38</v>
      </c>
      <c r="M795" s="129">
        <v>24</v>
      </c>
      <c r="N795" s="129">
        <v>15</v>
      </c>
      <c r="O795" s="129">
        <v>10</v>
      </c>
      <c r="P795" s="129">
        <v>7</v>
      </c>
      <c r="Q795" s="129">
        <v>5</v>
      </c>
      <c r="R795" s="129">
        <v>4</v>
      </c>
      <c r="AA795" s="153"/>
      <c r="AE795" s="137"/>
      <c r="AF795" s="137"/>
    </row>
    <row r="796" spans="1:32" ht="14.4">
      <c r="A796" s="276" t="s">
        <v>144</v>
      </c>
      <c r="B796" s="276" t="s">
        <v>197</v>
      </c>
      <c r="C796" s="159" t="s">
        <v>61</v>
      </c>
      <c r="D796" s="157" t="s">
        <v>62</v>
      </c>
      <c r="E796" s="275">
        <v>0.5</v>
      </c>
      <c r="F796" s="146">
        <v>0.64</v>
      </c>
      <c r="G796" s="134">
        <v>100</v>
      </c>
      <c r="H796" s="134">
        <v>93.5</v>
      </c>
      <c r="I796" s="134">
        <v>66.400000000000006</v>
      </c>
      <c r="J796" s="134">
        <v>28.4</v>
      </c>
      <c r="K796" s="134">
        <v>1.7</v>
      </c>
      <c r="L796" s="134">
        <v>0.8</v>
      </c>
      <c r="M796" s="134">
        <v>0.8</v>
      </c>
      <c r="N796" s="134">
        <v>0.8</v>
      </c>
      <c r="O796" s="134">
        <v>0.8</v>
      </c>
      <c r="P796" s="134">
        <v>0.8</v>
      </c>
      <c r="Q796" s="134">
        <v>0.8</v>
      </c>
      <c r="R796" s="134">
        <v>0.8</v>
      </c>
      <c r="S796" s="138">
        <v>2.73</v>
      </c>
      <c r="T796" s="138">
        <v>2.6880000000000002</v>
      </c>
      <c r="U796" s="138">
        <f>F796/S796*E796</f>
        <v>0.11721611721611699</v>
      </c>
      <c r="V796" s="138">
        <f>F796/T796*E796</f>
        <v>0.119047619047619</v>
      </c>
      <c r="W796" s="138">
        <f>1/SUM(U796:U804)</f>
        <v>2.7659533734428798</v>
      </c>
      <c r="X796" s="153">
        <v>0.4</v>
      </c>
      <c r="Y796" s="138">
        <f>0.033*X796*X796-0.2936*X796+0.9336</f>
        <v>0.82143999999999995</v>
      </c>
      <c r="Z796" s="138">
        <f>0.033*Y796*Y796-0.2936*Y796+0.9336</f>
        <v>0.71469241722879995</v>
      </c>
      <c r="AA796" s="127">
        <v>2.57170123425372</v>
      </c>
      <c r="AB796" s="138">
        <f>1/SUM(V796:V804)</f>
        <v>2.6840679478268799</v>
      </c>
      <c r="AC796" s="160">
        <v>4.2</v>
      </c>
      <c r="AD796" s="138">
        <f>100*AC796/(100+AC796)</f>
        <v>4.0307101727447199</v>
      </c>
      <c r="AE796" s="137"/>
      <c r="AF796" s="154">
        <f>AC796-E801*F801*AE801-E801*F802*AE802-E801*F803*AE803</f>
        <v>1.4860880545144599</v>
      </c>
    </row>
    <row r="797" spans="1:32" ht="14.4">
      <c r="A797" s="276"/>
      <c r="B797" s="276"/>
      <c r="C797" s="159" t="s">
        <v>61</v>
      </c>
      <c r="D797" s="157" t="s">
        <v>63</v>
      </c>
      <c r="E797" s="275"/>
      <c r="F797" s="146">
        <v>0.16</v>
      </c>
      <c r="G797" s="149">
        <v>100</v>
      </c>
      <c r="H797" s="149">
        <v>100</v>
      </c>
      <c r="I797" s="175">
        <v>100</v>
      </c>
      <c r="J797" s="175">
        <v>100</v>
      </c>
      <c r="K797" s="175">
        <v>92.5</v>
      </c>
      <c r="L797" s="175">
        <v>7.4</v>
      </c>
      <c r="M797" s="175">
        <v>0.35999999999999899</v>
      </c>
      <c r="N797" s="175">
        <v>0.35999999999999899</v>
      </c>
      <c r="O797" s="175">
        <v>0.35999999999999899</v>
      </c>
      <c r="P797" s="175">
        <v>0.35999999999999899</v>
      </c>
      <c r="Q797" s="175">
        <v>0.35999999999999899</v>
      </c>
      <c r="R797" s="175">
        <v>0.35999999999999899</v>
      </c>
      <c r="S797" s="138">
        <v>2.7080000000000002</v>
      </c>
      <c r="T797" s="138">
        <v>2.681</v>
      </c>
      <c r="U797" s="138">
        <f>F797/S797*E796</f>
        <v>2.9542097488921702E-2</v>
      </c>
      <c r="V797" s="138">
        <f>F797/T797*E796</f>
        <v>2.9839612085042901E-2</v>
      </c>
      <c r="W797" s="138"/>
      <c r="X797" s="138"/>
      <c r="Y797" s="151"/>
      <c r="Z797" s="151"/>
      <c r="AA797" s="127"/>
      <c r="AB797" s="138"/>
      <c r="AC797" s="160"/>
      <c r="AD797" s="138"/>
      <c r="AE797" s="137"/>
      <c r="AF797" s="137"/>
    </row>
    <row r="798" spans="1:32" ht="13.8" customHeight="1">
      <c r="A798" s="276"/>
      <c r="B798" s="276"/>
      <c r="C798" s="159" t="s">
        <v>82</v>
      </c>
      <c r="D798" s="157" t="s">
        <v>70</v>
      </c>
      <c r="E798" s="275"/>
      <c r="F798" s="146">
        <v>0.2</v>
      </c>
      <c r="G798" s="149">
        <v>100</v>
      </c>
      <c r="H798" s="149">
        <v>100</v>
      </c>
      <c r="I798" s="175">
        <v>100</v>
      </c>
      <c r="J798" s="175">
        <v>100</v>
      </c>
      <c r="K798" s="175">
        <v>100</v>
      </c>
      <c r="L798" s="175">
        <v>99.9</v>
      </c>
      <c r="M798" s="175">
        <v>83.5</v>
      </c>
      <c r="N798" s="175">
        <v>56.8</v>
      </c>
      <c r="O798" s="175">
        <v>39.9</v>
      </c>
      <c r="P798" s="175">
        <v>20.6</v>
      </c>
      <c r="Q798" s="175">
        <v>10.9</v>
      </c>
      <c r="R798" s="175">
        <v>8.1</v>
      </c>
      <c r="S798" s="138">
        <v>2.7730000000000001</v>
      </c>
      <c r="T798" s="138">
        <v>2.629</v>
      </c>
      <c r="U798" s="138">
        <f>F798/S798*E796</f>
        <v>3.6062026685899799E-2</v>
      </c>
      <c r="V798" s="138">
        <f>F798/T798*E796</f>
        <v>3.8037276531000398E-2</v>
      </c>
      <c r="AA798" s="127"/>
      <c r="AB798" s="138"/>
      <c r="AC798" s="160"/>
      <c r="AD798" s="138"/>
      <c r="AE798" s="137"/>
      <c r="AF798" s="137"/>
    </row>
    <row r="799" spans="1:32">
      <c r="A799" s="276"/>
      <c r="B799" s="276"/>
      <c r="C799" s="159" t="s">
        <v>82</v>
      </c>
      <c r="D799" s="134" t="s">
        <v>71</v>
      </c>
      <c r="E799" s="275"/>
      <c r="F799" s="146">
        <v>0</v>
      </c>
      <c r="G799" s="149">
        <v>100</v>
      </c>
      <c r="H799" s="149">
        <v>100</v>
      </c>
      <c r="I799" s="134">
        <v>100</v>
      </c>
      <c r="J799" s="134">
        <v>100</v>
      </c>
      <c r="K799" s="134">
        <v>100</v>
      </c>
      <c r="L799" s="134">
        <v>100</v>
      </c>
      <c r="M799" s="134">
        <v>94.585448392554994</v>
      </c>
      <c r="N799" s="134">
        <v>49.557081715935098</v>
      </c>
      <c r="O799" s="134">
        <v>28.934010152284301</v>
      </c>
      <c r="P799" s="134">
        <v>16.820941574599399</v>
      </c>
      <c r="Q799" s="134">
        <v>9.2166815964964695</v>
      </c>
      <c r="R799" s="134">
        <v>6.3003881755748097</v>
      </c>
      <c r="S799" s="138">
        <v>2.6789999999999998</v>
      </c>
      <c r="T799" s="138">
        <v>2.6789999999999998</v>
      </c>
      <c r="U799" s="138">
        <f>F799/S799*E796</f>
        <v>0</v>
      </c>
      <c r="V799" s="138">
        <f>F799/T799*E796</f>
        <v>0</v>
      </c>
      <c r="AA799" s="153"/>
      <c r="AE799" s="137"/>
      <c r="AF799" s="137"/>
    </row>
    <row r="800" spans="1:32" ht="14.4">
      <c r="A800" s="276"/>
      <c r="B800" s="276"/>
      <c r="C800" s="164" t="s">
        <v>99</v>
      </c>
      <c r="D800" s="168" t="s">
        <v>91</v>
      </c>
      <c r="E800" s="275"/>
      <c r="F800" s="129">
        <v>0</v>
      </c>
      <c r="G800" s="149">
        <v>100</v>
      </c>
      <c r="H800" s="149">
        <v>100</v>
      </c>
      <c r="I800" s="134">
        <v>100</v>
      </c>
      <c r="J800" s="134">
        <v>100</v>
      </c>
      <c r="K800" s="134">
        <v>100</v>
      </c>
      <c r="L800" s="134">
        <v>100</v>
      </c>
      <c r="M800" s="134">
        <v>100</v>
      </c>
      <c r="N800" s="134">
        <v>100</v>
      </c>
      <c r="O800" s="134">
        <v>100</v>
      </c>
      <c r="P800" s="134">
        <v>97.4</v>
      </c>
      <c r="Q800" s="134">
        <v>90.2</v>
      </c>
      <c r="R800" s="134">
        <v>78.2</v>
      </c>
      <c r="S800" s="138">
        <v>2.6789999999999998</v>
      </c>
      <c r="T800" s="138">
        <v>2.6789999999999998</v>
      </c>
      <c r="U800" s="138">
        <f>F800/S800*E796</f>
        <v>0</v>
      </c>
      <c r="V800" s="138">
        <f>F800/T800*E796</f>
        <v>0</v>
      </c>
      <c r="AA800" s="153"/>
      <c r="AE800" s="137"/>
      <c r="AF800" s="137"/>
    </row>
    <row r="801" spans="1:32">
      <c r="A801" s="276"/>
      <c r="B801" s="276"/>
      <c r="C801" s="159" t="s">
        <v>74</v>
      </c>
      <c r="D801" s="157" t="s">
        <v>111</v>
      </c>
      <c r="E801" s="276">
        <v>0.5</v>
      </c>
      <c r="F801" s="129">
        <v>0.4</v>
      </c>
      <c r="G801" s="134">
        <v>100</v>
      </c>
      <c r="H801" s="134">
        <v>100</v>
      </c>
      <c r="I801" s="134">
        <v>98.827796869034003</v>
      </c>
      <c r="J801" s="134">
        <v>86.648717540682995</v>
      </c>
      <c r="K801" s="134">
        <v>48.306335573151003</v>
      </c>
      <c r="L801" s="134">
        <v>31.8748856077734</v>
      </c>
      <c r="M801" s="134">
        <v>25.705021693306001</v>
      </c>
      <c r="N801" s="134">
        <v>20.3046142538807</v>
      </c>
      <c r="O801" s="134">
        <v>15.806456237536301</v>
      </c>
      <c r="P801" s="134">
        <v>10.767019293398899</v>
      </c>
      <c r="Q801" s="134">
        <v>7.1691991851211396</v>
      </c>
      <c r="R801" s="134">
        <v>6.0312073941223696</v>
      </c>
      <c r="S801" s="138">
        <v>2.72</v>
      </c>
      <c r="T801" s="138">
        <v>2.65</v>
      </c>
      <c r="U801" s="138">
        <f>F801/S801*E796</f>
        <v>7.3529411764705899E-2</v>
      </c>
      <c r="V801" s="138">
        <f>F801/T801*E796</f>
        <v>7.54716981132076E-2</v>
      </c>
      <c r="AA801" s="153"/>
      <c r="AE801" s="137">
        <v>3.61442370205256</v>
      </c>
      <c r="AF801" s="137"/>
    </row>
    <row r="802" spans="1:32">
      <c r="A802" s="276"/>
      <c r="B802" s="276"/>
      <c r="C802" s="159" t="s">
        <v>76</v>
      </c>
      <c r="D802" s="134" t="s">
        <v>68</v>
      </c>
      <c r="E802" s="276"/>
      <c r="F802" s="129">
        <v>0.6</v>
      </c>
      <c r="G802" s="134">
        <v>100</v>
      </c>
      <c r="H802" s="134">
        <v>100</v>
      </c>
      <c r="I802" s="134">
        <v>100</v>
      </c>
      <c r="J802" s="134">
        <v>100</v>
      </c>
      <c r="K802" s="134">
        <v>94.658932970580196</v>
      </c>
      <c r="L802" s="134">
        <v>53.595178405762397</v>
      </c>
      <c r="M802" s="134">
        <v>37.496669471654599</v>
      </c>
      <c r="N802" s="134">
        <v>27.9921340304107</v>
      </c>
      <c r="O802" s="134">
        <v>22.152964079412701</v>
      </c>
      <c r="P802" s="134">
        <v>16.2792091481776</v>
      </c>
      <c r="Q802" s="134">
        <v>12.0712743331915</v>
      </c>
      <c r="R802" s="134">
        <v>10.618690948765099</v>
      </c>
      <c r="S802" s="138">
        <v>2.8519999999999999</v>
      </c>
      <c r="T802" s="138">
        <v>2.7229999999999999</v>
      </c>
      <c r="U802" s="138">
        <f>F802/S802*E796</f>
        <v>0.105189340813464</v>
      </c>
      <c r="V802" s="138">
        <f>F802/T802*E796</f>
        <v>0.110172603745869</v>
      </c>
      <c r="AA802" s="153"/>
      <c r="AE802" s="137">
        <v>6.6367573502500896</v>
      </c>
      <c r="AF802" s="137"/>
    </row>
    <row r="803" spans="1:32">
      <c r="A803" s="276"/>
      <c r="B803" s="276"/>
      <c r="C803" s="159" t="s">
        <v>76</v>
      </c>
      <c r="D803" s="134" t="s">
        <v>65</v>
      </c>
      <c r="E803" s="276"/>
      <c r="F803" s="130">
        <v>0</v>
      </c>
      <c r="G803" s="149">
        <v>100</v>
      </c>
      <c r="H803" s="149">
        <v>100</v>
      </c>
      <c r="I803" s="134">
        <v>100</v>
      </c>
      <c r="J803" s="134">
        <v>100</v>
      </c>
      <c r="K803" s="134">
        <v>100</v>
      </c>
      <c r="L803" s="134">
        <v>96.773241575442697</v>
      </c>
      <c r="M803" s="134">
        <v>58.955499795773399</v>
      </c>
      <c r="N803" s="134">
        <v>32.060997642496702</v>
      </c>
      <c r="O803" s="134">
        <v>23.467347478352799</v>
      </c>
      <c r="P803" s="134">
        <v>17.429766402104299</v>
      </c>
      <c r="Q803" s="134">
        <v>13.4674110343355</v>
      </c>
      <c r="R803" s="134">
        <v>11.5498931412078</v>
      </c>
      <c r="S803" s="138">
        <v>2.8290000000000002</v>
      </c>
      <c r="T803" s="138">
        <v>2.7650000000000001</v>
      </c>
      <c r="U803" s="138">
        <f>F803/S803*E801</f>
        <v>0</v>
      </c>
      <c r="V803" s="138">
        <f>F803/T803*E801</f>
        <v>0</v>
      </c>
      <c r="AA803" s="153"/>
      <c r="AE803" s="137"/>
      <c r="AF803" s="137"/>
    </row>
    <row r="804" spans="1:32">
      <c r="A804" s="276"/>
      <c r="B804" s="276"/>
      <c r="C804" s="159" t="s">
        <v>76</v>
      </c>
      <c r="D804" s="168" t="s">
        <v>97</v>
      </c>
      <c r="E804" s="276"/>
      <c r="F804" s="130">
        <v>0</v>
      </c>
      <c r="G804" s="149">
        <v>100</v>
      </c>
      <c r="H804" s="149">
        <v>100</v>
      </c>
      <c r="I804" s="149">
        <v>100</v>
      </c>
      <c r="J804" s="149">
        <v>99.709455890121504</v>
      </c>
      <c r="K804" s="149">
        <v>93.611005421295204</v>
      </c>
      <c r="L804" s="149">
        <v>62.883664943704403</v>
      </c>
      <c r="M804" s="149">
        <v>41.736211500847702</v>
      </c>
      <c r="N804" s="149">
        <v>29.275015875296301</v>
      </c>
      <c r="O804" s="149">
        <v>22.374005580422299</v>
      </c>
      <c r="P804" s="149">
        <v>14.3321095762082</v>
      </c>
      <c r="Q804" s="149">
        <v>9.6170951500159596</v>
      </c>
      <c r="R804" s="149">
        <v>6.5264817525129803</v>
      </c>
      <c r="S804" s="138">
        <v>2.76</v>
      </c>
      <c r="T804" s="138">
        <v>2.7</v>
      </c>
      <c r="U804" s="138">
        <f>F804/S804*E801</f>
        <v>0</v>
      </c>
      <c r="V804" s="138">
        <f>F804/T804*E801</f>
        <v>0</v>
      </c>
      <c r="AA804" s="153"/>
      <c r="AE804" s="137"/>
      <c r="AF804" s="137"/>
    </row>
    <row r="805" spans="1:32" ht="14.4">
      <c r="A805" s="276"/>
      <c r="B805" s="276"/>
      <c r="C805"/>
      <c r="F805" s="129" t="s">
        <v>240</v>
      </c>
      <c r="G805" s="170">
        <f>$E$29*($F$29*G796+$F$30*G797+$F$31*G798+$F$32*G799+$F$33*G800+$F$34*G801+$F$35*G802)+$E$36*($F$36*G803+$F$37*G804)</f>
        <v>100</v>
      </c>
      <c r="H805" s="170">
        <f>E796*(F796*H796+F797*H797+F798*H798+F799*H799+F800*H800)+E801*(F803*H803+F804*H804+F801*H801+F802*H802)</f>
        <v>97.92</v>
      </c>
      <c r="I805" s="170">
        <f>E796*(F796*I796+F797*I797+F798*I798+F799*I799+F800*I800)+E801*(F803*I803+F804*I804+F801*I801+F802*I802)</f>
        <v>89.0135593738068</v>
      </c>
      <c r="J805" s="170">
        <f>E796*(F796*J796+F797*J797+F798*J798+F799*J799+F800*J800)+E801*(F803*J803+F804*J804+F801*J801+F802*J802)</f>
        <v>74.417743508136596</v>
      </c>
      <c r="K805" s="170">
        <f>E796*(F796*K796+F797*K797+F798*K798+F799*K799+F800*K800)+E801*(F803*K803+F804*K804+F801*K801+F802*K802)</f>
        <v>56.002947005804302</v>
      </c>
      <c r="L805" s="170">
        <f>E796*(F796*L796+F797*L797+F798*L798+F799*L799+F800*L800)+E801*(F803*L803+F804*L804+F801*L801+F802*L802)</f>
        <v>33.291530643283402</v>
      </c>
      <c r="M805" s="170">
        <f>E796*(F796*M796+F797*M797+F798*M798+F799*M799+F800*M800)+E801*(F803*M803+F804*M804+F801*M801+F802*M802)</f>
        <v>25.0248051801576</v>
      </c>
      <c r="N805" s="170">
        <f>E796*(F796*N796+F797*N797+F798*N798+F799*N799+F800*N800)+E801*(F803*N803+F804*N804+F801*N801+F802*N802)</f>
        <v>18.423363059899401</v>
      </c>
      <c r="O805" s="170">
        <f>E796*(F796*O796+F797*O797+F798*O798+F799*O799+F800*O800)+E801*(F803*O803+F804*O804+F801*O801+F802*O802)</f>
        <v>14.0819804713311</v>
      </c>
      <c r="P805" s="170">
        <f>E796*(F796*P796+F797*P797+F798*P798+F799*P799+F800*P800)+E801*(F803*P803+F804*P804+F801*P801+F802*P802)</f>
        <v>9.3819666031330602</v>
      </c>
      <c r="Q805" s="170">
        <f>E796*(F796*Q796+F797*Q797+F798*Q798+F799*Q799+F800*Q800)+E801*(F803*Q803+F804*Q804+F801*Q801+F802*Q802)</f>
        <v>6.4300221369816803</v>
      </c>
      <c r="R805" s="170">
        <f>E796*(F796*R796+F797*R797+F798*R798+F799*R799+F800*R800)+E801*(F803*R803+F804*R804+F801*R801+F802*R802)</f>
        <v>5.4866487634540002</v>
      </c>
      <c r="AA805" s="153"/>
      <c r="AE805" s="137"/>
      <c r="AF805" s="137"/>
    </row>
    <row r="806" spans="1:32" ht="14.4">
      <c r="A806" s="276"/>
      <c r="B806" s="276"/>
      <c r="C806"/>
      <c r="F806" s="129" t="s">
        <v>241</v>
      </c>
      <c r="G806" s="149">
        <v>100</v>
      </c>
      <c r="H806" s="149">
        <v>100</v>
      </c>
      <c r="I806" s="129">
        <v>100</v>
      </c>
      <c r="J806" s="129">
        <v>100</v>
      </c>
      <c r="K806" s="129">
        <v>85</v>
      </c>
      <c r="L806" s="129">
        <v>68</v>
      </c>
      <c r="M806" s="129">
        <v>50</v>
      </c>
      <c r="N806" s="129">
        <v>38</v>
      </c>
      <c r="O806" s="129">
        <v>28</v>
      </c>
      <c r="P806" s="129">
        <v>20</v>
      </c>
      <c r="Q806" s="129">
        <v>15</v>
      </c>
      <c r="R806" s="129">
        <v>8</v>
      </c>
      <c r="AA806" s="153"/>
      <c r="AE806" s="137"/>
      <c r="AF806" s="137"/>
    </row>
    <row r="807" spans="1:32" ht="14.4">
      <c r="A807" s="276"/>
      <c r="B807" s="276"/>
      <c r="C807"/>
      <c r="F807" s="129" t="s">
        <v>242</v>
      </c>
      <c r="G807" s="149">
        <f t="shared" ref="G807" si="128">(G806+G808)/2</f>
        <v>100</v>
      </c>
      <c r="H807" s="149">
        <v>100</v>
      </c>
      <c r="I807" s="129">
        <v>100</v>
      </c>
      <c r="J807" s="129">
        <f t="shared" ref="J807:R807" si="129">(J806+J808)/2</f>
        <v>95</v>
      </c>
      <c r="K807" s="129">
        <f t="shared" si="129"/>
        <v>76.5</v>
      </c>
      <c r="L807" s="129">
        <f t="shared" si="129"/>
        <v>53</v>
      </c>
      <c r="M807" s="129">
        <f t="shared" si="129"/>
        <v>37</v>
      </c>
      <c r="N807" s="129">
        <f t="shared" si="129"/>
        <v>26.5</v>
      </c>
      <c r="O807" s="129">
        <f t="shared" si="129"/>
        <v>19</v>
      </c>
      <c r="P807" s="129">
        <f t="shared" si="129"/>
        <v>13.5</v>
      </c>
      <c r="Q807" s="129">
        <f t="shared" si="129"/>
        <v>10</v>
      </c>
      <c r="R807" s="129">
        <f t="shared" si="129"/>
        <v>6</v>
      </c>
      <c r="AA807" s="153"/>
      <c r="AE807" s="137"/>
      <c r="AF807" s="137"/>
    </row>
    <row r="808" spans="1:32" ht="14.4">
      <c r="A808" s="276"/>
      <c r="B808" s="276"/>
      <c r="C808"/>
      <c r="F808" s="129" t="s">
        <v>243</v>
      </c>
      <c r="G808" s="149">
        <v>100</v>
      </c>
      <c r="H808" s="149">
        <v>100</v>
      </c>
      <c r="I808" s="129">
        <v>100</v>
      </c>
      <c r="J808" s="129">
        <v>90</v>
      </c>
      <c r="K808" s="129">
        <v>68</v>
      </c>
      <c r="L808" s="129">
        <v>38</v>
      </c>
      <c r="M808" s="129">
        <v>24</v>
      </c>
      <c r="N808" s="129">
        <v>15</v>
      </c>
      <c r="O808" s="129">
        <v>10</v>
      </c>
      <c r="P808" s="129">
        <v>7</v>
      </c>
      <c r="Q808" s="129">
        <v>5</v>
      </c>
      <c r="R808" s="129">
        <v>4</v>
      </c>
      <c r="AA808" s="153"/>
      <c r="AE808" s="137"/>
      <c r="AF808" s="137"/>
    </row>
    <row r="809" spans="1:32" s="218" customFormat="1" ht="14.4">
      <c r="A809" s="279" t="s">
        <v>145</v>
      </c>
      <c r="B809" s="279" t="s">
        <v>94</v>
      </c>
      <c r="C809" s="208" t="s">
        <v>81</v>
      </c>
      <c r="D809" s="209" t="s">
        <v>63</v>
      </c>
      <c r="E809" s="278">
        <v>0.6</v>
      </c>
      <c r="F809" s="207">
        <v>0.5</v>
      </c>
      <c r="G809" s="210">
        <v>100</v>
      </c>
      <c r="H809" s="210">
        <v>100</v>
      </c>
      <c r="I809" s="211">
        <v>100</v>
      </c>
      <c r="J809" s="211">
        <v>100</v>
      </c>
      <c r="K809" s="211">
        <v>86.636867650022893</v>
      </c>
      <c r="L809" s="211">
        <v>7.5850585702972104</v>
      </c>
      <c r="M809" s="211">
        <v>1.1059583314083801</v>
      </c>
      <c r="N809" s="211">
        <v>0.724264884069029</v>
      </c>
      <c r="O809" s="211">
        <v>0.68371064277129501</v>
      </c>
      <c r="P809" s="211">
        <v>0.68371064277129501</v>
      </c>
      <c r="Q809" s="211">
        <v>0.68371064277129501</v>
      </c>
      <c r="R809" s="211">
        <v>0.68371064277129501</v>
      </c>
      <c r="S809" s="212">
        <v>2.73</v>
      </c>
      <c r="T809" s="212">
        <v>2.6880000000000002</v>
      </c>
      <c r="U809" s="212">
        <f>F809/S809*E809</f>
        <v>0.10989010989011</v>
      </c>
      <c r="V809" s="212">
        <f>F809/T809*E809</f>
        <v>0.111607142857143</v>
      </c>
      <c r="W809" s="212">
        <v>2.68</v>
      </c>
      <c r="X809" s="213">
        <v>0.4</v>
      </c>
      <c r="Y809" s="212">
        <f>0.033*X809*X809-0.2936*X809+0.9336</f>
        <v>0.82143999999999995</v>
      </c>
      <c r="Z809" s="212">
        <f>0.033*Y809*Y809-0.2936*Y809+0.9336</f>
        <v>0.71469241722879995</v>
      </c>
      <c r="AA809" s="214">
        <v>2.5392202951485698</v>
      </c>
      <c r="AB809" s="212">
        <v>2.64</v>
      </c>
      <c r="AC809" s="215">
        <v>5</v>
      </c>
      <c r="AD809" s="212">
        <f>100*AC809/(100+AC809)</f>
        <v>4.7619047619047601</v>
      </c>
      <c r="AE809" s="216"/>
      <c r="AF809" s="217">
        <f>AC809-E814*F814*AE814-E814*F815*AE815-E814*F816*AE816</f>
        <v>3.03685064935065</v>
      </c>
    </row>
    <row r="810" spans="1:32" s="218" customFormat="1" ht="14.4">
      <c r="A810" s="279"/>
      <c r="B810" s="279"/>
      <c r="C810" s="208" t="s">
        <v>81</v>
      </c>
      <c r="D810" s="209" t="s">
        <v>70</v>
      </c>
      <c r="E810" s="278"/>
      <c r="F810" s="207">
        <v>0.41</v>
      </c>
      <c r="G810" s="210">
        <v>100</v>
      </c>
      <c r="H810" s="210">
        <v>100</v>
      </c>
      <c r="I810" s="211">
        <v>100</v>
      </c>
      <c r="J810" s="211">
        <v>100</v>
      </c>
      <c r="K810" s="211">
        <v>100</v>
      </c>
      <c r="L810" s="211">
        <v>72.015163507644701</v>
      </c>
      <c r="M810" s="211">
        <v>20.286060876500599</v>
      </c>
      <c r="N810" s="211">
        <v>12.596910395016501</v>
      </c>
      <c r="O810" s="211">
        <v>10.5361419145519</v>
      </c>
      <c r="P810" s="211">
        <v>8.8874297651085996</v>
      </c>
      <c r="Q810" s="211">
        <v>7.2581538884348697</v>
      </c>
      <c r="R810" s="211">
        <v>6.1777804915484804</v>
      </c>
      <c r="S810" s="212">
        <v>2.7080000000000002</v>
      </c>
      <c r="T810" s="212">
        <v>2.681</v>
      </c>
      <c r="U810" s="212">
        <f>F810/S810*E809</f>
        <v>9.0841949778434294E-2</v>
      </c>
      <c r="V810" s="212">
        <f>F810/T810*E809</f>
        <v>9.1756807161506901E-2</v>
      </c>
      <c r="W810" s="212"/>
      <c r="X810" s="212"/>
      <c r="Y810" s="219"/>
      <c r="Z810" s="219"/>
      <c r="AA810" s="214"/>
      <c r="AB810" s="212"/>
      <c r="AC810" s="215"/>
      <c r="AD810" s="212"/>
      <c r="AE810" s="216"/>
      <c r="AF810" s="216"/>
    </row>
    <row r="811" spans="1:32" s="218" customFormat="1" ht="13.8" customHeight="1">
      <c r="A811" s="279"/>
      <c r="B811" s="279"/>
      <c r="C811" s="208" t="s">
        <v>81</v>
      </c>
      <c r="D811" s="211" t="s">
        <v>71</v>
      </c>
      <c r="E811" s="278"/>
      <c r="F811" s="207">
        <v>0.09</v>
      </c>
      <c r="G811" s="210">
        <v>100</v>
      </c>
      <c r="H811" s="210">
        <v>100</v>
      </c>
      <c r="I811" s="211">
        <v>100</v>
      </c>
      <c r="J811" s="211">
        <v>100</v>
      </c>
      <c r="K811" s="211">
        <v>100</v>
      </c>
      <c r="L811" s="211">
        <v>98.111939055727404</v>
      </c>
      <c r="M811" s="211">
        <v>92.536129045242205</v>
      </c>
      <c r="N811" s="211">
        <v>74.521420219526604</v>
      </c>
      <c r="O811" s="211">
        <v>58.894791247156199</v>
      </c>
      <c r="P811" s="211">
        <v>42.394636104297597</v>
      </c>
      <c r="Q811" s="211">
        <v>23.466914320227701</v>
      </c>
      <c r="R811" s="211">
        <v>16.099297179628898</v>
      </c>
      <c r="S811" s="212">
        <v>2.7730000000000001</v>
      </c>
      <c r="T811" s="212">
        <v>2.629</v>
      </c>
      <c r="U811" s="212">
        <f>F811/S811*E809</f>
        <v>1.94734944103859E-2</v>
      </c>
      <c r="V811" s="212">
        <f>F811/T811*E809</f>
        <v>2.0540129326740202E-2</v>
      </c>
      <c r="W811" s="220"/>
      <c r="X811" s="213"/>
      <c r="Y811" s="220"/>
      <c r="Z811" s="220"/>
      <c r="AA811" s="214"/>
      <c r="AB811" s="212"/>
      <c r="AC811" s="215"/>
      <c r="AD811" s="212"/>
      <c r="AE811" s="216"/>
      <c r="AF811" s="216"/>
    </row>
    <row r="812" spans="1:32" s="218" customFormat="1" ht="14.4">
      <c r="A812" s="279"/>
      <c r="B812" s="279"/>
      <c r="C812" s="208" t="s">
        <v>82</v>
      </c>
      <c r="D812" s="211" t="s">
        <v>71</v>
      </c>
      <c r="E812" s="278"/>
      <c r="F812" s="207">
        <v>0</v>
      </c>
      <c r="G812" s="210">
        <v>100</v>
      </c>
      <c r="H812" s="210">
        <v>100</v>
      </c>
      <c r="I812" s="211">
        <v>100</v>
      </c>
      <c r="J812" s="211">
        <v>100</v>
      </c>
      <c r="K812" s="211">
        <v>100</v>
      </c>
      <c r="L812" s="211">
        <v>99.535863080549802</v>
      </c>
      <c r="M812" s="211">
        <v>80.920571600011101</v>
      </c>
      <c r="N812" s="211">
        <v>52.361261114203501</v>
      </c>
      <c r="O812" s="211">
        <v>35.177958105460696</v>
      </c>
      <c r="P812" s="211">
        <v>20.742205209966201</v>
      </c>
      <c r="Q812" s="211">
        <v>9.9446623024430405</v>
      </c>
      <c r="R812" s="211">
        <v>6.6012497172878204</v>
      </c>
      <c r="S812" s="212">
        <v>2.6789999999999998</v>
      </c>
      <c r="T812" s="212">
        <v>2.6789999999999998</v>
      </c>
      <c r="U812" s="212">
        <f>F812/S812*E809</f>
        <v>0</v>
      </c>
      <c r="V812" s="212">
        <f>F812/T812*E809</f>
        <v>0</v>
      </c>
      <c r="W812" s="220"/>
      <c r="X812" s="213"/>
      <c r="Y812" s="220"/>
      <c r="Z812" s="220"/>
      <c r="AA812" s="213"/>
      <c r="AB812" s="213"/>
      <c r="AC812" s="225"/>
      <c r="AD812" s="213"/>
      <c r="AE812" s="216"/>
      <c r="AF812" s="216"/>
    </row>
    <row r="813" spans="1:32" s="218" customFormat="1" ht="14.4">
      <c r="A813" s="279"/>
      <c r="B813" s="279"/>
      <c r="C813" s="208" t="s">
        <v>99</v>
      </c>
      <c r="D813" s="221" t="s">
        <v>91</v>
      </c>
      <c r="E813" s="278"/>
      <c r="F813" s="207">
        <v>0</v>
      </c>
      <c r="G813" s="210">
        <v>100</v>
      </c>
      <c r="H813" s="210">
        <v>100</v>
      </c>
      <c r="I813" s="210">
        <v>100</v>
      </c>
      <c r="J813" s="210">
        <v>100</v>
      </c>
      <c r="K813" s="210">
        <v>100</v>
      </c>
      <c r="L813" s="210">
        <v>100</v>
      </c>
      <c r="M813" s="210">
        <v>100</v>
      </c>
      <c r="N813" s="210">
        <v>100</v>
      </c>
      <c r="O813" s="210">
        <v>100</v>
      </c>
      <c r="P813" s="210">
        <v>97.4</v>
      </c>
      <c r="Q813" s="210">
        <v>90.2</v>
      </c>
      <c r="R813" s="210">
        <v>78.2</v>
      </c>
      <c r="S813" s="212">
        <v>2.6789999999999998</v>
      </c>
      <c r="T813" s="212">
        <v>2.6789999999999998</v>
      </c>
      <c r="U813" s="212">
        <f>F813/S813*E809</f>
        <v>0</v>
      </c>
      <c r="V813" s="212">
        <f>F813/T813*E809</f>
        <v>0</v>
      </c>
      <c r="W813" s="220"/>
      <c r="X813" s="213"/>
      <c r="Y813" s="220"/>
      <c r="Z813" s="220"/>
      <c r="AA813" s="213"/>
      <c r="AB813" s="213"/>
      <c r="AC813" s="225"/>
      <c r="AD813" s="213"/>
      <c r="AE813" s="216"/>
      <c r="AF813" s="216"/>
    </row>
    <row r="814" spans="1:32" s="218" customFormat="1" ht="14.4">
      <c r="A814" s="279"/>
      <c r="B814" s="279"/>
      <c r="C814" s="208" t="s">
        <v>514</v>
      </c>
      <c r="D814" s="209" t="s">
        <v>68</v>
      </c>
      <c r="E814" s="279">
        <v>0.4</v>
      </c>
      <c r="F814" s="207">
        <v>1</v>
      </c>
      <c r="G814" s="210">
        <v>100</v>
      </c>
      <c r="H814" s="210">
        <v>100</v>
      </c>
      <c r="I814" s="211">
        <v>100</v>
      </c>
      <c r="J814" s="211">
        <v>100</v>
      </c>
      <c r="K814" s="211">
        <v>98.177912288745205</v>
      </c>
      <c r="L814" s="211">
        <v>73.821693572194803</v>
      </c>
      <c r="M814" s="211">
        <v>47.239610365571799</v>
      </c>
      <c r="N814" s="211">
        <v>31.981399802975901</v>
      </c>
      <c r="O814" s="211">
        <v>25.115732115088498</v>
      </c>
      <c r="P814" s="211">
        <v>19.8664693332525</v>
      </c>
      <c r="Q814" s="211">
        <v>15.319459798481001</v>
      </c>
      <c r="R814" s="211">
        <v>13.447492309697401</v>
      </c>
      <c r="S814" s="212">
        <v>2.72</v>
      </c>
      <c r="T814" s="212">
        <v>2.65</v>
      </c>
      <c r="U814" s="212">
        <f>F814/S814*E809</f>
        <v>0.220588235294118</v>
      </c>
      <c r="V814" s="212">
        <f>F814/T814*E809</f>
        <v>0.22641509433962301</v>
      </c>
      <c r="W814" s="220"/>
      <c r="X814" s="213"/>
      <c r="Y814" s="220"/>
      <c r="Z814" s="220"/>
      <c r="AA814" s="213"/>
      <c r="AB814" s="213"/>
      <c r="AC814" s="225"/>
      <c r="AD814" s="213"/>
      <c r="AE814" s="216">
        <v>4.9078733766233702</v>
      </c>
      <c r="AF814" s="216"/>
    </row>
    <row r="815" spans="1:32" s="218" customFormat="1" ht="14.4">
      <c r="A815" s="279"/>
      <c r="B815" s="279"/>
      <c r="C815" s="208" t="s">
        <v>515</v>
      </c>
      <c r="D815" s="211" t="s">
        <v>65</v>
      </c>
      <c r="E815" s="279"/>
      <c r="F815" s="207">
        <v>0</v>
      </c>
      <c r="G815" s="210">
        <v>100</v>
      </c>
      <c r="H815" s="210">
        <v>100</v>
      </c>
      <c r="I815" s="211">
        <v>100</v>
      </c>
      <c r="J815" s="211">
        <v>100</v>
      </c>
      <c r="K815" s="211">
        <v>100</v>
      </c>
      <c r="L815" s="211">
        <v>99.846564268322695</v>
      </c>
      <c r="M815" s="211">
        <v>93.887234677489801</v>
      </c>
      <c r="N815" s="211">
        <v>68.363897673676107</v>
      </c>
      <c r="O815" s="211">
        <v>50.980040748104798</v>
      </c>
      <c r="P815" s="211">
        <v>33.530336651835</v>
      </c>
      <c r="Q815" s="211">
        <v>22.239253603116399</v>
      </c>
      <c r="R815" s="211">
        <v>18.428441763522802</v>
      </c>
      <c r="S815" s="212">
        <v>2.8519999999999999</v>
      </c>
      <c r="T815" s="212">
        <v>2.7229999999999999</v>
      </c>
      <c r="U815" s="212">
        <f>F815/S815*E809</f>
        <v>0</v>
      </c>
      <c r="V815" s="212">
        <f>F815/T815*E809</f>
        <v>0</v>
      </c>
      <c r="W815" s="220"/>
      <c r="X815" s="213"/>
      <c r="Y815" s="220"/>
      <c r="Z815" s="220"/>
      <c r="AA815" s="213"/>
      <c r="AB815" s="213"/>
      <c r="AC815" s="225"/>
      <c r="AD815" s="213"/>
      <c r="AE815" s="216"/>
      <c r="AF815" s="216"/>
    </row>
    <row r="816" spans="1:32" s="218" customFormat="1" ht="14.4">
      <c r="A816" s="279"/>
      <c r="B816" s="279"/>
      <c r="C816" s="208" t="s">
        <v>515</v>
      </c>
      <c r="D816" s="211" t="s">
        <v>65</v>
      </c>
      <c r="E816" s="279"/>
      <c r="F816" s="222">
        <v>0</v>
      </c>
      <c r="G816" s="210">
        <v>100</v>
      </c>
      <c r="H816" s="210">
        <v>100</v>
      </c>
      <c r="I816" s="211">
        <v>100</v>
      </c>
      <c r="J816" s="211">
        <v>100</v>
      </c>
      <c r="K816" s="211">
        <v>100</v>
      </c>
      <c r="L816" s="211">
        <v>96.773241575442697</v>
      </c>
      <c r="M816" s="211">
        <v>58.955499795773399</v>
      </c>
      <c r="N816" s="211">
        <v>32.060997642496702</v>
      </c>
      <c r="O816" s="211">
        <v>23.467347478352799</v>
      </c>
      <c r="P816" s="211">
        <v>17.429766402104299</v>
      </c>
      <c r="Q816" s="211">
        <v>13.4674110343355</v>
      </c>
      <c r="R816" s="211">
        <v>11.5498931412078</v>
      </c>
      <c r="S816" s="212">
        <v>2.8290000000000002</v>
      </c>
      <c r="T816" s="212">
        <v>2.7650000000000001</v>
      </c>
      <c r="U816" s="212">
        <f>F816/S816*E814</f>
        <v>0</v>
      </c>
      <c r="V816" s="212">
        <f>F816/T816*E814</f>
        <v>0</v>
      </c>
      <c r="W816" s="220"/>
      <c r="X816" s="213"/>
      <c r="Y816" s="220"/>
      <c r="Z816" s="220"/>
      <c r="AA816" s="213"/>
      <c r="AB816" s="213"/>
      <c r="AC816" s="225"/>
      <c r="AD816" s="213"/>
      <c r="AE816" s="216"/>
      <c r="AF816" s="216"/>
    </row>
    <row r="817" spans="1:32" s="218" customFormat="1" ht="14.4">
      <c r="A817" s="279"/>
      <c r="B817" s="279"/>
      <c r="C817" s="208" t="s">
        <v>515</v>
      </c>
      <c r="D817" s="221" t="s">
        <v>97</v>
      </c>
      <c r="E817" s="279"/>
      <c r="F817" s="222">
        <v>0</v>
      </c>
      <c r="G817" s="210">
        <v>100</v>
      </c>
      <c r="H817" s="210">
        <v>100</v>
      </c>
      <c r="I817" s="210">
        <v>100</v>
      </c>
      <c r="J817" s="210">
        <v>99.709455890121504</v>
      </c>
      <c r="K817" s="210">
        <v>93.611005421295204</v>
      </c>
      <c r="L817" s="210">
        <v>62.883664943704403</v>
      </c>
      <c r="M817" s="210">
        <v>41.736211500847702</v>
      </c>
      <c r="N817" s="210">
        <v>29.275015875296301</v>
      </c>
      <c r="O817" s="210">
        <v>22.374005580422299</v>
      </c>
      <c r="P817" s="210">
        <v>14.3321095762082</v>
      </c>
      <c r="Q817" s="210">
        <v>9.6170951500159596</v>
      </c>
      <c r="R817" s="210">
        <v>6.5264817525129803</v>
      </c>
      <c r="S817" s="212">
        <v>2.76</v>
      </c>
      <c r="T817" s="212">
        <v>2.7</v>
      </c>
      <c r="U817" s="212">
        <f>F817/S817*E814</f>
        <v>0</v>
      </c>
      <c r="V817" s="212">
        <f>F817/T817*E814</f>
        <v>0</v>
      </c>
      <c r="W817" s="220"/>
      <c r="X817" s="213"/>
      <c r="Y817" s="220"/>
      <c r="Z817" s="220"/>
      <c r="AA817" s="213"/>
      <c r="AB817" s="213"/>
      <c r="AC817" s="225"/>
      <c r="AD817" s="213"/>
      <c r="AE817" s="216"/>
      <c r="AF817" s="216"/>
    </row>
    <row r="818" spans="1:32" s="218" customFormat="1" ht="14.4">
      <c r="A818" s="279"/>
      <c r="B818" s="279"/>
      <c r="D818" s="207"/>
      <c r="E818" s="207"/>
      <c r="F818" s="223" t="s">
        <v>516</v>
      </c>
      <c r="G818" s="224">
        <f>$E$29*($F$29*G809+$F$30*G810+$F$31*G811+$F$32*G812+$F$33*G813+$F$34*G814+$F$35*G815)+$E$36*($F$36*G816+$F$37*G817)</f>
        <v>100</v>
      </c>
      <c r="H818" s="224">
        <f>E809*(F809*H809+F810*H810+F811*H811+F812*H812+F813*H813)+E814*(F816*H816+F817*H817+F814*H814+F815*H815)</f>
        <v>100</v>
      </c>
      <c r="I818" s="224">
        <f>E809*(F809*I809+F810*I810+F811*I811+F812*I812+F813*I813)+E814*(F816*I816+F817*I817+F814*I814+F815*I815)</f>
        <v>100</v>
      </c>
      <c r="J818" s="224">
        <f>E809*(F809*J809+F810*J810+F811*J811+F812*J812+F813*J813)+E814*(F816*J816+F817*J817+F814*J814+F815*J815)</f>
        <v>100</v>
      </c>
      <c r="K818" s="224">
        <f>E809*(F809*K809+F810*K810+F811*K811+F812*K812+F813*K813)+E814*(F816*K816+F817*K817+F814*K814+F815*K815)</f>
        <v>95.262225210504994</v>
      </c>
      <c r="L818" s="224">
        <f>E809*(F809*L809+F810*L810+F811*L811+F812*L812+F813*L813)+E814*(F816*L816+F817*L817+F814*L814+F815*L815)</f>
        <v>54.817969931857</v>
      </c>
      <c r="M818" s="224">
        <f>E809*(F809*M809+F810*M810+F811*M811+F812*M812+F813*M813)+E814*(F816*M816+F817*M817+F814*M814+F815*M815)</f>
        <v>29.214953589713499</v>
      </c>
      <c r="N818" s="224">
        <f>E809*(F809*N809+F810*N810+F811*N811+F812*N812+F813*N813)+E814*(F816*N816+F817*N817+F814*N814+F815*N815)</f>
        <v>20.132836035439599</v>
      </c>
      <c r="O818" s="224">
        <f>E809*(F809*O809+F810*O810+F811*O811+F812*O812+F813*O813)+E814*(F816*O816+F817*O817+F814*O814+F815*O815)</f>
        <v>16.023615677193</v>
      </c>
      <c r="P818" s="224">
        <f>E809*(F809*P809+F810*P810+F811*P811+F812*P812+F813*P813)+E814*(F816*P816+F817*P817+F814*P814+F815*P815)</f>
        <v>12.627318997981201</v>
      </c>
      <c r="Q818" s="224">
        <f>E809*(F809*Q809+F810*Q810+F811*Q811+F812*Q812+F813*Q813)+E814*(F816*Q816+F817*Q817+F814*Q814+F815*Q815)</f>
        <v>9.3856163420710601</v>
      </c>
      <c r="R818" s="224">
        <f>E809*(F809*R809+F810*R810+F811*R811+F812*R812+F813*R813)+E814*(F816*R816+F817*R817+F814*R814+F815*R815)</f>
        <v>7.9732061653312396</v>
      </c>
      <c r="S818" s="219"/>
      <c r="T818" s="219"/>
      <c r="U818" s="219"/>
      <c r="V818" s="219"/>
      <c r="W818" s="220"/>
      <c r="X818" s="213"/>
      <c r="Y818" s="220"/>
      <c r="Z818" s="220"/>
      <c r="AA818" s="213"/>
      <c r="AB818" s="213"/>
      <c r="AC818" s="225"/>
      <c r="AD818" s="213"/>
      <c r="AE818" s="216"/>
      <c r="AF818" s="216"/>
    </row>
    <row r="819" spans="1:32" s="218" customFormat="1" ht="14.4">
      <c r="A819" s="279"/>
      <c r="B819" s="279"/>
      <c r="D819" s="207"/>
      <c r="E819" s="207"/>
      <c r="F819" s="223" t="s">
        <v>263</v>
      </c>
      <c r="G819" s="210">
        <v>100</v>
      </c>
      <c r="H819" s="210">
        <v>100</v>
      </c>
      <c r="I819" s="207">
        <v>100</v>
      </c>
      <c r="J819" s="207">
        <v>100</v>
      </c>
      <c r="K819" s="207">
        <v>100</v>
      </c>
      <c r="L819" s="207">
        <v>75</v>
      </c>
      <c r="M819" s="207">
        <v>58</v>
      </c>
      <c r="N819" s="207">
        <v>44</v>
      </c>
      <c r="O819" s="207">
        <v>32</v>
      </c>
      <c r="P819" s="207">
        <v>23</v>
      </c>
      <c r="Q819" s="207">
        <v>16</v>
      </c>
      <c r="R819" s="207">
        <v>8</v>
      </c>
      <c r="S819" s="219"/>
      <c r="T819" s="219"/>
      <c r="U819" s="219"/>
      <c r="V819" s="219"/>
      <c r="W819" s="220"/>
      <c r="X819" s="213"/>
      <c r="Y819" s="220"/>
      <c r="Z819" s="220"/>
      <c r="AA819" s="213"/>
      <c r="AB819" s="213"/>
      <c r="AC819" s="225"/>
      <c r="AD819" s="213"/>
      <c r="AE819" s="216"/>
      <c r="AF819" s="216"/>
    </row>
    <row r="820" spans="1:32" s="218" customFormat="1" ht="14.4">
      <c r="A820" s="279"/>
      <c r="B820" s="279"/>
      <c r="D820" s="207"/>
      <c r="E820" s="207"/>
      <c r="F820" s="223" t="s">
        <v>264</v>
      </c>
      <c r="G820" s="210">
        <f t="shared" ref="G820" si="130">(G819+G821)/2</f>
        <v>100</v>
      </c>
      <c r="H820" s="210">
        <v>100</v>
      </c>
      <c r="I820" s="207">
        <v>100</v>
      </c>
      <c r="J820" s="207">
        <v>100</v>
      </c>
      <c r="K820" s="207">
        <f t="shared" ref="K820:R820" si="131">(K819+K821)/2</f>
        <v>95</v>
      </c>
      <c r="L820" s="207">
        <f t="shared" si="131"/>
        <v>60</v>
      </c>
      <c r="M820" s="207">
        <f t="shared" si="131"/>
        <v>44</v>
      </c>
      <c r="N820" s="207">
        <f t="shared" si="131"/>
        <v>32</v>
      </c>
      <c r="O820" s="207">
        <f t="shared" si="131"/>
        <v>22.5</v>
      </c>
      <c r="P820" s="207">
        <f t="shared" si="131"/>
        <v>16</v>
      </c>
      <c r="Q820" s="207">
        <f t="shared" si="131"/>
        <v>11</v>
      </c>
      <c r="R820" s="207">
        <f t="shared" si="131"/>
        <v>6</v>
      </c>
      <c r="S820" s="219"/>
      <c r="T820" s="219"/>
      <c r="U820" s="219"/>
      <c r="V820" s="219"/>
      <c r="W820" s="220"/>
      <c r="X820" s="213"/>
      <c r="Y820" s="220"/>
      <c r="Z820" s="220"/>
      <c r="AA820" s="213"/>
      <c r="AB820" s="213"/>
      <c r="AC820" s="225"/>
      <c r="AD820" s="213"/>
      <c r="AE820" s="216"/>
      <c r="AF820" s="216"/>
    </row>
    <row r="821" spans="1:32" s="218" customFormat="1" ht="14.4">
      <c r="A821" s="279"/>
      <c r="B821" s="279"/>
      <c r="D821" s="207"/>
      <c r="E821" s="207"/>
      <c r="F821" s="223" t="s">
        <v>265</v>
      </c>
      <c r="G821" s="210">
        <v>100</v>
      </c>
      <c r="H821" s="210">
        <v>100</v>
      </c>
      <c r="I821" s="207">
        <v>100</v>
      </c>
      <c r="J821" s="207">
        <v>100</v>
      </c>
      <c r="K821" s="207">
        <v>90</v>
      </c>
      <c r="L821" s="207">
        <v>45</v>
      </c>
      <c r="M821" s="207">
        <v>30</v>
      </c>
      <c r="N821" s="207">
        <v>20</v>
      </c>
      <c r="O821" s="207">
        <v>13</v>
      </c>
      <c r="P821" s="207">
        <v>9</v>
      </c>
      <c r="Q821" s="207">
        <v>6</v>
      </c>
      <c r="R821" s="207">
        <v>4</v>
      </c>
      <c r="S821" s="219"/>
      <c r="T821" s="219"/>
      <c r="U821" s="219"/>
      <c r="V821" s="219"/>
      <c r="W821" s="220"/>
      <c r="X821" s="213"/>
      <c r="Y821" s="220"/>
      <c r="Z821" s="220"/>
      <c r="AA821" s="213"/>
      <c r="AB821" s="213"/>
      <c r="AC821" s="225"/>
      <c r="AD821" s="213"/>
      <c r="AE821" s="216"/>
      <c r="AF821" s="216"/>
    </row>
    <row r="822" spans="1:32" ht="14.4">
      <c r="A822" s="276" t="s">
        <v>146</v>
      </c>
      <c r="B822" s="276" t="s">
        <v>254</v>
      </c>
      <c r="C822" s="159" t="s">
        <v>61</v>
      </c>
      <c r="D822" s="157" t="s">
        <v>79</v>
      </c>
      <c r="E822" s="275">
        <v>0.5</v>
      </c>
      <c r="F822" s="146">
        <v>0.5</v>
      </c>
      <c r="G822" s="149">
        <v>100</v>
      </c>
      <c r="H822" s="149">
        <v>100</v>
      </c>
      <c r="I822" s="134">
        <v>100</v>
      </c>
      <c r="J822" s="134">
        <v>93.4</v>
      </c>
      <c r="K822" s="134">
        <v>21.7</v>
      </c>
      <c r="L822" s="134">
        <v>0.5</v>
      </c>
      <c r="M822" s="134">
        <v>0.4</v>
      </c>
      <c r="N822" s="134">
        <v>0.4</v>
      </c>
      <c r="O822" s="134">
        <v>0.4</v>
      </c>
      <c r="P822" s="134">
        <v>0.4</v>
      </c>
      <c r="Q822" s="134">
        <v>0.4</v>
      </c>
      <c r="R822" s="134">
        <v>0.4</v>
      </c>
      <c r="S822" s="138">
        <v>2.73</v>
      </c>
      <c r="T822" s="138">
        <v>2.6880000000000002</v>
      </c>
      <c r="U822" s="138">
        <f>F822/S822*E822</f>
        <v>9.1575091575091597E-2</v>
      </c>
      <c r="V822" s="138">
        <f>F822/T822*E822</f>
        <v>9.3005952380952397E-2</v>
      </c>
      <c r="W822" s="138">
        <f>1/SUM(U822:U830)</f>
        <v>2.7258943134079101</v>
      </c>
      <c r="X822" s="153">
        <v>0.4</v>
      </c>
      <c r="Y822" s="138">
        <f>0.033*X822*X822-0.2936*X822+0.9336</f>
        <v>0.82143999999999995</v>
      </c>
      <c r="Z822" s="138">
        <f>0.033*Y822*Y822-0.2936*Y822+0.9336</f>
        <v>0.71469241722879995</v>
      </c>
      <c r="AA822" s="127">
        <v>2.5608457758771701</v>
      </c>
      <c r="AB822" s="138">
        <f>1/SUM(V822:V830)</f>
        <v>2.6618983417656401</v>
      </c>
      <c r="AC822" s="160">
        <v>4.8</v>
      </c>
      <c r="AD822" s="138">
        <f>100*AC822/(100+AC822)</f>
        <v>4.5801526717557302</v>
      </c>
      <c r="AE822" s="137"/>
      <c r="AF822" s="154">
        <f>AC822-E827*F827*AE827-E827*F828*AE828-E827*F829*AE829</f>
        <v>2.9374639626205399</v>
      </c>
    </row>
    <row r="823" spans="1:32" ht="14.4">
      <c r="A823" s="276"/>
      <c r="B823" s="276"/>
      <c r="C823" s="159" t="s">
        <v>61</v>
      </c>
      <c r="D823" s="157" t="s">
        <v>63</v>
      </c>
      <c r="E823" s="275"/>
      <c r="F823" s="146">
        <v>0.3</v>
      </c>
      <c r="G823" s="149">
        <v>100</v>
      </c>
      <c r="H823" s="149">
        <v>100</v>
      </c>
      <c r="I823" s="134">
        <v>100</v>
      </c>
      <c r="J823" s="134">
        <v>100</v>
      </c>
      <c r="K823" s="134">
        <v>92.5</v>
      </c>
      <c r="L823" s="134">
        <v>7.4</v>
      </c>
      <c r="M823" s="134">
        <v>0.35999999999999899</v>
      </c>
      <c r="N823" s="134">
        <v>0.35999999999999899</v>
      </c>
      <c r="O823" s="134">
        <v>0.35999999999999899</v>
      </c>
      <c r="P823" s="134">
        <v>0.35999999999999899</v>
      </c>
      <c r="Q823" s="134">
        <v>0.35999999999999899</v>
      </c>
      <c r="R823" s="134">
        <v>0.35999999999999899</v>
      </c>
      <c r="S823" s="138">
        <v>2.7080000000000002</v>
      </c>
      <c r="T823" s="138">
        <v>2.681</v>
      </c>
      <c r="U823" s="138">
        <f>F823/S823*E822</f>
        <v>5.5391432791728201E-2</v>
      </c>
      <c r="V823" s="138">
        <f>F823/T823*E822</f>
        <v>5.5949272659455401E-2</v>
      </c>
      <c r="W823" s="138"/>
      <c r="X823" s="138"/>
      <c r="Y823" s="151"/>
      <c r="Z823" s="151"/>
      <c r="AA823" s="127"/>
      <c r="AB823" s="138"/>
      <c r="AC823" s="160"/>
      <c r="AD823" s="138"/>
      <c r="AE823" s="137"/>
      <c r="AF823" s="137"/>
    </row>
    <row r="824" spans="1:32" ht="13.8" customHeight="1">
      <c r="A824" s="276"/>
      <c r="B824" s="276"/>
      <c r="C824" s="159" t="s">
        <v>82</v>
      </c>
      <c r="D824" s="134" t="s">
        <v>65</v>
      </c>
      <c r="E824" s="275"/>
      <c r="F824" s="146">
        <v>0.2</v>
      </c>
      <c r="G824" s="149">
        <v>100</v>
      </c>
      <c r="H824" s="149">
        <v>100</v>
      </c>
      <c r="I824" s="134">
        <v>100</v>
      </c>
      <c r="J824" s="134">
        <v>100</v>
      </c>
      <c r="K824" s="134">
        <v>100</v>
      </c>
      <c r="L824" s="134">
        <v>99.9</v>
      </c>
      <c r="M824" s="134">
        <v>83.5</v>
      </c>
      <c r="N824" s="134">
        <v>56.8</v>
      </c>
      <c r="O824" s="134">
        <v>39.9</v>
      </c>
      <c r="P824" s="134">
        <v>20.6</v>
      </c>
      <c r="Q824" s="134">
        <v>10.9</v>
      </c>
      <c r="R824" s="134">
        <v>8.1</v>
      </c>
      <c r="S824" s="138">
        <v>2.7730000000000001</v>
      </c>
      <c r="T824" s="138">
        <v>2.629</v>
      </c>
      <c r="U824" s="138">
        <f>F824/S824*E822</f>
        <v>3.6062026685899799E-2</v>
      </c>
      <c r="V824" s="138">
        <f>F824/T824*E822</f>
        <v>3.8037276531000398E-2</v>
      </c>
      <c r="AA824" s="127"/>
      <c r="AB824" s="138"/>
      <c r="AC824" s="160"/>
      <c r="AD824" s="138"/>
      <c r="AE824" s="137"/>
      <c r="AF824" s="137"/>
    </row>
    <row r="825" spans="1:32">
      <c r="A825" s="276"/>
      <c r="B825" s="276"/>
      <c r="C825" s="159" t="s">
        <v>82</v>
      </c>
      <c r="D825" s="134" t="s">
        <v>71</v>
      </c>
      <c r="E825" s="275"/>
      <c r="F825" s="146">
        <v>0</v>
      </c>
      <c r="G825" s="149">
        <v>100</v>
      </c>
      <c r="H825" s="149">
        <v>100</v>
      </c>
      <c r="I825" s="134">
        <v>100</v>
      </c>
      <c r="J825" s="134">
        <v>100</v>
      </c>
      <c r="K825" s="134">
        <v>100</v>
      </c>
      <c r="L825" s="134">
        <v>99.535863080549802</v>
      </c>
      <c r="M825" s="134">
        <v>80.920571600011101</v>
      </c>
      <c r="N825" s="134">
        <v>52.361261114203501</v>
      </c>
      <c r="O825" s="134">
        <v>35.177958105460696</v>
      </c>
      <c r="P825" s="134">
        <v>20.742205209966201</v>
      </c>
      <c r="Q825" s="134">
        <v>9.9446623024430405</v>
      </c>
      <c r="R825" s="134">
        <v>6.6012497172878204</v>
      </c>
      <c r="S825" s="138">
        <v>2.6789999999999998</v>
      </c>
      <c r="T825" s="138">
        <v>2.6789999999999998</v>
      </c>
      <c r="U825" s="138">
        <f>F825/S825*E822</f>
        <v>0</v>
      </c>
      <c r="V825" s="138">
        <f>F825/T825*E822</f>
        <v>0</v>
      </c>
      <c r="AA825" s="153"/>
      <c r="AE825" s="137"/>
      <c r="AF825" s="137"/>
    </row>
    <row r="826" spans="1:32" ht="14.4">
      <c r="A826" s="276"/>
      <c r="B826" s="276"/>
      <c r="C826" s="164" t="s">
        <v>99</v>
      </c>
      <c r="D826" s="168" t="s">
        <v>91</v>
      </c>
      <c r="E826" s="275"/>
      <c r="F826" s="129">
        <v>0</v>
      </c>
      <c r="G826" s="149">
        <v>100</v>
      </c>
      <c r="H826" s="149">
        <v>100</v>
      </c>
      <c r="I826" s="134">
        <v>100</v>
      </c>
      <c r="J826" s="134">
        <v>100</v>
      </c>
      <c r="K826" s="134">
        <v>100</v>
      </c>
      <c r="L826" s="134">
        <v>100</v>
      </c>
      <c r="M826" s="134">
        <v>100</v>
      </c>
      <c r="N826" s="134">
        <v>100</v>
      </c>
      <c r="O826" s="134">
        <v>100</v>
      </c>
      <c r="P826" s="134">
        <v>97.4</v>
      </c>
      <c r="Q826" s="134">
        <v>90.2</v>
      </c>
      <c r="R826" s="134">
        <v>78.2</v>
      </c>
      <c r="S826" s="138">
        <v>2.6789999999999998</v>
      </c>
      <c r="T826" s="138">
        <v>2.6789999999999998</v>
      </c>
      <c r="U826" s="138">
        <f>F826/S826*E822</f>
        <v>0</v>
      </c>
      <c r="V826" s="138">
        <f>F826/T826*E822</f>
        <v>0</v>
      </c>
      <c r="AA826" s="153"/>
      <c r="AE826" s="137"/>
      <c r="AF826" s="137"/>
    </row>
    <row r="827" spans="1:32">
      <c r="A827" s="276"/>
      <c r="B827" s="276"/>
      <c r="C827" s="159" t="s">
        <v>74</v>
      </c>
      <c r="D827" s="157" t="s">
        <v>111</v>
      </c>
      <c r="E827" s="276">
        <v>0.5</v>
      </c>
      <c r="F827" s="129">
        <v>1</v>
      </c>
      <c r="G827" s="149">
        <v>100</v>
      </c>
      <c r="H827" s="149">
        <v>100</v>
      </c>
      <c r="I827" s="134">
        <v>100</v>
      </c>
      <c r="J827" s="134">
        <v>100</v>
      </c>
      <c r="K827" s="134">
        <v>90.7401923251022</v>
      </c>
      <c r="L827" s="134">
        <v>61.525657924012101</v>
      </c>
      <c r="M827" s="134">
        <v>45.323296133703799</v>
      </c>
      <c r="N827" s="134">
        <v>29.587016597898799</v>
      </c>
      <c r="O827" s="134">
        <v>22.913754451756901</v>
      </c>
      <c r="P827" s="134">
        <v>17.4996432456817</v>
      </c>
      <c r="Q827" s="134">
        <v>13.9721869730202</v>
      </c>
      <c r="R827" s="134">
        <v>12.4397929137084</v>
      </c>
      <c r="S827" s="138">
        <v>2.72</v>
      </c>
      <c r="T827" s="138">
        <v>2.65</v>
      </c>
      <c r="U827" s="138">
        <f>F827/S827*E822</f>
        <v>0.183823529411765</v>
      </c>
      <c r="V827" s="138">
        <f>F827/T827*E822</f>
        <v>0.18867924528301899</v>
      </c>
      <c r="AA827" s="153"/>
      <c r="AE827" s="137">
        <v>3.7250720747589199</v>
      </c>
      <c r="AF827" s="137"/>
    </row>
    <row r="828" spans="1:32">
      <c r="A828" s="276"/>
      <c r="B828" s="276"/>
      <c r="C828" s="159" t="s">
        <v>76</v>
      </c>
      <c r="D828" s="134" t="s">
        <v>65</v>
      </c>
      <c r="E828" s="276"/>
      <c r="F828" s="129">
        <v>0</v>
      </c>
      <c r="G828" s="149">
        <v>100</v>
      </c>
      <c r="H828" s="149">
        <v>100</v>
      </c>
      <c r="I828" s="134">
        <v>100</v>
      </c>
      <c r="J828" s="134">
        <v>100</v>
      </c>
      <c r="K828" s="134">
        <v>100</v>
      </c>
      <c r="L828" s="134">
        <v>99.846564268322695</v>
      </c>
      <c r="M828" s="134">
        <v>93.887234677489801</v>
      </c>
      <c r="N828" s="134">
        <v>68.363897673676107</v>
      </c>
      <c r="O828" s="134">
        <v>50.980040748104798</v>
      </c>
      <c r="P828" s="134">
        <v>33.530336651835</v>
      </c>
      <c r="Q828" s="134">
        <v>22.239253603116399</v>
      </c>
      <c r="R828" s="134">
        <v>18.428441763522802</v>
      </c>
      <c r="S828" s="138">
        <v>2.8519999999999999</v>
      </c>
      <c r="T828" s="138">
        <v>2.7229999999999999</v>
      </c>
      <c r="U828" s="138">
        <f>F828/S828*E822</f>
        <v>0</v>
      </c>
      <c r="V828" s="138">
        <f>F828/T828*E822</f>
        <v>0</v>
      </c>
      <c r="AA828" s="153"/>
      <c r="AE828" s="137"/>
      <c r="AF828" s="137"/>
    </row>
    <row r="829" spans="1:32">
      <c r="A829" s="276"/>
      <c r="B829" s="276"/>
      <c r="C829" s="159" t="s">
        <v>76</v>
      </c>
      <c r="D829" s="134" t="s">
        <v>65</v>
      </c>
      <c r="E829" s="276"/>
      <c r="F829" s="130">
        <v>0</v>
      </c>
      <c r="G829" s="149">
        <v>100</v>
      </c>
      <c r="H829" s="149">
        <v>100</v>
      </c>
      <c r="I829" s="134">
        <v>100</v>
      </c>
      <c r="J829" s="134">
        <v>100</v>
      </c>
      <c r="K829" s="134">
        <v>100</v>
      </c>
      <c r="L829" s="134">
        <v>96.773241575442697</v>
      </c>
      <c r="M829" s="134">
        <v>58.955499795773399</v>
      </c>
      <c r="N829" s="134">
        <v>32.060997642496702</v>
      </c>
      <c r="O829" s="134">
        <v>23.467347478352799</v>
      </c>
      <c r="P829" s="134">
        <v>17.429766402104299</v>
      </c>
      <c r="Q829" s="134">
        <v>13.4674110343355</v>
      </c>
      <c r="R829" s="134">
        <v>11.5498931412078</v>
      </c>
      <c r="S829" s="138">
        <v>2.8290000000000002</v>
      </c>
      <c r="T829" s="138">
        <v>2.7650000000000001</v>
      </c>
      <c r="U829" s="138">
        <f>F829/S829*E827</f>
        <v>0</v>
      </c>
      <c r="V829" s="138">
        <f>F829/T829*E827</f>
        <v>0</v>
      </c>
      <c r="AA829" s="153"/>
      <c r="AE829" s="137"/>
      <c r="AF829" s="137"/>
    </row>
    <row r="830" spans="1:32">
      <c r="A830" s="276"/>
      <c r="B830" s="276"/>
      <c r="C830" s="159" t="s">
        <v>76</v>
      </c>
      <c r="D830" s="168" t="s">
        <v>97</v>
      </c>
      <c r="E830" s="276"/>
      <c r="F830" s="130">
        <v>0</v>
      </c>
      <c r="G830" s="149">
        <v>100</v>
      </c>
      <c r="H830" s="149">
        <v>100</v>
      </c>
      <c r="I830" s="149">
        <v>100</v>
      </c>
      <c r="J830" s="149">
        <v>99.709455890121504</v>
      </c>
      <c r="K830" s="149">
        <v>93.611005421295204</v>
      </c>
      <c r="L830" s="149">
        <v>62.883664943704403</v>
      </c>
      <c r="M830" s="149">
        <v>41.736211500847702</v>
      </c>
      <c r="N830" s="149">
        <v>29.275015875296301</v>
      </c>
      <c r="O830" s="149">
        <v>22.374005580422299</v>
      </c>
      <c r="P830" s="149">
        <v>14.3321095762082</v>
      </c>
      <c r="Q830" s="149">
        <v>9.6170951500159596</v>
      </c>
      <c r="R830" s="149">
        <v>6.5264817525129803</v>
      </c>
      <c r="S830" s="138">
        <v>2.76</v>
      </c>
      <c r="T830" s="138">
        <v>2.7</v>
      </c>
      <c r="U830" s="138">
        <f>F830/S830*E827</f>
        <v>0</v>
      </c>
      <c r="V830" s="138">
        <f>F830/T830*E827</f>
        <v>0</v>
      </c>
      <c r="AA830" s="153"/>
      <c r="AE830" s="137"/>
      <c r="AF830" s="137"/>
    </row>
    <row r="831" spans="1:32" ht="14.4">
      <c r="A831" s="276"/>
      <c r="B831" s="276"/>
      <c r="C831"/>
      <c r="F831" s="129" t="s">
        <v>240</v>
      </c>
      <c r="G831" s="170">
        <f>$E$29*($F$29*G822+$F$30*G823+$F$31*G824+$F$32*G825+$F$33*G826+$F$34*G827+$F$35*G828)+$E$36*($F$36*G829+$F$37*G830)</f>
        <v>100</v>
      </c>
      <c r="H831" s="170">
        <f>E822*(F822*H822+F823*H823+F824*H824+F825*H825+F826*H826)+E827*(F829*H829+F830*H830+F827*H827+F828*H828)</f>
        <v>100</v>
      </c>
      <c r="I831" s="170">
        <f>E822*(F822*I822+F823*I823+F824*I824+F825*I825+F826*I826)+E827*(F829*I829+F830*I830+F827*I827+F828*I828)</f>
        <v>100</v>
      </c>
      <c r="J831" s="170">
        <f>E822*(F822*J822+F823*J823+F824*J824+F825*J825+F826*J826)+E827*(F829*J829+F830*J830+F827*J827+F828*J828)</f>
        <v>98.35</v>
      </c>
      <c r="K831" s="170">
        <f>E822*(F822*K822+F823*K823+F824*K824+F825*K825+F826*K826)+E827*(F829*K829+F830*K830+F827*K827+F828*K828)</f>
        <v>74.670096162551104</v>
      </c>
      <c r="L831" s="170">
        <f>E822*(F822*L822+F823*L823+F824*L824+F825*L825+F826*L826)+E827*(F829*L829+F830*L830+F827*L827+F828*L828)</f>
        <v>41.987828962005999</v>
      </c>
      <c r="M831" s="170">
        <f>E822*(F822*M822+F823*M823+F824*M824+F825*M825+F826*M826)+E827*(F829*M829+F830*M830+F827*M827+F828*M828)</f>
        <v>31.165648066851901</v>
      </c>
      <c r="N831" s="170">
        <f>E822*(F822*N822+F823*N823+F824*N824+F825*N825+F826*N826)+E827*(F829*N829+F830*N830+F827*N827+F828*N828)</f>
        <v>20.627508298949401</v>
      </c>
      <c r="O831" s="170">
        <f>E822*(F822*O822+F823*O823+F824*O824+F825*O825+F826*O826)+E827*(F829*O829+F830*O830+F827*O827+F828*O828)</f>
        <v>15.6008772258785</v>
      </c>
      <c r="P831" s="170">
        <f>E822*(F822*P822+F823*P823+F824*P824+F825*P825+F826*P826)+E827*(F829*P829+F830*P830+F827*P827+F828*P828)</f>
        <v>10.9638216228409</v>
      </c>
      <c r="Q831" s="170">
        <f>E822*(F822*Q822+F823*Q823+F824*Q824+F825*Q825+F826*Q826)+E827*(F829*Q829+F830*Q830+F827*Q827+F828*Q828)</f>
        <v>8.2300934865100999</v>
      </c>
      <c r="R831" s="170">
        <f>E822*(F822*R822+F823*R823+F824*R824+F825*R825+F826*R826)+E827*(F829*R829+F830*R830+F827*R827+F828*R828)</f>
        <v>7.1838964568541996</v>
      </c>
      <c r="AA831" s="153"/>
      <c r="AE831" s="137"/>
      <c r="AF831" s="137"/>
    </row>
    <row r="832" spans="1:32" ht="14.4">
      <c r="A832" s="276"/>
      <c r="B832" s="276"/>
      <c r="C832"/>
      <c r="F832" s="129" t="s">
        <v>241</v>
      </c>
      <c r="G832" s="149">
        <v>100</v>
      </c>
      <c r="H832" s="149">
        <v>100</v>
      </c>
      <c r="I832" s="129">
        <v>100</v>
      </c>
      <c r="J832" s="129">
        <v>100</v>
      </c>
      <c r="K832" s="129">
        <v>85</v>
      </c>
      <c r="L832" s="129">
        <v>68</v>
      </c>
      <c r="M832" s="129">
        <v>50</v>
      </c>
      <c r="N832" s="129">
        <v>38</v>
      </c>
      <c r="O832" s="129">
        <v>28</v>
      </c>
      <c r="P832" s="129">
        <v>20</v>
      </c>
      <c r="Q832" s="129">
        <v>15</v>
      </c>
      <c r="R832" s="129">
        <v>8</v>
      </c>
      <c r="AA832" s="153"/>
      <c r="AE832" s="137"/>
      <c r="AF832" s="137"/>
    </row>
    <row r="833" spans="1:32" ht="14.4">
      <c r="A833" s="276"/>
      <c r="B833" s="276"/>
      <c r="C833"/>
      <c r="F833" s="129" t="s">
        <v>242</v>
      </c>
      <c r="G833" s="149">
        <f t="shared" ref="G833" si="132">(G832+G834)/2</f>
        <v>100</v>
      </c>
      <c r="H833" s="149">
        <v>100</v>
      </c>
      <c r="I833" s="129">
        <v>100</v>
      </c>
      <c r="J833" s="129">
        <f t="shared" ref="J833:R833" si="133">(J832+J834)/2</f>
        <v>95</v>
      </c>
      <c r="K833" s="129">
        <f t="shared" si="133"/>
        <v>76.5</v>
      </c>
      <c r="L833" s="129">
        <f t="shared" si="133"/>
        <v>53</v>
      </c>
      <c r="M833" s="129">
        <f t="shared" si="133"/>
        <v>37</v>
      </c>
      <c r="N833" s="129">
        <f t="shared" si="133"/>
        <v>26.5</v>
      </c>
      <c r="O833" s="129">
        <f t="shared" si="133"/>
        <v>19</v>
      </c>
      <c r="P833" s="129">
        <f t="shared" si="133"/>
        <v>13.5</v>
      </c>
      <c r="Q833" s="129">
        <f t="shared" si="133"/>
        <v>10</v>
      </c>
      <c r="R833" s="129">
        <f t="shared" si="133"/>
        <v>6</v>
      </c>
      <c r="AA833" s="153"/>
      <c r="AE833" s="137"/>
      <c r="AF833" s="137"/>
    </row>
    <row r="834" spans="1:32" ht="14.4">
      <c r="A834" s="276"/>
      <c r="B834" s="276"/>
      <c r="C834"/>
      <c r="F834" s="129" t="s">
        <v>243</v>
      </c>
      <c r="G834" s="149">
        <v>100</v>
      </c>
      <c r="H834" s="149">
        <v>100</v>
      </c>
      <c r="I834" s="129">
        <v>100</v>
      </c>
      <c r="J834" s="129">
        <v>90</v>
      </c>
      <c r="K834" s="129">
        <v>68</v>
      </c>
      <c r="L834" s="129">
        <v>38</v>
      </c>
      <c r="M834" s="129">
        <v>24</v>
      </c>
      <c r="N834" s="129">
        <v>15</v>
      </c>
      <c r="O834" s="129">
        <v>10</v>
      </c>
      <c r="P834" s="129">
        <v>7</v>
      </c>
      <c r="Q834" s="129">
        <v>5</v>
      </c>
      <c r="R834" s="129">
        <v>4</v>
      </c>
      <c r="AA834" s="153"/>
      <c r="AE834" s="137"/>
      <c r="AF834" s="137"/>
    </row>
    <row r="835" spans="1:32" ht="14.4">
      <c r="A835" s="276" t="s">
        <v>146</v>
      </c>
      <c r="B835" s="276" t="s">
        <v>255</v>
      </c>
      <c r="C835" s="159" t="s">
        <v>61</v>
      </c>
      <c r="D835" s="157" t="s">
        <v>79</v>
      </c>
      <c r="E835" s="275">
        <v>0.4</v>
      </c>
      <c r="F835" s="146">
        <v>0.5</v>
      </c>
      <c r="G835" s="149">
        <v>100</v>
      </c>
      <c r="H835" s="149">
        <v>100</v>
      </c>
      <c r="I835" s="134">
        <v>100</v>
      </c>
      <c r="J835" s="134">
        <v>93.4</v>
      </c>
      <c r="K835" s="134">
        <v>21.7</v>
      </c>
      <c r="L835" s="134">
        <v>0.5</v>
      </c>
      <c r="M835" s="134">
        <v>0.4</v>
      </c>
      <c r="N835" s="134">
        <v>0.4</v>
      </c>
      <c r="O835" s="134">
        <v>0.4</v>
      </c>
      <c r="P835" s="134">
        <v>0.4</v>
      </c>
      <c r="Q835" s="134">
        <v>0.4</v>
      </c>
      <c r="R835" s="134">
        <v>0.4</v>
      </c>
      <c r="S835" s="138">
        <v>2.73</v>
      </c>
      <c r="T835" s="138">
        <v>2.6880000000000002</v>
      </c>
      <c r="U835" s="138">
        <f>F835/S835*E835</f>
        <v>7.3260073260073305E-2</v>
      </c>
      <c r="V835" s="138">
        <f>F835/T835*E835</f>
        <v>7.4404761904761904E-2</v>
      </c>
      <c r="W835" s="138">
        <f>1/SUM(U835:U843)</f>
        <v>3.4043556485617898</v>
      </c>
      <c r="X835" s="153">
        <v>0.4</v>
      </c>
      <c r="Y835" s="138">
        <f>0.033*X835*X835-0.2936*X835+0.9336</f>
        <v>0.82143999999999995</v>
      </c>
      <c r="Z835" s="138">
        <f>0.033*Y835*Y835-0.2936*Y835+0.9336</f>
        <v>0.71469241722879995</v>
      </c>
      <c r="AA835" s="127">
        <v>2.6082122358870601</v>
      </c>
      <c r="AB835" s="138">
        <v>2.67</v>
      </c>
      <c r="AC835" s="160">
        <v>4.8</v>
      </c>
      <c r="AD835" s="138">
        <f>100*AC835/(100+AC835)</f>
        <v>4.5801526717557302</v>
      </c>
      <c r="AE835" s="137"/>
      <c r="AF835" s="154">
        <f>AC835-E840*F840*AE840-E840*F841*AE841-E840*F842*AE842</f>
        <v>2.5649567551446499</v>
      </c>
    </row>
    <row r="836" spans="1:32" ht="14.4">
      <c r="A836" s="276"/>
      <c r="B836" s="276"/>
      <c r="C836" s="159" t="s">
        <v>61</v>
      </c>
      <c r="D836" s="157" t="s">
        <v>63</v>
      </c>
      <c r="E836" s="275"/>
      <c r="F836" s="146">
        <v>0.375</v>
      </c>
      <c r="G836" s="149">
        <v>100</v>
      </c>
      <c r="H836" s="149">
        <v>100</v>
      </c>
      <c r="I836" s="134">
        <v>100</v>
      </c>
      <c r="J836" s="134">
        <v>100</v>
      </c>
      <c r="K836" s="134">
        <v>92.5</v>
      </c>
      <c r="L836" s="134">
        <v>7.4</v>
      </c>
      <c r="M836" s="134">
        <v>0.35999999999999899</v>
      </c>
      <c r="N836" s="134">
        <v>0.35999999999999899</v>
      </c>
      <c r="O836" s="134">
        <v>0.35999999999999899</v>
      </c>
      <c r="P836" s="134">
        <v>0.35999999999999899</v>
      </c>
      <c r="Q836" s="134">
        <v>0.35999999999999899</v>
      </c>
      <c r="R836" s="134">
        <v>0.35999999999999899</v>
      </c>
      <c r="S836" s="138">
        <v>2.7080000000000002</v>
      </c>
      <c r="T836" s="138">
        <v>2.681</v>
      </c>
      <c r="U836" s="138">
        <f>F836/S836*E835</f>
        <v>5.5391432791728201E-2</v>
      </c>
      <c r="V836" s="138">
        <f>F836/T836*E835</f>
        <v>5.5949272659455401E-2</v>
      </c>
      <c r="W836" s="138"/>
      <c r="X836" s="138"/>
      <c r="Y836" s="151"/>
      <c r="Z836" s="151"/>
      <c r="AA836" s="127"/>
      <c r="AB836" s="138"/>
      <c r="AC836" s="160"/>
      <c r="AD836" s="138"/>
      <c r="AE836" s="137"/>
      <c r="AF836" s="137"/>
    </row>
    <row r="837" spans="1:32" ht="13.8" customHeight="1">
      <c r="A837" s="276"/>
      <c r="B837" s="276"/>
      <c r="C837" s="159" t="s">
        <v>82</v>
      </c>
      <c r="D837" s="134" t="s">
        <v>65</v>
      </c>
      <c r="E837" s="275"/>
      <c r="F837" s="146">
        <v>0.125</v>
      </c>
      <c r="G837" s="149">
        <v>100</v>
      </c>
      <c r="H837" s="149">
        <v>100</v>
      </c>
      <c r="I837" s="134">
        <v>100</v>
      </c>
      <c r="J837" s="134">
        <v>100</v>
      </c>
      <c r="K837" s="134">
        <v>100</v>
      </c>
      <c r="L837" s="134">
        <v>99.9</v>
      </c>
      <c r="M837" s="134">
        <v>83.5</v>
      </c>
      <c r="N837" s="134">
        <v>56.8</v>
      </c>
      <c r="O837" s="134">
        <v>39.9</v>
      </c>
      <c r="P837" s="134">
        <v>20.6</v>
      </c>
      <c r="Q837" s="134">
        <v>10.9</v>
      </c>
      <c r="R837" s="134">
        <v>8.1</v>
      </c>
      <c r="S837" s="138">
        <v>2.7730000000000001</v>
      </c>
      <c r="T837" s="138">
        <v>2.629</v>
      </c>
      <c r="U837" s="138">
        <f>F837/S837*E835</f>
        <v>1.80310133429499E-2</v>
      </c>
      <c r="V837" s="138">
        <f>F837/T837*E835</f>
        <v>1.9018638265500199E-2</v>
      </c>
      <c r="AA837" s="127"/>
      <c r="AB837" s="138"/>
      <c r="AC837" s="160"/>
      <c r="AD837" s="138"/>
      <c r="AE837" s="137"/>
      <c r="AF837" s="137"/>
    </row>
    <row r="838" spans="1:32">
      <c r="A838" s="276"/>
      <c r="B838" s="276"/>
      <c r="C838" s="159" t="s">
        <v>82</v>
      </c>
      <c r="D838" s="134" t="s">
        <v>71</v>
      </c>
      <c r="E838" s="275"/>
      <c r="F838" s="146">
        <v>0</v>
      </c>
      <c r="G838" s="149">
        <v>100</v>
      </c>
      <c r="H838" s="149">
        <v>100</v>
      </c>
      <c r="I838" s="134">
        <v>100</v>
      </c>
      <c r="J838" s="134">
        <v>100</v>
      </c>
      <c r="K838" s="134">
        <v>100</v>
      </c>
      <c r="L838" s="134">
        <v>99.535863080549802</v>
      </c>
      <c r="M838" s="134">
        <v>80.920571600011101</v>
      </c>
      <c r="N838" s="134">
        <v>52.361261114203501</v>
      </c>
      <c r="O838" s="134">
        <v>35.177958105460696</v>
      </c>
      <c r="P838" s="134">
        <v>20.742205209966201</v>
      </c>
      <c r="Q838" s="134">
        <v>9.9446623024430405</v>
      </c>
      <c r="R838" s="134">
        <v>6.6012497172878204</v>
      </c>
      <c r="S838" s="138">
        <v>2.6789999999999998</v>
      </c>
      <c r="T838" s="138">
        <v>2.6789999999999998</v>
      </c>
      <c r="U838" s="138">
        <f>F838/S838*E835</f>
        <v>0</v>
      </c>
      <c r="V838" s="138">
        <f>F838/T838*E835</f>
        <v>0</v>
      </c>
      <c r="AA838" s="153"/>
      <c r="AE838" s="137"/>
      <c r="AF838" s="137"/>
    </row>
    <row r="839" spans="1:32" ht="14.4">
      <c r="A839" s="276"/>
      <c r="B839" s="276"/>
      <c r="C839" s="164" t="s">
        <v>99</v>
      </c>
      <c r="D839" s="168" t="s">
        <v>91</v>
      </c>
      <c r="E839" s="275"/>
      <c r="F839" s="129">
        <v>0</v>
      </c>
      <c r="G839" s="149">
        <v>100</v>
      </c>
      <c r="H839" s="149">
        <v>100</v>
      </c>
      <c r="I839" s="134">
        <v>100</v>
      </c>
      <c r="J839" s="134">
        <v>100</v>
      </c>
      <c r="K839" s="134">
        <v>100</v>
      </c>
      <c r="L839" s="134">
        <v>100</v>
      </c>
      <c r="M839" s="134">
        <v>100</v>
      </c>
      <c r="N839" s="134">
        <v>100</v>
      </c>
      <c r="O839" s="134">
        <v>100</v>
      </c>
      <c r="P839" s="134">
        <v>97.4</v>
      </c>
      <c r="Q839" s="134">
        <v>90.2</v>
      </c>
      <c r="R839" s="134">
        <v>78.2</v>
      </c>
      <c r="S839" s="138">
        <v>2.6789999999999998</v>
      </c>
      <c r="T839" s="138">
        <v>2.6789999999999998</v>
      </c>
      <c r="U839" s="138">
        <f>F839/S839*E835</f>
        <v>0</v>
      </c>
      <c r="V839" s="138">
        <f>F839/T839*E835</f>
        <v>0</v>
      </c>
      <c r="AA839" s="153"/>
      <c r="AE839" s="137"/>
      <c r="AF839" s="137"/>
    </row>
    <row r="840" spans="1:32">
      <c r="A840" s="276"/>
      <c r="B840" s="276"/>
      <c r="C840" s="159" t="s">
        <v>74</v>
      </c>
      <c r="D840" s="157" t="s">
        <v>111</v>
      </c>
      <c r="E840" s="276">
        <v>0.6</v>
      </c>
      <c r="F840" s="129">
        <v>1</v>
      </c>
      <c r="G840" s="149">
        <v>100</v>
      </c>
      <c r="H840" s="149">
        <v>100</v>
      </c>
      <c r="I840" s="134">
        <v>100</v>
      </c>
      <c r="J840" s="134">
        <v>100</v>
      </c>
      <c r="K840" s="134">
        <v>90.7401923251022</v>
      </c>
      <c r="L840" s="134">
        <v>61.525657924012101</v>
      </c>
      <c r="M840" s="134">
        <v>45.323296133703799</v>
      </c>
      <c r="N840" s="134">
        <v>29.587016597898799</v>
      </c>
      <c r="O840" s="134">
        <v>22.913754451756901</v>
      </c>
      <c r="P840" s="134">
        <v>17.4996432456817</v>
      </c>
      <c r="Q840" s="134">
        <v>13.9721869730202</v>
      </c>
      <c r="R840" s="134">
        <v>12.4397929137084</v>
      </c>
      <c r="S840" s="138">
        <v>2.72</v>
      </c>
      <c r="T840" s="138">
        <v>2.65</v>
      </c>
      <c r="U840" s="138">
        <f>F840/S840*E835</f>
        <v>0.14705882352941199</v>
      </c>
      <c r="V840" s="138">
        <f>F840/T840*E835</f>
        <v>0.15094339622641501</v>
      </c>
      <c r="AA840" s="153"/>
      <c r="AE840" s="137">
        <v>3.7250720747589199</v>
      </c>
      <c r="AF840" s="137"/>
    </row>
    <row r="841" spans="1:32">
      <c r="A841" s="276"/>
      <c r="B841" s="276"/>
      <c r="C841" s="159" t="s">
        <v>76</v>
      </c>
      <c r="D841" s="134" t="s">
        <v>65</v>
      </c>
      <c r="E841" s="276"/>
      <c r="F841" s="129">
        <v>0</v>
      </c>
      <c r="G841" s="149">
        <v>100</v>
      </c>
      <c r="H841" s="149">
        <v>100</v>
      </c>
      <c r="I841" s="134">
        <v>100</v>
      </c>
      <c r="J841" s="134">
        <v>100</v>
      </c>
      <c r="K841" s="134">
        <v>100</v>
      </c>
      <c r="L841" s="134">
        <v>99.846564268322695</v>
      </c>
      <c r="M841" s="134">
        <v>93.887234677489801</v>
      </c>
      <c r="N841" s="134">
        <v>68.363897673676107</v>
      </c>
      <c r="O841" s="134">
        <v>50.980040748104798</v>
      </c>
      <c r="P841" s="134">
        <v>33.530336651835</v>
      </c>
      <c r="Q841" s="134">
        <v>22.239253603116399</v>
      </c>
      <c r="R841" s="134">
        <v>18.428441763522802</v>
      </c>
      <c r="S841" s="138">
        <v>2.8519999999999999</v>
      </c>
      <c r="T841" s="138">
        <v>2.7229999999999999</v>
      </c>
      <c r="U841" s="138">
        <f>F841/S841*E835</f>
        <v>0</v>
      </c>
      <c r="V841" s="138">
        <f>F841/T841*E835</f>
        <v>0</v>
      </c>
      <c r="AA841" s="153"/>
      <c r="AE841" s="137"/>
      <c r="AF841" s="137"/>
    </row>
    <row r="842" spans="1:32">
      <c r="A842" s="276"/>
      <c r="B842" s="276"/>
      <c r="C842" s="159" t="s">
        <v>76</v>
      </c>
      <c r="D842" s="134" t="s">
        <v>65</v>
      </c>
      <c r="E842" s="276"/>
      <c r="F842" s="130">
        <v>0</v>
      </c>
      <c r="G842" s="149">
        <v>100</v>
      </c>
      <c r="H842" s="149">
        <v>100</v>
      </c>
      <c r="I842" s="134">
        <v>100</v>
      </c>
      <c r="J842" s="134">
        <v>100</v>
      </c>
      <c r="K842" s="134">
        <v>100</v>
      </c>
      <c r="L842" s="134">
        <v>96.773241575442697</v>
      </c>
      <c r="M842" s="134">
        <v>58.955499795773399</v>
      </c>
      <c r="N842" s="134">
        <v>32.060997642496702</v>
      </c>
      <c r="O842" s="134">
        <v>23.467347478352799</v>
      </c>
      <c r="P842" s="134">
        <v>17.429766402104299</v>
      </c>
      <c r="Q842" s="134">
        <v>13.4674110343355</v>
      </c>
      <c r="R842" s="134">
        <v>11.5498931412078</v>
      </c>
      <c r="S842" s="138">
        <v>2.8290000000000002</v>
      </c>
      <c r="T842" s="138">
        <v>2.7650000000000001</v>
      </c>
      <c r="U842" s="138">
        <f>F842/S842*E840</f>
        <v>0</v>
      </c>
      <c r="V842" s="138">
        <f>F842/T842*E840</f>
        <v>0</v>
      </c>
      <c r="AA842" s="153"/>
      <c r="AE842" s="137"/>
      <c r="AF842" s="137"/>
    </row>
    <row r="843" spans="1:32">
      <c r="A843" s="276"/>
      <c r="B843" s="276"/>
      <c r="C843" s="159" t="s">
        <v>76</v>
      </c>
      <c r="D843" s="168" t="s">
        <v>97</v>
      </c>
      <c r="E843" s="276"/>
      <c r="F843" s="130">
        <v>0</v>
      </c>
      <c r="G843" s="149">
        <v>100</v>
      </c>
      <c r="H843" s="149">
        <v>100</v>
      </c>
      <c r="I843" s="149">
        <v>100</v>
      </c>
      <c r="J843" s="149">
        <v>99.709455890121504</v>
      </c>
      <c r="K843" s="149">
        <v>93.611005421295204</v>
      </c>
      <c r="L843" s="149">
        <v>62.883664943704403</v>
      </c>
      <c r="M843" s="149">
        <v>41.736211500847702</v>
      </c>
      <c r="N843" s="149">
        <v>29.275015875296301</v>
      </c>
      <c r="O843" s="149">
        <v>22.374005580422299</v>
      </c>
      <c r="P843" s="149">
        <v>14.3321095762082</v>
      </c>
      <c r="Q843" s="149">
        <v>9.6170951500159596</v>
      </c>
      <c r="R843" s="149">
        <v>6.5264817525129803</v>
      </c>
      <c r="S843" s="138">
        <v>2.76</v>
      </c>
      <c r="T843" s="138">
        <v>2.7</v>
      </c>
      <c r="U843" s="138">
        <f>F843/S843*E840</f>
        <v>0</v>
      </c>
      <c r="V843" s="138">
        <f>F843/T843*E840</f>
        <v>0</v>
      </c>
      <c r="AA843" s="153"/>
      <c r="AE843" s="137"/>
      <c r="AF843" s="137"/>
    </row>
    <row r="844" spans="1:32" ht="14.4">
      <c r="A844" s="276"/>
      <c r="B844" s="276"/>
      <c r="C844"/>
      <c r="F844" s="129" t="s">
        <v>240</v>
      </c>
      <c r="G844" s="170">
        <f>$E$29*($F$29*G835+$F$30*G836+$F$31*G837+$F$32*G838+$F$33*G839+$F$34*G840+$F$35*G841)+$E$36*($F$36*G842+$F$37*G843)</f>
        <v>100</v>
      </c>
      <c r="H844" s="170">
        <f>E835*(F835*H835+F836*H836+F837*H837+F838*H838+F839*H839)+E840*(F842*H842+F843*H843+F840*H840+F841*H841)</f>
        <v>100</v>
      </c>
      <c r="I844" s="170">
        <f>E835*(F835*I835+F836*I836+F837*I837+F838*I838+F839*I839)+E840*(F842*I842+F843*I843+F840*I840+F841*I841)</f>
        <v>100</v>
      </c>
      <c r="J844" s="170">
        <f>E835*(F835*J835+F836*J836+F837*J837+F838*J838+F839*J839)+E840*(F842*J842+F843*J843+F840*J840+F841*J841)</f>
        <v>98.68</v>
      </c>
      <c r="K844" s="170">
        <f>E835*(F835*K835+F836*K836+F837*K837+F838*K838+F839*K839)+E840*(F842*K842+F843*K843+F840*K840+F841*K841)</f>
        <v>77.659115395061306</v>
      </c>
      <c r="L844" s="170">
        <f>E835*(F835*L835+F836*L836+F837*L837+F838*L838+F839*L839)+E840*(F842*L842+F843*L843+F840*L840+F841*L841)</f>
        <v>43.1203947544073</v>
      </c>
      <c r="M844" s="170">
        <f>E835*(F835*M835+F836*M836+F837*M837+F838*M838+F839*M839)+E840*(F842*M842+F843*M843+F840*M840+F841*M841)</f>
        <v>31.502977680222301</v>
      </c>
      <c r="N844" s="170">
        <f>E835*(F835*N835+F836*N836+F837*N837+F838*N838+F839*N839)+E840*(F842*N842+F843*N843+F840*N840+F841*N841)</f>
        <v>20.7262099587393</v>
      </c>
      <c r="O844" s="170">
        <f>E835*(F835*O835+F836*O836+F837*O837+F838*O838+F839*O839)+E840*(F842*O842+F843*O843+F840*O840+F841*O841)</f>
        <v>15.8772526710541</v>
      </c>
      <c r="P844" s="170">
        <f>E835*(F835*P835+F836*P836+F837*P837+F838*P838+F839*P839)+E840*(F842*P842+F843*P843+F840*P840+F841*P841)</f>
        <v>11.663785947409</v>
      </c>
      <c r="Q844" s="170">
        <f>E835*(F835*Q835+F836*Q836+F837*Q837+F838*Q838+F839*Q839)+E840*(F842*Q842+F843*Q843+F840*Q840+F841*Q841)</f>
        <v>9.0623121838121197</v>
      </c>
      <c r="R844" s="170">
        <f>E835*(F835*R835+F836*R836+F837*R837+F838*R838+F839*R839)+E840*(F842*R842+F843*R843+F840*R840+F841*R841)</f>
        <v>8.0028757482250406</v>
      </c>
      <c r="AA844" s="153"/>
      <c r="AE844" s="137"/>
      <c r="AF844" s="137"/>
    </row>
    <row r="845" spans="1:32" ht="14.4">
      <c r="A845" s="276"/>
      <c r="B845" s="276"/>
      <c r="C845"/>
      <c r="F845" s="129" t="s">
        <v>241</v>
      </c>
      <c r="G845" s="149">
        <v>100</v>
      </c>
      <c r="H845" s="149">
        <v>100</v>
      </c>
      <c r="I845" s="129">
        <v>100</v>
      </c>
      <c r="J845" s="129">
        <v>100</v>
      </c>
      <c r="K845" s="129">
        <v>85</v>
      </c>
      <c r="L845" s="129">
        <v>68</v>
      </c>
      <c r="M845" s="129">
        <v>50</v>
      </c>
      <c r="N845" s="129">
        <v>38</v>
      </c>
      <c r="O845" s="129">
        <v>28</v>
      </c>
      <c r="P845" s="129">
        <v>20</v>
      </c>
      <c r="Q845" s="129">
        <v>15</v>
      </c>
      <c r="R845" s="129">
        <v>8</v>
      </c>
      <c r="AA845" s="153"/>
      <c r="AE845" s="137"/>
      <c r="AF845" s="137"/>
    </row>
    <row r="846" spans="1:32" ht="14.4">
      <c r="A846" s="276"/>
      <c r="B846" s="276"/>
      <c r="C846"/>
      <c r="F846" s="129" t="s">
        <v>242</v>
      </c>
      <c r="G846" s="149">
        <f t="shared" ref="G846" si="134">(G845+G847)/2</f>
        <v>100</v>
      </c>
      <c r="H846" s="149">
        <v>100</v>
      </c>
      <c r="I846" s="129">
        <v>100</v>
      </c>
      <c r="J846" s="129">
        <f t="shared" ref="J846:R846" si="135">(J845+J847)/2</f>
        <v>95</v>
      </c>
      <c r="K846" s="129">
        <f t="shared" si="135"/>
        <v>76.5</v>
      </c>
      <c r="L846" s="129">
        <f t="shared" si="135"/>
        <v>53</v>
      </c>
      <c r="M846" s="129">
        <f t="shared" si="135"/>
        <v>37</v>
      </c>
      <c r="N846" s="129">
        <f t="shared" si="135"/>
        <v>26.5</v>
      </c>
      <c r="O846" s="129">
        <f t="shared" si="135"/>
        <v>19</v>
      </c>
      <c r="P846" s="129">
        <f t="shared" si="135"/>
        <v>13.5</v>
      </c>
      <c r="Q846" s="129">
        <f t="shared" si="135"/>
        <v>10</v>
      </c>
      <c r="R846" s="129">
        <f t="shared" si="135"/>
        <v>6</v>
      </c>
      <c r="AA846" s="153"/>
      <c r="AE846" s="137"/>
      <c r="AF846" s="137"/>
    </row>
    <row r="847" spans="1:32" ht="14.4">
      <c r="A847" s="276"/>
      <c r="B847" s="276"/>
      <c r="C847"/>
      <c r="F847" s="129" t="s">
        <v>243</v>
      </c>
      <c r="G847" s="149">
        <v>100</v>
      </c>
      <c r="H847" s="149">
        <v>100</v>
      </c>
      <c r="I847" s="129">
        <v>100</v>
      </c>
      <c r="J847" s="129">
        <v>90</v>
      </c>
      <c r="K847" s="129">
        <v>68</v>
      </c>
      <c r="L847" s="129">
        <v>38</v>
      </c>
      <c r="M847" s="129">
        <v>24</v>
      </c>
      <c r="N847" s="129">
        <v>15</v>
      </c>
      <c r="O847" s="129">
        <v>10</v>
      </c>
      <c r="P847" s="129">
        <v>7</v>
      </c>
      <c r="Q847" s="129">
        <v>5</v>
      </c>
      <c r="R847" s="129">
        <v>4</v>
      </c>
      <c r="AA847" s="153"/>
      <c r="AE847" s="137"/>
      <c r="AF847" s="137"/>
    </row>
    <row r="848" spans="1:32" ht="14.4">
      <c r="A848" s="276" t="s">
        <v>147</v>
      </c>
      <c r="B848" s="276" t="s">
        <v>218</v>
      </c>
      <c r="C848" s="159" t="s">
        <v>61</v>
      </c>
      <c r="D848" s="157" t="s">
        <v>79</v>
      </c>
      <c r="E848" s="275">
        <v>0.5</v>
      </c>
      <c r="F848" s="146">
        <v>0.48</v>
      </c>
      <c r="G848" s="149">
        <v>100</v>
      </c>
      <c r="H848" s="149">
        <v>100</v>
      </c>
      <c r="I848" s="134">
        <v>100</v>
      </c>
      <c r="J848" s="134">
        <v>93.4</v>
      </c>
      <c r="K848" s="134">
        <v>21.7</v>
      </c>
      <c r="L848" s="134">
        <v>0.5</v>
      </c>
      <c r="M848" s="134">
        <v>0.4</v>
      </c>
      <c r="N848" s="134">
        <v>0.4</v>
      </c>
      <c r="O848" s="134">
        <v>0.4</v>
      </c>
      <c r="P848" s="134">
        <v>0.4</v>
      </c>
      <c r="Q848" s="134">
        <v>0.4</v>
      </c>
      <c r="R848" s="134">
        <v>0.4</v>
      </c>
      <c r="S848" s="138">
        <v>2.73</v>
      </c>
      <c r="T848" s="138">
        <v>2.6880000000000002</v>
      </c>
      <c r="U848" s="138">
        <f>F848/S848*E848</f>
        <v>8.7912087912087905E-2</v>
      </c>
      <c r="V848" s="138">
        <f>F848/T848*E848</f>
        <v>8.9285714285714302E-2</v>
      </c>
      <c r="W848" s="138">
        <f>1/SUM(U848:U856)</f>
        <v>2.7671378370501798</v>
      </c>
      <c r="X848" s="153">
        <v>0.4</v>
      </c>
      <c r="Y848" s="138">
        <f>0.033*X848*X848-0.2936*X848+0.9336</f>
        <v>0.82143999999999995</v>
      </c>
      <c r="Z848" s="138">
        <f>0.033*Y848*Y848-0.2936*Y848+0.9336</f>
        <v>0.71469241722879995</v>
      </c>
      <c r="AA848" s="127">
        <v>2.55989375830013</v>
      </c>
      <c r="AB848" s="138">
        <f>1/SUM(V848:V856)</f>
        <v>2.6808344683215202</v>
      </c>
      <c r="AC848" s="160">
        <v>4.8</v>
      </c>
      <c r="AD848" s="138">
        <f>100*AC848/(100+AC848)</f>
        <v>4.5801526717557302</v>
      </c>
      <c r="AE848" s="137"/>
      <c r="AF848" s="154">
        <f>AC848-E853*F853*AE853-E853*F854*AE854-E853*F855*AE855</f>
        <v>2.0639583799731902</v>
      </c>
    </row>
    <row r="849" spans="1:32" ht="14.4">
      <c r="A849" s="276"/>
      <c r="B849" s="276"/>
      <c r="C849" s="159" t="s">
        <v>61</v>
      </c>
      <c r="D849" s="157" t="s">
        <v>63</v>
      </c>
      <c r="E849" s="275"/>
      <c r="F849" s="146">
        <v>0.2</v>
      </c>
      <c r="G849" s="149">
        <v>100</v>
      </c>
      <c r="H849" s="149">
        <v>100</v>
      </c>
      <c r="I849" s="134">
        <v>100</v>
      </c>
      <c r="J849" s="134">
        <v>100</v>
      </c>
      <c r="K849" s="134">
        <v>92.5</v>
      </c>
      <c r="L849" s="134">
        <v>7.4</v>
      </c>
      <c r="M849" s="134">
        <v>0.35999999999999899</v>
      </c>
      <c r="N849" s="134">
        <v>0.35999999999999899</v>
      </c>
      <c r="O849" s="134">
        <v>0.35999999999999899</v>
      </c>
      <c r="P849" s="134">
        <v>0.35999999999999899</v>
      </c>
      <c r="Q849" s="134">
        <v>0.35999999999999899</v>
      </c>
      <c r="R849" s="134">
        <v>0.35999999999999899</v>
      </c>
      <c r="S849" s="138">
        <v>2.7080000000000002</v>
      </c>
      <c r="T849" s="138">
        <v>2.681</v>
      </c>
      <c r="U849" s="138">
        <f>F849/S849*E848</f>
        <v>3.6927621861152102E-2</v>
      </c>
      <c r="V849" s="138">
        <f>F849/T849*E848</f>
        <v>3.7299515106303603E-2</v>
      </c>
      <c r="W849" s="138"/>
      <c r="X849" s="138"/>
      <c r="Y849" s="151"/>
      <c r="Z849" s="151"/>
      <c r="AA849" s="127"/>
      <c r="AB849" s="138"/>
      <c r="AC849" s="160"/>
      <c r="AD849" s="138"/>
      <c r="AE849" s="137"/>
      <c r="AF849" s="137"/>
    </row>
    <row r="850" spans="1:32" ht="13.8" customHeight="1">
      <c r="A850" s="276"/>
      <c r="B850" s="276"/>
      <c r="C850" s="159" t="s">
        <v>82</v>
      </c>
      <c r="D850" s="134" t="s">
        <v>65</v>
      </c>
      <c r="E850" s="275"/>
      <c r="F850" s="146">
        <v>0.3</v>
      </c>
      <c r="G850" s="149">
        <v>100</v>
      </c>
      <c r="H850" s="149">
        <v>100</v>
      </c>
      <c r="I850" s="134">
        <v>100</v>
      </c>
      <c r="J850" s="134">
        <v>100</v>
      </c>
      <c r="K850" s="134">
        <v>100</v>
      </c>
      <c r="L850" s="134">
        <v>99.9</v>
      </c>
      <c r="M850" s="134">
        <v>83.5</v>
      </c>
      <c r="N850" s="134">
        <v>56.8</v>
      </c>
      <c r="O850" s="134">
        <v>39.9</v>
      </c>
      <c r="P850" s="134">
        <v>20.6</v>
      </c>
      <c r="Q850" s="134">
        <v>10.9</v>
      </c>
      <c r="R850" s="134">
        <v>8.1</v>
      </c>
      <c r="S850" s="138">
        <v>2.7730000000000001</v>
      </c>
      <c r="T850" s="138">
        <v>2.629</v>
      </c>
      <c r="U850" s="138">
        <f>F850/S850*E848</f>
        <v>5.4093040028849598E-2</v>
      </c>
      <c r="V850" s="138">
        <f>F850/T850*E848</f>
        <v>5.7055914796500601E-2</v>
      </c>
      <c r="AA850" s="127"/>
      <c r="AB850" s="138"/>
      <c r="AC850" s="160"/>
      <c r="AD850" s="138"/>
      <c r="AE850" s="137"/>
      <c r="AF850" s="137"/>
    </row>
    <row r="851" spans="1:32">
      <c r="A851" s="276"/>
      <c r="B851" s="276"/>
      <c r="C851" s="159" t="s">
        <v>82</v>
      </c>
      <c r="D851" s="134" t="s">
        <v>71</v>
      </c>
      <c r="E851" s="275"/>
      <c r="F851" s="146">
        <v>0</v>
      </c>
      <c r="G851" s="149">
        <v>100</v>
      </c>
      <c r="H851" s="149">
        <v>100</v>
      </c>
      <c r="I851" s="134">
        <v>100</v>
      </c>
      <c r="J851" s="134">
        <v>100</v>
      </c>
      <c r="K851" s="134">
        <v>100</v>
      </c>
      <c r="L851" s="134">
        <v>99.535863080549802</v>
      </c>
      <c r="M851" s="134">
        <v>80.920571600011101</v>
      </c>
      <c r="N851" s="134">
        <v>52.361261114203501</v>
      </c>
      <c r="O851" s="134">
        <v>35.177958105460696</v>
      </c>
      <c r="P851" s="134">
        <v>20.742205209966201</v>
      </c>
      <c r="Q851" s="134">
        <v>9.9446623024430405</v>
      </c>
      <c r="R851" s="134">
        <v>6.6012497172878204</v>
      </c>
      <c r="S851" s="138">
        <v>2.6789999999999998</v>
      </c>
      <c r="T851" s="138">
        <v>2.6789999999999998</v>
      </c>
      <c r="U851" s="138">
        <f>F851/S851*E848</f>
        <v>0</v>
      </c>
      <c r="V851" s="138">
        <f>F851/T851*E848</f>
        <v>0</v>
      </c>
      <c r="AA851" s="153"/>
      <c r="AE851" s="137"/>
      <c r="AF851" s="137"/>
    </row>
    <row r="852" spans="1:32" ht="14.4">
      <c r="A852" s="276"/>
      <c r="B852" s="276"/>
      <c r="C852" s="164" t="s">
        <v>99</v>
      </c>
      <c r="D852" s="168" t="s">
        <v>91</v>
      </c>
      <c r="E852" s="275"/>
      <c r="F852" s="129">
        <v>0.02</v>
      </c>
      <c r="G852" s="149">
        <v>100</v>
      </c>
      <c r="H852" s="149">
        <v>100</v>
      </c>
      <c r="I852" s="134">
        <v>100</v>
      </c>
      <c r="J852" s="134">
        <v>100</v>
      </c>
      <c r="K852" s="134">
        <v>100</v>
      </c>
      <c r="L852" s="134">
        <v>100</v>
      </c>
      <c r="M852" s="134">
        <v>100</v>
      </c>
      <c r="N852" s="134">
        <v>100</v>
      </c>
      <c r="O852" s="134">
        <v>100</v>
      </c>
      <c r="P852" s="134">
        <v>97.4</v>
      </c>
      <c r="Q852" s="134">
        <v>90.2</v>
      </c>
      <c r="R852" s="134">
        <v>78.2</v>
      </c>
      <c r="S852" s="138">
        <v>2.6789999999999998</v>
      </c>
      <c r="T852" s="138">
        <v>2.6789999999999998</v>
      </c>
      <c r="U852" s="138">
        <f>F852/S852*E848</f>
        <v>3.7327360955580402E-3</v>
      </c>
      <c r="V852" s="138">
        <f>F852/T852*E848</f>
        <v>3.7327360955580402E-3</v>
      </c>
      <c r="AA852" s="153"/>
      <c r="AE852" s="137"/>
      <c r="AF852" s="137"/>
    </row>
    <row r="853" spans="1:32">
      <c r="A853" s="276"/>
      <c r="B853" s="276"/>
      <c r="C853" s="159" t="s">
        <v>74</v>
      </c>
      <c r="D853" s="157" t="s">
        <v>79</v>
      </c>
      <c r="E853" s="276">
        <v>0.5</v>
      </c>
      <c r="F853" s="129">
        <v>0.4</v>
      </c>
      <c r="G853" s="149">
        <v>100</v>
      </c>
      <c r="H853" s="149">
        <v>100</v>
      </c>
      <c r="I853" s="134">
        <v>100</v>
      </c>
      <c r="J853" s="134">
        <v>77.327648696514601</v>
      </c>
      <c r="K853" s="134">
        <v>42.686896797594798</v>
      </c>
      <c r="L853" s="134">
        <v>22.371628619976502</v>
      </c>
      <c r="M853" s="134">
        <v>17.187410106780298</v>
      </c>
      <c r="N853" s="134">
        <v>12.000921225456301</v>
      </c>
      <c r="O853" s="134">
        <v>8.8735380344794397</v>
      </c>
      <c r="P853" s="134">
        <v>6.37668642920337</v>
      </c>
      <c r="Q853" s="134">
        <v>4.5195380885756604</v>
      </c>
      <c r="R853" s="134">
        <v>3.7659462600926501</v>
      </c>
      <c r="S853" s="138">
        <v>2.72</v>
      </c>
      <c r="T853" s="138">
        <v>2.65</v>
      </c>
      <c r="U853" s="138">
        <f>F853/S853*E848</f>
        <v>7.3529411764705899E-2</v>
      </c>
      <c r="V853" s="138">
        <f>F853/T853*E848</f>
        <v>7.54716981132076E-2</v>
      </c>
      <c r="AA853" s="153"/>
      <c r="AE853" s="137">
        <v>3.7250720747589199</v>
      </c>
      <c r="AF853" s="137"/>
    </row>
    <row r="854" spans="1:32">
      <c r="A854" s="276"/>
      <c r="B854" s="276"/>
      <c r="C854" s="159" t="s">
        <v>76</v>
      </c>
      <c r="D854" s="134" t="s">
        <v>68</v>
      </c>
      <c r="E854" s="276"/>
      <c r="F854" s="129">
        <v>0.6</v>
      </c>
      <c r="G854" s="149">
        <v>100</v>
      </c>
      <c r="H854" s="149">
        <v>100</v>
      </c>
      <c r="I854" s="134">
        <v>100</v>
      </c>
      <c r="J854" s="134">
        <v>100</v>
      </c>
      <c r="K854" s="134">
        <v>99.710647366485802</v>
      </c>
      <c r="L854" s="134">
        <v>55.882452347225303</v>
      </c>
      <c r="M854" s="134">
        <v>36.017669425184501</v>
      </c>
      <c r="N854" s="134">
        <v>24.336439772360102</v>
      </c>
      <c r="O854" s="134">
        <v>18.424140758965201</v>
      </c>
      <c r="P854" s="134">
        <v>13.617932851214</v>
      </c>
      <c r="Q854" s="134">
        <v>10.1899401078556</v>
      </c>
      <c r="R854" s="134">
        <v>8.5631601182931991</v>
      </c>
      <c r="S854" s="138">
        <v>2.8519999999999999</v>
      </c>
      <c r="T854" s="138">
        <v>2.7229999999999999</v>
      </c>
      <c r="U854" s="138">
        <f>F854/S854*E848</f>
        <v>0.105189340813464</v>
      </c>
      <c r="V854" s="138">
        <f>F854/T854*E848</f>
        <v>0.110172603745869</v>
      </c>
      <c r="AA854" s="153"/>
      <c r="AE854" s="137">
        <v>6.6367573502500896</v>
      </c>
      <c r="AF854" s="137"/>
    </row>
    <row r="855" spans="1:32">
      <c r="A855" s="276"/>
      <c r="B855" s="276"/>
      <c r="C855" s="159" t="s">
        <v>76</v>
      </c>
      <c r="D855" s="134" t="s">
        <v>65</v>
      </c>
      <c r="E855" s="276"/>
      <c r="F855" s="130">
        <v>0</v>
      </c>
      <c r="G855" s="149">
        <v>100</v>
      </c>
      <c r="H855" s="149">
        <v>100</v>
      </c>
      <c r="I855" s="134">
        <v>100</v>
      </c>
      <c r="J855" s="134">
        <v>100</v>
      </c>
      <c r="K855" s="134">
        <v>100</v>
      </c>
      <c r="L855" s="134">
        <v>96.773241575442697</v>
      </c>
      <c r="M855" s="134">
        <v>58.955499795773399</v>
      </c>
      <c r="N855" s="134">
        <v>32.060997642496702</v>
      </c>
      <c r="O855" s="134">
        <v>23.467347478352799</v>
      </c>
      <c r="P855" s="134">
        <v>17.429766402104299</v>
      </c>
      <c r="Q855" s="134">
        <v>13.4674110343355</v>
      </c>
      <c r="R855" s="134">
        <v>11.5498931412078</v>
      </c>
      <c r="S855" s="138">
        <v>2.8290000000000002</v>
      </c>
      <c r="T855" s="138">
        <v>2.7650000000000001</v>
      </c>
      <c r="U855" s="138">
        <f>F855/S855*E853</f>
        <v>0</v>
      </c>
      <c r="V855" s="138">
        <f>F855/T855*E853</f>
        <v>0</v>
      </c>
      <c r="AA855" s="153"/>
      <c r="AE855" s="137"/>
      <c r="AF855" s="137"/>
    </row>
    <row r="856" spans="1:32">
      <c r="A856" s="276"/>
      <c r="B856" s="276"/>
      <c r="C856" s="159" t="s">
        <v>76</v>
      </c>
      <c r="D856" s="168" t="s">
        <v>97</v>
      </c>
      <c r="E856" s="276"/>
      <c r="F856" s="130">
        <v>0</v>
      </c>
      <c r="G856" s="149">
        <v>100</v>
      </c>
      <c r="H856" s="149">
        <v>100</v>
      </c>
      <c r="I856" s="149">
        <v>100</v>
      </c>
      <c r="J856" s="149">
        <v>99.709455890121504</v>
      </c>
      <c r="K856" s="149">
        <v>93.611005421295204</v>
      </c>
      <c r="L856" s="149">
        <v>62.883664943704403</v>
      </c>
      <c r="M856" s="149">
        <v>41.736211500847702</v>
      </c>
      <c r="N856" s="149">
        <v>29.275015875296301</v>
      </c>
      <c r="O856" s="149">
        <v>22.374005580422299</v>
      </c>
      <c r="P856" s="149">
        <v>14.3321095762082</v>
      </c>
      <c r="Q856" s="149">
        <v>9.6170951500159596</v>
      </c>
      <c r="R856" s="149">
        <v>6.5264817525129803</v>
      </c>
      <c r="S856" s="138">
        <v>2.76</v>
      </c>
      <c r="T856" s="138">
        <v>2.7</v>
      </c>
      <c r="U856" s="138">
        <f>F856/S856*E853</f>
        <v>0</v>
      </c>
      <c r="V856" s="138">
        <f>F856/T856*E853</f>
        <v>0</v>
      </c>
      <c r="AA856" s="153"/>
      <c r="AE856" s="137"/>
      <c r="AF856" s="137"/>
    </row>
    <row r="857" spans="1:32" ht="14.4">
      <c r="A857" s="276"/>
      <c r="B857" s="276"/>
      <c r="C857"/>
      <c r="F857" s="129" t="s">
        <v>240</v>
      </c>
      <c r="G857" s="170">
        <f>$E$29*($F$29*G848+$F$30*G849+$F$31*G850+$F$32*G851+$F$33*G852+$F$34*G853+$F$35*G854)+$E$36*($F$36*G855+$F$37*G856)</f>
        <v>100</v>
      </c>
      <c r="H857" s="170">
        <f>E848*(F848*H848+F849*H849+F850*H850+F851*H851+F852*H852)+E853*(F855*H855+F856*H856+F853*H853+F854*H854)</f>
        <v>100</v>
      </c>
      <c r="I857" s="170">
        <f>E848*(F848*I848+F849*I849+F850*I850+F851*I851+F852*I852)+E853*(F855*I855+F856*I856+F853*I853+F854*I854)</f>
        <v>100</v>
      </c>
      <c r="J857" s="170">
        <f>E848*(F848*J848+F849*J849+F850*J850+F851*J851+F852*J852)+E853*(F855*J855+F856*J856+F853*J853+F854*J854)</f>
        <v>93.881529739302906</v>
      </c>
      <c r="K857" s="170">
        <f>E848*(F848*K848+F849*K849+F850*K850+F851*K851+F852*K852)+E853*(F855*K855+F856*K856+F853*K853+F854*K854)</f>
        <v>68.908573569464707</v>
      </c>
      <c r="L857" s="170">
        <f>E848*(F848*L848+F849*L849+F850*L850+F851*L851+F852*L852)+E853*(F855*L855+F856*L856+F853*L853+F854*L854)</f>
        <v>38.084061428162897</v>
      </c>
      <c r="M857" s="170">
        <f>E848*(F848*M848+F849*M849+F850*M850+F851*M851+F852*M852)+E853*(F855*M855+F856*M856+F853*M853+F854*M854)</f>
        <v>27.8997828489114</v>
      </c>
      <c r="N857" s="170">
        <f>E848*(F848*N848+F849*N849+F850*N850+F851*N851+F852*N852)+E853*(F855*N855+F856*N856+F853*N853+F854*N854)</f>
        <v>19.353116176799301</v>
      </c>
      <c r="O857" s="170">
        <f>E848*(F848*O848+F849*O849+F850*O850+F851*O851+F852*O852)+E853*(F855*O855+F856*O856+F853*O853+F854*O854)</f>
        <v>14.418949834585399</v>
      </c>
      <c r="P857" s="170">
        <f>E848*(F848*P848+F849*P849+F850*P850+F851*P851+F852*P852)+E853*(F855*P855+F856*P856+F853*P853+F854*P854)</f>
        <v>9.5567171412048708</v>
      </c>
      <c r="Q857" s="170">
        <f>E848*(F848*Q848+F849*Q849+F850*Q850+F851*Q851+F852*Q852)+E853*(F855*Q855+F856*Q856+F853*Q853+F854*Q854)</f>
        <v>6.6298896500718101</v>
      </c>
      <c r="R857" s="170">
        <f>E848*(F848*R848+F849*R849+F850*R850+F851*R851+F852*R852)+E853*(F855*R855+F856*R856+F853*R853+F854*R854)</f>
        <v>5.4511372875064898</v>
      </c>
      <c r="AA857" s="153"/>
      <c r="AE857" s="137"/>
      <c r="AF857" s="137"/>
    </row>
    <row r="858" spans="1:32" ht="14.4">
      <c r="A858" s="276"/>
      <c r="B858" s="276"/>
      <c r="C858"/>
      <c r="F858" s="129" t="s">
        <v>241</v>
      </c>
      <c r="G858" s="149">
        <v>100</v>
      </c>
      <c r="H858" s="149">
        <v>100</v>
      </c>
      <c r="I858" s="129">
        <v>100</v>
      </c>
      <c r="J858" s="129">
        <v>100</v>
      </c>
      <c r="K858" s="129">
        <v>85</v>
      </c>
      <c r="L858" s="129">
        <v>68</v>
      </c>
      <c r="M858" s="129">
        <v>50</v>
      </c>
      <c r="N858" s="129">
        <v>38</v>
      </c>
      <c r="O858" s="129">
        <v>28</v>
      </c>
      <c r="P858" s="129">
        <v>20</v>
      </c>
      <c r="Q858" s="129">
        <v>15</v>
      </c>
      <c r="R858" s="129">
        <v>8</v>
      </c>
      <c r="AA858" s="153"/>
      <c r="AE858" s="137"/>
      <c r="AF858" s="137"/>
    </row>
    <row r="859" spans="1:32" ht="14.4">
      <c r="A859" s="276"/>
      <c r="B859" s="276"/>
      <c r="C859"/>
      <c r="F859" s="129" t="s">
        <v>242</v>
      </c>
      <c r="G859" s="149">
        <f t="shared" ref="G859" si="136">(G858+G860)/2</f>
        <v>100</v>
      </c>
      <c r="H859" s="149">
        <v>100</v>
      </c>
      <c r="I859" s="129">
        <v>100</v>
      </c>
      <c r="J859" s="129">
        <f t="shared" ref="J859:R859" si="137">(J858+J860)/2</f>
        <v>95</v>
      </c>
      <c r="K859" s="129">
        <f t="shared" si="137"/>
        <v>76.5</v>
      </c>
      <c r="L859" s="129">
        <f t="shared" si="137"/>
        <v>53</v>
      </c>
      <c r="M859" s="129">
        <f t="shared" si="137"/>
        <v>37</v>
      </c>
      <c r="N859" s="129">
        <f t="shared" si="137"/>
        <v>26.5</v>
      </c>
      <c r="O859" s="129">
        <f t="shared" si="137"/>
        <v>19</v>
      </c>
      <c r="P859" s="129">
        <f t="shared" si="137"/>
        <v>13.5</v>
      </c>
      <c r="Q859" s="129">
        <f t="shared" si="137"/>
        <v>10</v>
      </c>
      <c r="R859" s="129">
        <f t="shared" si="137"/>
        <v>6</v>
      </c>
      <c r="AA859" s="153"/>
      <c r="AE859" s="137"/>
      <c r="AF859" s="137"/>
    </row>
    <row r="860" spans="1:32" ht="14.4">
      <c r="A860" s="276"/>
      <c r="B860" s="276"/>
      <c r="C860"/>
      <c r="F860" s="129" t="s">
        <v>243</v>
      </c>
      <c r="G860" s="149">
        <v>100</v>
      </c>
      <c r="H860" s="149">
        <v>100</v>
      </c>
      <c r="I860" s="129">
        <v>100</v>
      </c>
      <c r="J860" s="129">
        <v>90</v>
      </c>
      <c r="K860" s="129">
        <v>68</v>
      </c>
      <c r="L860" s="129">
        <v>38</v>
      </c>
      <c r="M860" s="129">
        <v>24</v>
      </c>
      <c r="N860" s="129">
        <v>15</v>
      </c>
      <c r="O860" s="129">
        <v>10</v>
      </c>
      <c r="P860" s="129">
        <v>7</v>
      </c>
      <c r="Q860" s="129">
        <v>5</v>
      </c>
      <c r="R860" s="129">
        <v>4</v>
      </c>
      <c r="AA860" s="127"/>
      <c r="AE860" s="137"/>
      <c r="AF860" s="137"/>
    </row>
    <row r="861" spans="1:32" ht="14.4">
      <c r="A861" s="276" t="s">
        <v>148</v>
      </c>
      <c r="B861" s="276" t="s">
        <v>218</v>
      </c>
      <c r="C861" s="159" t="s">
        <v>61</v>
      </c>
      <c r="D861" s="157" t="s">
        <v>79</v>
      </c>
      <c r="E861" s="275">
        <v>0.5</v>
      </c>
      <c r="F861" s="146">
        <v>0.4</v>
      </c>
      <c r="G861" s="149">
        <v>100</v>
      </c>
      <c r="H861" s="149">
        <v>100</v>
      </c>
      <c r="I861" s="175">
        <v>100</v>
      </c>
      <c r="J861" s="175">
        <v>91.437286438985197</v>
      </c>
      <c r="K861" s="175">
        <v>22.984206828022799</v>
      </c>
      <c r="L861" s="175">
        <v>0.34897496353152502</v>
      </c>
      <c r="M861" s="175">
        <v>0.34897496353152502</v>
      </c>
      <c r="N861" s="175">
        <v>0.34897496353152502</v>
      </c>
      <c r="O861" s="175">
        <v>0.34897496353152502</v>
      </c>
      <c r="P861" s="175">
        <v>0.34897496353152502</v>
      </c>
      <c r="Q861" s="175">
        <v>0.34897496353152502</v>
      </c>
      <c r="R861" s="175">
        <v>0.34897496353152502</v>
      </c>
      <c r="S861" s="138">
        <v>2.73</v>
      </c>
      <c r="T861" s="138">
        <v>2.6880000000000002</v>
      </c>
      <c r="U861" s="138">
        <f>F861/S861*E861</f>
        <v>7.3260073260073305E-2</v>
      </c>
      <c r="V861" s="138">
        <f>F861/T861*E861</f>
        <v>7.4404761904761904E-2</v>
      </c>
      <c r="W861" s="138">
        <f>1/SUM(U861:U869)</f>
        <v>2.72676765928767</v>
      </c>
      <c r="X861" s="153">
        <v>0.4</v>
      </c>
      <c r="Y861" s="138">
        <f>0.033*X861*X861-0.2936*X861+0.9336</f>
        <v>0.82143999999999995</v>
      </c>
      <c r="Z861" s="138">
        <f>0.033*Y861*Y861-0.2936*Y861+0.9336</f>
        <v>0.71469241722879995</v>
      </c>
      <c r="AA861" s="127">
        <v>2.528</v>
      </c>
      <c r="AB861" s="138">
        <f>1/SUM(V861:V869)</f>
        <v>2.6594260235139502</v>
      </c>
      <c r="AC861" s="160">
        <v>4.8</v>
      </c>
      <c r="AD861" s="138">
        <f>100*AC861/(100+AC861)</f>
        <v>4.5801526717557302</v>
      </c>
      <c r="AE861" s="137"/>
      <c r="AF861" s="154">
        <f>AC861-E866*F866*AE866-E866*F867*AE867-E866*F868*AE868</f>
        <v>3.0981882704519998</v>
      </c>
    </row>
    <row r="862" spans="1:32" ht="14.4">
      <c r="A862" s="276"/>
      <c r="B862" s="276"/>
      <c r="C862" s="159" t="s">
        <v>61</v>
      </c>
      <c r="D862" s="157" t="s">
        <v>63</v>
      </c>
      <c r="E862" s="275"/>
      <c r="F862" s="146">
        <v>0.28000000000000003</v>
      </c>
      <c r="G862" s="149">
        <v>100</v>
      </c>
      <c r="H862" s="149">
        <v>100</v>
      </c>
      <c r="I862" s="175">
        <v>100</v>
      </c>
      <c r="J862" s="175">
        <v>100</v>
      </c>
      <c r="K862" s="175">
        <v>92.5</v>
      </c>
      <c r="L862" s="175">
        <v>7.4</v>
      </c>
      <c r="M862" s="175">
        <v>0.35999999999999899</v>
      </c>
      <c r="N862" s="175">
        <v>0.35999999999999899</v>
      </c>
      <c r="O862" s="175">
        <v>0.35999999999999899</v>
      </c>
      <c r="P862" s="175">
        <v>0.35999999999999899</v>
      </c>
      <c r="Q862" s="175">
        <v>0.35999999999999899</v>
      </c>
      <c r="R862" s="175">
        <v>0.35999999999999899</v>
      </c>
      <c r="S862" s="138">
        <v>2.7080000000000002</v>
      </c>
      <c r="T862" s="138">
        <v>2.681</v>
      </c>
      <c r="U862" s="138">
        <f>F862/S862*E861</f>
        <v>5.1698670605612999E-2</v>
      </c>
      <c r="V862" s="138">
        <f>F862/T862*E861</f>
        <v>5.2219321148825097E-2</v>
      </c>
      <c r="W862" s="138"/>
      <c r="X862" s="138"/>
      <c r="Y862" s="151"/>
      <c r="Z862" s="151"/>
      <c r="AA862" s="127">
        <v>2.5219999999999998</v>
      </c>
      <c r="AB862" s="138">
        <v>2.6594260235139502</v>
      </c>
      <c r="AC862" s="160">
        <v>4.8</v>
      </c>
      <c r="AD862" s="138">
        <f>100*AC862/(100+AC862)</f>
        <v>4.5801526717557302</v>
      </c>
      <c r="AE862" s="137"/>
      <c r="AF862" s="137">
        <v>3.0981882704519998</v>
      </c>
    </row>
    <row r="863" spans="1:32" ht="13.8" customHeight="1">
      <c r="A863" s="276"/>
      <c r="B863" s="276"/>
      <c r="C863" s="159" t="s">
        <v>82</v>
      </c>
      <c r="D863" s="134" t="s">
        <v>65</v>
      </c>
      <c r="E863" s="275"/>
      <c r="F863" s="146">
        <v>0.28000000000000003</v>
      </c>
      <c r="G863" s="149">
        <v>100</v>
      </c>
      <c r="H863" s="149">
        <v>100</v>
      </c>
      <c r="I863" s="175">
        <v>100</v>
      </c>
      <c r="J863" s="175">
        <v>100</v>
      </c>
      <c r="K863" s="175">
        <v>100</v>
      </c>
      <c r="L863" s="175">
        <v>99.9</v>
      </c>
      <c r="M863" s="175">
        <v>83.5</v>
      </c>
      <c r="N863" s="175">
        <v>56.8</v>
      </c>
      <c r="O863" s="175">
        <v>39.9</v>
      </c>
      <c r="P863" s="175">
        <v>20.6</v>
      </c>
      <c r="Q863" s="175">
        <v>10.9</v>
      </c>
      <c r="R863" s="175">
        <v>8.1</v>
      </c>
      <c r="S863" s="138">
        <v>2.7730000000000001</v>
      </c>
      <c r="T863" s="138">
        <v>2.629</v>
      </c>
      <c r="U863" s="138">
        <f>F863/S863*E861</f>
        <v>5.04868373602596E-2</v>
      </c>
      <c r="V863" s="138">
        <f>F863/T863*E861</f>
        <v>5.3252187143400499E-2</v>
      </c>
      <c r="AA863" s="127"/>
      <c r="AB863" s="138"/>
      <c r="AC863" s="160"/>
      <c r="AD863" s="138"/>
      <c r="AE863" s="137"/>
      <c r="AF863" s="137"/>
    </row>
    <row r="864" spans="1:32">
      <c r="A864" s="276"/>
      <c r="B864" s="276"/>
      <c r="C864" s="159" t="s">
        <v>82</v>
      </c>
      <c r="D864" s="134" t="s">
        <v>71</v>
      </c>
      <c r="E864" s="275"/>
      <c r="F864" s="146">
        <v>0</v>
      </c>
      <c r="G864" s="149">
        <v>100</v>
      </c>
      <c r="H864" s="149">
        <v>100</v>
      </c>
      <c r="I864" s="134">
        <v>100</v>
      </c>
      <c r="J864" s="134">
        <v>100</v>
      </c>
      <c r="K864" s="134">
        <v>100</v>
      </c>
      <c r="L864" s="134">
        <v>99.535863080549802</v>
      </c>
      <c r="M864" s="134">
        <v>80.920571600011101</v>
      </c>
      <c r="N864" s="134">
        <v>52.361261114203501</v>
      </c>
      <c r="O864" s="134">
        <v>35.177958105460696</v>
      </c>
      <c r="P864" s="134">
        <v>20.742205209966201</v>
      </c>
      <c r="Q864" s="134">
        <v>9.9446623024430405</v>
      </c>
      <c r="R864" s="134">
        <v>6.6012497172878204</v>
      </c>
      <c r="S864" s="138">
        <v>2.6789999999999998</v>
      </c>
      <c r="T864" s="138">
        <v>2.6789999999999998</v>
      </c>
      <c r="U864" s="138">
        <f>F864/S864*E861</f>
        <v>0</v>
      </c>
      <c r="V864" s="138">
        <f>F864/T864*E861</f>
        <v>0</v>
      </c>
      <c r="AA864" s="153"/>
      <c r="AE864" s="137"/>
      <c r="AF864" s="137"/>
    </row>
    <row r="865" spans="1:32" ht="14.4">
      <c r="A865" s="276"/>
      <c r="B865" s="276"/>
      <c r="C865" s="164" t="s">
        <v>99</v>
      </c>
      <c r="D865" s="168" t="s">
        <v>91</v>
      </c>
      <c r="E865" s="275"/>
      <c r="F865" s="129">
        <v>0.04</v>
      </c>
      <c r="G865" s="149">
        <v>100</v>
      </c>
      <c r="H865" s="149">
        <v>100</v>
      </c>
      <c r="I865" s="134">
        <v>100</v>
      </c>
      <c r="J865" s="134">
        <v>100</v>
      </c>
      <c r="K865" s="134">
        <v>100</v>
      </c>
      <c r="L865" s="134">
        <v>100</v>
      </c>
      <c r="M865" s="134">
        <v>100</v>
      </c>
      <c r="N865" s="134">
        <v>100</v>
      </c>
      <c r="O865" s="134">
        <v>100</v>
      </c>
      <c r="P865" s="134">
        <v>97.4</v>
      </c>
      <c r="Q865" s="134">
        <v>90.2</v>
      </c>
      <c r="R865" s="134">
        <v>78.2</v>
      </c>
      <c r="S865" s="138">
        <v>2.6789999999999998</v>
      </c>
      <c r="T865" s="138">
        <v>2.6789999999999998</v>
      </c>
      <c r="U865" s="138">
        <f>F865/S865*E861</f>
        <v>7.4654721911160899E-3</v>
      </c>
      <c r="V865" s="138">
        <f>F865/T865*E861</f>
        <v>7.4654721911160899E-3</v>
      </c>
      <c r="AA865" s="153"/>
      <c r="AE865" s="137"/>
      <c r="AF865" s="137"/>
    </row>
    <row r="866" spans="1:32">
      <c r="A866" s="276"/>
      <c r="B866" s="276"/>
      <c r="C866" s="159" t="s">
        <v>74</v>
      </c>
      <c r="D866" s="157" t="s">
        <v>111</v>
      </c>
      <c r="E866" s="276">
        <v>0.5</v>
      </c>
      <c r="F866" s="129">
        <v>1</v>
      </c>
      <c r="G866" s="149">
        <v>100</v>
      </c>
      <c r="H866" s="149">
        <v>100</v>
      </c>
      <c r="I866" s="175">
        <v>100</v>
      </c>
      <c r="J866" s="175">
        <v>98.485228335785195</v>
      </c>
      <c r="K866" s="175">
        <v>89.136849822306402</v>
      </c>
      <c r="L866" s="175">
        <v>45.158123478754099</v>
      </c>
      <c r="M866" s="175">
        <v>27.377295960003998</v>
      </c>
      <c r="N866" s="175">
        <v>19.784845785131601</v>
      </c>
      <c r="O866" s="175">
        <v>15.805131779280901</v>
      </c>
      <c r="P866" s="175">
        <v>11.8304038389502</v>
      </c>
      <c r="Q866" s="175">
        <v>9.2004542726004406</v>
      </c>
      <c r="R866" s="175">
        <v>8.0332743005289107</v>
      </c>
      <c r="S866" s="138">
        <v>2.72</v>
      </c>
      <c r="T866" s="138">
        <v>2.65</v>
      </c>
      <c r="U866" s="138">
        <f>F866/S866*E861</f>
        <v>0.183823529411765</v>
      </c>
      <c r="V866" s="138">
        <f>F866/T866*E861</f>
        <v>0.18867924528301899</v>
      </c>
      <c r="AA866" s="153"/>
      <c r="AE866" s="137">
        <v>3.4036234590959999</v>
      </c>
      <c r="AF866" s="137"/>
    </row>
    <row r="867" spans="1:32">
      <c r="A867" s="276"/>
      <c r="B867" s="276"/>
      <c r="C867" s="159" t="s">
        <v>76</v>
      </c>
      <c r="D867" s="134" t="s">
        <v>68</v>
      </c>
      <c r="E867" s="276"/>
      <c r="F867" s="129">
        <v>0</v>
      </c>
      <c r="G867" s="149">
        <v>100</v>
      </c>
      <c r="H867" s="149">
        <v>100</v>
      </c>
      <c r="I867" s="134">
        <v>100</v>
      </c>
      <c r="J867" s="134">
        <v>100</v>
      </c>
      <c r="K867" s="134">
        <v>99.710647366485802</v>
      </c>
      <c r="L867" s="134">
        <v>55.882452347225303</v>
      </c>
      <c r="M867" s="134">
        <v>36.017669425184501</v>
      </c>
      <c r="N867" s="134">
        <v>24.336439772360102</v>
      </c>
      <c r="O867" s="134">
        <v>18.424140758965201</v>
      </c>
      <c r="P867" s="134">
        <v>13.617932851214</v>
      </c>
      <c r="Q867" s="134">
        <v>10.1899401078556</v>
      </c>
      <c r="R867" s="134">
        <v>8.5631601182931991</v>
      </c>
      <c r="S867" s="138">
        <v>2.8519999999999999</v>
      </c>
      <c r="T867" s="138">
        <v>2.7229999999999999</v>
      </c>
      <c r="U867" s="138">
        <f>F867/S867*E861</f>
        <v>0</v>
      </c>
      <c r="V867" s="138">
        <f>F867/T867*E861</f>
        <v>0</v>
      </c>
      <c r="AA867" s="153"/>
      <c r="AE867" s="137"/>
      <c r="AF867" s="137"/>
    </row>
    <row r="868" spans="1:32">
      <c r="A868" s="276"/>
      <c r="B868" s="276"/>
      <c r="C868" s="159" t="s">
        <v>76</v>
      </c>
      <c r="D868" s="134" t="s">
        <v>65</v>
      </c>
      <c r="E868" s="276"/>
      <c r="F868" s="130">
        <v>0</v>
      </c>
      <c r="G868" s="149">
        <v>100</v>
      </c>
      <c r="H868" s="149">
        <v>100</v>
      </c>
      <c r="I868" s="134">
        <v>100</v>
      </c>
      <c r="J868" s="134">
        <v>100</v>
      </c>
      <c r="K868" s="134">
        <v>100</v>
      </c>
      <c r="L868" s="134">
        <v>96.773241575442697</v>
      </c>
      <c r="M868" s="134">
        <v>58.955499795773399</v>
      </c>
      <c r="N868" s="134">
        <v>32.060997642496702</v>
      </c>
      <c r="O868" s="134">
        <v>23.467347478352799</v>
      </c>
      <c r="P868" s="134">
        <v>17.429766402104299</v>
      </c>
      <c r="Q868" s="134">
        <v>13.4674110343355</v>
      </c>
      <c r="R868" s="134">
        <v>11.5498931412078</v>
      </c>
      <c r="S868" s="138">
        <v>2.8290000000000002</v>
      </c>
      <c r="T868" s="138">
        <v>2.7650000000000001</v>
      </c>
      <c r="U868" s="138">
        <f>F868/S868*E866</f>
        <v>0</v>
      </c>
      <c r="V868" s="138">
        <f>F868/T868*E866</f>
        <v>0</v>
      </c>
      <c r="AA868" s="153"/>
      <c r="AE868" s="137"/>
      <c r="AF868" s="137"/>
    </row>
    <row r="869" spans="1:32">
      <c r="A869" s="276"/>
      <c r="B869" s="276"/>
      <c r="C869" s="159" t="s">
        <v>76</v>
      </c>
      <c r="D869" s="168" t="s">
        <v>97</v>
      </c>
      <c r="E869" s="276"/>
      <c r="F869" s="130">
        <v>0</v>
      </c>
      <c r="G869" s="149">
        <v>100</v>
      </c>
      <c r="H869" s="149">
        <v>100</v>
      </c>
      <c r="I869" s="149">
        <v>100</v>
      </c>
      <c r="J869" s="149">
        <v>99.709455890121504</v>
      </c>
      <c r="K869" s="149">
        <v>93.611005421295204</v>
      </c>
      <c r="L869" s="149">
        <v>62.883664943704403</v>
      </c>
      <c r="M869" s="149">
        <v>41.736211500847702</v>
      </c>
      <c r="N869" s="149">
        <v>29.275015875296301</v>
      </c>
      <c r="O869" s="149">
        <v>22.374005580422299</v>
      </c>
      <c r="P869" s="149">
        <v>14.3321095762082</v>
      </c>
      <c r="Q869" s="149">
        <v>9.6170951500159596</v>
      </c>
      <c r="R869" s="149">
        <v>6.5264817525129803</v>
      </c>
      <c r="S869" s="138">
        <v>2.76</v>
      </c>
      <c r="T869" s="138">
        <v>2.7</v>
      </c>
      <c r="U869" s="138">
        <f>F869/S869*E866</f>
        <v>0</v>
      </c>
      <c r="V869" s="138">
        <f>F869/T869*E866</f>
        <v>0</v>
      </c>
      <c r="AA869" s="153"/>
      <c r="AE869" s="137"/>
      <c r="AF869" s="137"/>
    </row>
    <row r="870" spans="1:32" ht="14.4">
      <c r="A870" s="276"/>
      <c r="B870" s="276"/>
      <c r="C870"/>
      <c r="F870" s="129" t="s">
        <v>240</v>
      </c>
      <c r="G870" s="170">
        <f>$E$29*($F$29*G861+$F$30*G862+$F$31*G863+$F$32*G864+$F$33*G865+$F$34*G866+$F$35*G867)+$E$36*($F$36*G868+$F$37*G869)</f>
        <v>100</v>
      </c>
      <c r="H870" s="170">
        <f>E861*(F861*H861+F862*H862+F863*H863+F864*H864+F865*H865)+E866*(F868*H868+F869*H869+F866*H866+F867*H867)</f>
        <v>100</v>
      </c>
      <c r="I870" s="170">
        <f>E861*(F861*I861+F862*I862+F863*I863+F864*I864+F865*I865)+E866*(F868*I868+F869*I869+F866*I866+F867*I867)</f>
        <v>100</v>
      </c>
      <c r="J870" s="170">
        <f>E861*(F861*J861+F862*J862+F863*J863+F864*J864+F865*J865)+E866*(F868*J868+F869*J869+F866*J866+F867*J867)</f>
        <v>97.530071455689594</v>
      </c>
      <c r="K870" s="170">
        <f>E861*(F861*K861+F862*K862+F863*K863+F864*K864+F865*K865)+E866*(F868*K868+F869*K869+F866*K866+F867*K867)</f>
        <v>78.115266276757794</v>
      </c>
      <c r="L870" s="170">
        <f>E861*(F861*L861+F862*L862+F863*L863+F864*L864+F865*L865)+E866*(F868*L868+F869*L869+F866*L866+F867*L867)</f>
        <v>39.670856732083401</v>
      </c>
      <c r="M870" s="170">
        <f>E861*(F861*M861+F862*M862+F863*M863+F864*M864+F865*M865)+E866*(F868*M868+F869*M869+F866*M866+F867*M867)</f>
        <v>27.498842972708299</v>
      </c>
      <c r="N870" s="170">
        <f>E861*(F861*N861+F862*N862+F863*N863+F864*N864+F865*N865)+E866*(F868*N868+F869*N869+F866*N866+F867*N867)</f>
        <v>19.964617885272101</v>
      </c>
      <c r="O870" s="170">
        <f>E861*(F861*O861+F862*O862+F863*O863+F864*O864+F865*O865)+E866*(F868*O868+F869*O869+F866*O866+F867*O867)</f>
        <v>15.6087608823468</v>
      </c>
      <c r="P870" s="170">
        <f>E861*(F861*P861+F862*P862+F863*P863+F864*P864+F865*P865)+E866*(F868*P868+F869*P869+F866*P866+F867*P867)</f>
        <v>10.8673969121814</v>
      </c>
      <c r="Q870" s="170">
        <f>E861*(F861*Q861+F862*Q862+F863*Q863+F864*Q864+F865*Q865)+E866*(F868*Q868+F869*Q869+F866*Q866+F867*Q867)</f>
        <v>8.0504221290065292</v>
      </c>
      <c r="R870" s="170">
        <f>E861*(F861*R861+F862*R862+F863*R863+F864*R864+F865*R865)+E866*(F868*R868+F869*R869+F866*R866+F867*R867)</f>
        <v>6.8348321429707601</v>
      </c>
      <c r="AA870" s="153"/>
      <c r="AE870" s="137"/>
      <c r="AF870" s="137"/>
    </row>
    <row r="871" spans="1:32" ht="14.4">
      <c r="A871" s="276"/>
      <c r="B871" s="276"/>
      <c r="C871"/>
      <c r="F871" s="129" t="s">
        <v>241</v>
      </c>
      <c r="G871" s="149">
        <v>100</v>
      </c>
      <c r="H871" s="149">
        <v>100</v>
      </c>
      <c r="I871" s="129">
        <v>100</v>
      </c>
      <c r="J871" s="129">
        <v>100</v>
      </c>
      <c r="K871" s="129">
        <v>85</v>
      </c>
      <c r="L871" s="129">
        <v>68</v>
      </c>
      <c r="M871" s="129">
        <v>50</v>
      </c>
      <c r="N871" s="129">
        <v>38</v>
      </c>
      <c r="O871" s="129">
        <v>28</v>
      </c>
      <c r="P871" s="129">
        <v>20</v>
      </c>
      <c r="Q871" s="129">
        <v>15</v>
      </c>
      <c r="R871" s="129">
        <v>8</v>
      </c>
      <c r="AA871" s="153"/>
      <c r="AE871" s="137"/>
      <c r="AF871" s="137"/>
    </row>
    <row r="872" spans="1:32" ht="14.4">
      <c r="A872" s="276"/>
      <c r="B872" s="276"/>
      <c r="C872"/>
      <c r="F872" s="129" t="s">
        <v>242</v>
      </c>
      <c r="G872" s="149">
        <f t="shared" ref="G872" si="138">(G871+G873)/2</f>
        <v>100</v>
      </c>
      <c r="H872" s="149">
        <v>100</v>
      </c>
      <c r="I872" s="129">
        <v>100</v>
      </c>
      <c r="J872" s="129">
        <f t="shared" ref="J872:R872" si="139">(J871+J873)/2</f>
        <v>95</v>
      </c>
      <c r="K872" s="129">
        <f t="shared" si="139"/>
        <v>76.5</v>
      </c>
      <c r="L872" s="129">
        <f t="shared" si="139"/>
        <v>53</v>
      </c>
      <c r="M872" s="129">
        <f t="shared" si="139"/>
        <v>37</v>
      </c>
      <c r="N872" s="129">
        <f t="shared" si="139"/>
        <v>26.5</v>
      </c>
      <c r="O872" s="129">
        <f t="shared" si="139"/>
        <v>19</v>
      </c>
      <c r="P872" s="129">
        <f t="shared" si="139"/>
        <v>13.5</v>
      </c>
      <c r="Q872" s="129">
        <f t="shared" si="139"/>
        <v>10</v>
      </c>
      <c r="R872" s="129">
        <f t="shared" si="139"/>
        <v>6</v>
      </c>
      <c r="AA872" s="153"/>
      <c r="AE872" s="137"/>
      <c r="AF872" s="137"/>
    </row>
    <row r="873" spans="1:32" ht="14.4">
      <c r="A873" s="276"/>
      <c r="B873" s="276"/>
      <c r="C873"/>
      <c r="F873" s="129" t="s">
        <v>243</v>
      </c>
      <c r="G873" s="149">
        <v>100</v>
      </c>
      <c r="H873" s="149">
        <v>100</v>
      </c>
      <c r="I873" s="129">
        <v>100</v>
      </c>
      <c r="J873" s="129">
        <v>90</v>
      </c>
      <c r="K873" s="129">
        <v>68</v>
      </c>
      <c r="L873" s="129">
        <v>38</v>
      </c>
      <c r="M873" s="129">
        <v>24</v>
      </c>
      <c r="N873" s="129">
        <v>15</v>
      </c>
      <c r="O873" s="129">
        <v>10</v>
      </c>
      <c r="P873" s="129">
        <v>7</v>
      </c>
      <c r="Q873" s="129">
        <v>5</v>
      </c>
      <c r="R873" s="129">
        <v>4</v>
      </c>
      <c r="AA873" s="153"/>
      <c r="AE873" s="137"/>
      <c r="AF873" s="137"/>
    </row>
    <row r="874" spans="1:32" s="227" customFormat="1" ht="13.8" customHeight="1">
      <c r="A874" s="279" t="s">
        <v>149</v>
      </c>
      <c r="B874" s="279" t="s">
        <v>218</v>
      </c>
      <c r="C874" s="157" t="s">
        <v>61</v>
      </c>
      <c r="D874" s="157" t="s">
        <v>79</v>
      </c>
      <c r="E874" s="157">
        <v>0.3</v>
      </c>
      <c r="F874" s="157">
        <v>0.5</v>
      </c>
      <c r="G874" s="149">
        <v>100</v>
      </c>
      <c r="H874" s="149">
        <v>100</v>
      </c>
      <c r="I874" s="149">
        <v>97.910062671435497</v>
      </c>
      <c r="J874" s="149">
        <v>92.811281753460705</v>
      </c>
      <c r="K874" s="149">
        <v>31.347675648747099</v>
      </c>
      <c r="L874" s="149">
        <v>1.2751112933220199</v>
      </c>
      <c r="M874" s="149">
        <v>1.13588647466486</v>
      </c>
      <c r="N874" s="149">
        <v>1.1233921735592101</v>
      </c>
      <c r="O874" s="149">
        <v>1.1171450230064</v>
      </c>
      <c r="P874" s="149">
        <v>1.10669805627139</v>
      </c>
      <c r="Q874" s="149">
        <v>1.0584527438967899</v>
      </c>
      <c r="R874" s="149">
        <v>0.96096625918571699</v>
      </c>
      <c r="S874" s="138">
        <v>2.73</v>
      </c>
      <c r="T874" s="138">
        <v>2.6880000000000002</v>
      </c>
      <c r="U874" s="138">
        <f>F874/S874*E874</f>
        <v>5.4945054945054937E-2</v>
      </c>
      <c r="V874" s="138">
        <f>F874/T874*E874</f>
        <v>5.5803571428571418E-2</v>
      </c>
      <c r="W874" s="157">
        <v>2.76</v>
      </c>
      <c r="X874" s="157">
        <v>0.4</v>
      </c>
      <c r="Y874" s="157">
        <f>0.033*X874*X874-0.2936*X874+0.9336</f>
        <v>0.82143999999999995</v>
      </c>
      <c r="Z874" s="157">
        <f>0.033*Y874*Y874-0.2936*Y874+0.9336</f>
        <v>0.71469241722879995</v>
      </c>
      <c r="AA874" s="157">
        <v>2.61</v>
      </c>
      <c r="AB874" s="157">
        <v>2.69</v>
      </c>
      <c r="AC874" s="157">
        <v>4.8</v>
      </c>
      <c r="AD874" s="138">
        <f>100*AC874/(100+AC874)</f>
        <v>4.5801526717557257</v>
      </c>
      <c r="AE874" s="138"/>
      <c r="AF874" s="138">
        <f>AC874-E879*F879*AE879-E879*F880*AE880-E879*F881*AE881</f>
        <v>2.0691586633204464</v>
      </c>
    </row>
    <row r="875" spans="1:32" s="227" customFormat="1" ht="13.8" customHeight="1">
      <c r="A875" s="279"/>
      <c r="B875" s="279"/>
      <c r="C875" s="157" t="s">
        <v>61</v>
      </c>
      <c r="D875" s="157" t="s">
        <v>63</v>
      </c>
      <c r="E875" s="157"/>
      <c r="F875" s="157">
        <v>0.34</v>
      </c>
      <c r="G875" s="149">
        <v>100</v>
      </c>
      <c r="H875" s="149">
        <v>100</v>
      </c>
      <c r="I875" s="149">
        <v>100</v>
      </c>
      <c r="J875" s="149">
        <v>100</v>
      </c>
      <c r="K875" s="149">
        <v>99.408330508548204</v>
      </c>
      <c r="L875" s="149">
        <v>15.1959704926751</v>
      </c>
      <c r="M875" s="149">
        <v>3.20145736434137</v>
      </c>
      <c r="N875" s="149">
        <v>3.0861191274530002</v>
      </c>
      <c r="O875" s="149">
        <v>3.0285271369059901</v>
      </c>
      <c r="P875" s="149">
        <v>2.9737966260340198</v>
      </c>
      <c r="Q875" s="149">
        <v>2.77605411124902</v>
      </c>
      <c r="R875" s="149">
        <v>2.5585203699101302</v>
      </c>
      <c r="S875" s="138">
        <v>2.7080000000000002</v>
      </c>
      <c r="T875" s="138">
        <v>2.681</v>
      </c>
      <c r="U875" s="138">
        <f>F875/S875*E874</f>
        <v>3.7666174298375189E-2</v>
      </c>
      <c r="V875" s="138">
        <f>F875/T875*E874</f>
        <v>3.8045505408429686E-2</v>
      </c>
      <c r="W875" s="157"/>
      <c r="X875" s="157"/>
      <c r="Y875" s="157"/>
      <c r="Z875" s="157"/>
      <c r="AA875" s="157"/>
      <c r="AB875" s="157"/>
      <c r="AC875" s="157"/>
      <c r="AD875" s="138"/>
      <c r="AE875" s="138"/>
      <c r="AF875" s="138"/>
    </row>
    <row r="876" spans="1:32" s="227" customFormat="1">
      <c r="A876" s="279"/>
      <c r="B876" s="279"/>
      <c r="C876" s="157" t="s">
        <v>82</v>
      </c>
      <c r="D876" s="157" t="s">
        <v>65</v>
      </c>
      <c r="E876" s="157"/>
      <c r="F876" s="157">
        <v>0.16</v>
      </c>
      <c r="G876" s="149">
        <v>100</v>
      </c>
      <c r="H876" s="149">
        <v>100</v>
      </c>
      <c r="I876" s="149">
        <v>100</v>
      </c>
      <c r="J876" s="149">
        <v>100</v>
      </c>
      <c r="K876" s="149">
        <v>100</v>
      </c>
      <c r="L876" s="149">
        <v>99.9</v>
      </c>
      <c r="M876" s="149">
        <v>83.5</v>
      </c>
      <c r="N876" s="149">
        <v>56.8</v>
      </c>
      <c r="O876" s="149">
        <v>39.9</v>
      </c>
      <c r="P876" s="149">
        <v>20.6</v>
      </c>
      <c r="Q876" s="149">
        <v>10.9</v>
      </c>
      <c r="R876" s="149">
        <v>8.1</v>
      </c>
      <c r="S876" s="138">
        <v>2.7730000000000001</v>
      </c>
      <c r="T876" s="138">
        <v>2.629</v>
      </c>
      <c r="U876" s="138">
        <f>F876/S876*E874</f>
        <v>1.7309772809231877E-2</v>
      </c>
      <c r="V876" s="138">
        <f>F876/T876*E874</f>
        <v>1.8257892734880182E-2</v>
      </c>
      <c r="W876" s="157"/>
      <c r="X876" s="157"/>
      <c r="Y876" s="157"/>
      <c r="Z876" s="157"/>
      <c r="AA876" s="157"/>
      <c r="AB876" s="157"/>
      <c r="AC876" s="157"/>
      <c r="AD876" s="138"/>
      <c r="AE876" s="138"/>
      <c r="AF876" s="138"/>
    </row>
    <row r="877" spans="1:32" s="227" customFormat="1">
      <c r="A877" s="279"/>
      <c r="B877" s="279"/>
      <c r="C877" s="157" t="s">
        <v>82</v>
      </c>
      <c r="D877" s="157" t="s">
        <v>71</v>
      </c>
      <c r="E877" s="157"/>
      <c r="F877" s="157">
        <v>0</v>
      </c>
      <c r="G877" s="149">
        <v>100</v>
      </c>
      <c r="H877" s="149">
        <v>100</v>
      </c>
      <c r="I877" s="149">
        <v>100</v>
      </c>
      <c r="J877" s="149">
        <v>100</v>
      </c>
      <c r="K877" s="149">
        <v>100</v>
      </c>
      <c r="L877" s="149">
        <v>99.535863080549802</v>
      </c>
      <c r="M877" s="149">
        <v>80.920571600011101</v>
      </c>
      <c r="N877" s="149">
        <v>52.361261114203501</v>
      </c>
      <c r="O877" s="149">
        <v>35.177958105460696</v>
      </c>
      <c r="P877" s="149">
        <v>20.742205209966201</v>
      </c>
      <c r="Q877" s="149">
        <v>9.9446623024430405</v>
      </c>
      <c r="R877" s="149">
        <v>6.6012497172878204</v>
      </c>
      <c r="S877" s="138">
        <v>2.6789999999999998</v>
      </c>
      <c r="T877" s="138">
        <v>2.6789999999999998</v>
      </c>
      <c r="U877" s="138">
        <f>F877/S877*E874</f>
        <v>0</v>
      </c>
      <c r="V877" s="138">
        <f>F877/T877*E874</f>
        <v>0</v>
      </c>
      <c r="W877" s="157"/>
      <c r="X877" s="157"/>
      <c r="Y877" s="157"/>
      <c r="Z877" s="157"/>
      <c r="AA877" s="157"/>
      <c r="AB877" s="157"/>
      <c r="AC877" s="157"/>
      <c r="AD877" s="138"/>
      <c r="AE877" s="138"/>
      <c r="AF877" s="138"/>
    </row>
    <row r="878" spans="1:32" s="227" customFormat="1">
      <c r="A878" s="279"/>
      <c r="B878" s="279"/>
      <c r="C878" s="157" t="s">
        <v>99</v>
      </c>
      <c r="D878" s="157" t="s">
        <v>91</v>
      </c>
      <c r="E878" s="157"/>
      <c r="F878" s="157">
        <v>0</v>
      </c>
      <c r="G878" s="149">
        <v>100</v>
      </c>
      <c r="H878" s="149">
        <v>100</v>
      </c>
      <c r="I878" s="149">
        <v>100</v>
      </c>
      <c r="J878" s="149">
        <v>100</v>
      </c>
      <c r="K878" s="149">
        <v>100</v>
      </c>
      <c r="L878" s="149">
        <v>100</v>
      </c>
      <c r="M878" s="149">
        <v>100</v>
      </c>
      <c r="N878" s="149">
        <v>100</v>
      </c>
      <c r="O878" s="149">
        <v>100</v>
      </c>
      <c r="P878" s="149">
        <v>97.4</v>
      </c>
      <c r="Q878" s="149">
        <v>90.2</v>
      </c>
      <c r="R878" s="149">
        <v>78.2</v>
      </c>
      <c r="S878" s="138">
        <v>2.6789999999999998</v>
      </c>
      <c r="T878" s="138">
        <v>2.6789999999999998</v>
      </c>
      <c r="U878" s="138">
        <f>F878/S878*E874</f>
        <v>0</v>
      </c>
      <c r="V878" s="138">
        <f>F878/T878*E874</f>
        <v>0</v>
      </c>
      <c r="W878" s="157"/>
      <c r="X878" s="157"/>
      <c r="Y878" s="157"/>
      <c r="Z878" s="157"/>
      <c r="AA878" s="157"/>
      <c r="AB878" s="157"/>
      <c r="AC878" s="157"/>
      <c r="AD878" s="138"/>
      <c r="AE878" s="138"/>
      <c r="AF878" s="138"/>
    </row>
    <row r="879" spans="1:32" s="227" customFormat="1">
      <c r="A879" s="279"/>
      <c r="B879" s="279"/>
      <c r="C879" s="157" t="s">
        <v>74</v>
      </c>
      <c r="D879" s="157" t="s">
        <v>79</v>
      </c>
      <c r="E879" s="157">
        <v>0.7</v>
      </c>
      <c r="F879" s="157">
        <v>0.64</v>
      </c>
      <c r="G879" s="149">
        <v>100</v>
      </c>
      <c r="H879" s="149">
        <v>100</v>
      </c>
      <c r="I879" s="149">
        <v>100</v>
      </c>
      <c r="J879" s="149">
        <v>98.698694029850699</v>
      </c>
      <c r="K879" s="149">
        <v>79.713643128586298</v>
      </c>
      <c r="L879" s="149">
        <v>34.513124111788898</v>
      </c>
      <c r="M879" s="149">
        <v>22.758990632413202</v>
      </c>
      <c r="N879" s="149">
        <v>16.17124513668</v>
      </c>
      <c r="O879" s="149">
        <v>12.8777385510698</v>
      </c>
      <c r="P879" s="149">
        <v>10.1535320482337</v>
      </c>
      <c r="Q879" s="149">
        <v>7.7018025118645097</v>
      </c>
      <c r="R879" s="149">
        <v>6.7349714162179604</v>
      </c>
      <c r="S879" s="138">
        <v>2.72</v>
      </c>
      <c r="T879" s="138">
        <v>2.65</v>
      </c>
      <c r="U879" s="138">
        <f>F879/S879*E874</f>
        <v>7.0588235294117646E-2</v>
      </c>
      <c r="V879" s="138">
        <f>F879/T879*E874</f>
        <v>7.2452830188679249E-2</v>
      </c>
      <c r="W879" s="157"/>
      <c r="X879" s="157"/>
      <c r="Y879" s="157"/>
      <c r="Z879" s="157"/>
      <c r="AA879" s="157"/>
      <c r="AB879" s="157"/>
      <c r="AC879" s="157"/>
      <c r="AD879" s="138"/>
      <c r="AE879" s="138">
        <v>3.0901202828023</v>
      </c>
      <c r="AF879" s="138"/>
    </row>
    <row r="880" spans="1:32" s="227" customFormat="1">
      <c r="A880" s="279"/>
      <c r="B880" s="279"/>
      <c r="C880" s="157" t="s">
        <v>76</v>
      </c>
      <c r="D880" s="157" t="s">
        <v>68</v>
      </c>
      <c r="E880" s="157"/>
      <c r="F880" s="157">
        <v>0.36</v>
      </c>
      <c r="G880" s="149">
        <v>100</v>
      </c>
      <c r="H880" s="149">
        <v>100</v>
      </c>
      <c r="I880" s="149">
        <v>100</v>
      </c>
      <c r="J880" s="149">
        <v>100</v>
      </c>
      <c r="K880" s="149">
        <v>99.661829819959706</v>
      </c>
      <c r="L880" s="149">
        <v>70.975708825701403</v>
      </c>
      <c r="M880" s="149">
        <v>48.711581232196302</v>
      </c>
      <c r="N880" s="149">
        <v>34.080713421505997</v>
      </c>
      <c r="O880" s="149">
        <v>27.020622444767501</v>
      </c>
      <c r="P880" s="149">
        <v>21.2048091175519</v>
      </c>
      <c r="Q880" s="149">
        <v>16.164381495156601</v>
      </c>
      <c r="R880" s="149">
        <v>14.2191289109103</v>
      </c>
      <c r="S880" s="138">
        <v>2.8519999999999999</v>
      </c>
      <c r="T880" s="138">
        <v>2.7229999999999999</v>
      </c>
      <c r="U880" s="138">
        <f>F880/S880*E874</f>
        <v>3.7868162692847124E-2</v>
      </c>
      <c r="V880" s="138">
        <f>F880/T880*E874</f>
        <v>3.966213734851267E-2</v>
      </c>
      <c r="W880" s="157"/>
      <c r="X880" s="157"/>
      <c r="Y880" s="157"/>
      <c r="Z880" s="157"/>
      <c r="AA880" s="157"/>
      <c r="AB880" s="157"/>
      <c r="AC880" s="157"/>
      <c r="AD880" s="157"/>
      <c r="AE880" s="138">
        <v>5.3431248015242998</v>
      </c>
      <c r="AF880" s="157"/>
    </row>
    <row r="881" spans="1:32" s="227" customFormat="1">
      <c r="A881" s="279"/>
      <c r="B881" s="279"/>
      <c r="C881" s="157" t="s">
        <v>76</v>
      </c>
      <c r="D881" s="157" t="s">
        <v>65</v>
      </c>
      <c r="E881" s="157"/>
      <c r="F881" s="157">
        <v>0</v>
      </c>
      <c r="G881" s="149">
        <v>100</v>
      </c>
      <c r="H881" s="149">
        <v>100</v>
      </c>
      <c r="I881" s="149">
        <v>100</v>
      </c>
      <c r="J881" s="149">
        <v>100</v>
      </c>
      <c r="K881" s="149">
        <v>100</v>
      </c>
      <c r="L881" s="149">
        <v>96.773241575442697</v>
      </c>
      <c r="M881" s="149">
        <v>58.955499795773399</v>
      </c>
      <c r="N881" s="149">
        <v>32.060997642496702</v>
      </c>
      <c r="O881" s="149">
        <v>23.467347478352799</v>
      </c>
      <c r="P881" s="149">
        <v>17.429766402104299</v>
      </c>
      <c r="Q881" s="149">
        <v>13.4674110343355</v>
      </c>
      <c r="R881" s="149">
        <v>11.5498931412078</v>
      </c>
      <c r="S881" s="138">
        <v>2.8290000000000002</v>
      </c>
      <c r="T881" s="138">
        <v>2.7650000000000001</v>
      </c>
      <c r="U881" s="138">
        <f>F881/S881*E879</f>
        <v>0</v>
      </c>
      <c r="V881" s="138">
        <f>F881/T881*E879</f>
        <v>0</v>
      </c>
      <c r="W881" s="157"/>
      <c r="X881" s="157"/>
      <c r="Y881" s="157"/>
      <c r="Z881" s="157"/>
      <c r="AA881" s="157"/>
      <c r="AB881" s="157"/>
      <c r="AC881" s="157"/>
      <c r="AD881" s="157"/>
      <c r="AE881" s="157"/>
      <c r="AF881" s="157"/>
    </row>
    <row r="882" spans="1:32" s="227" customFormat="1">
      <c r="A882" s="279"/>
      <c r="B882" s="279"/>
      <c r="C882" s="157" t="s">
        <v>76</v>
      </c>
      <c r="D882" s="157" t="s">
        <v>97</v>
      </c>
      <c r="E882" s="157"/>
      <c r="F882" s="157">
        <v>0</v>
      </c>
      <c r="G882" s="149">
        <v>100</v>
      </c>
      <c r="H882" s="149">
        <v>100</v>
      </c>
      <c r="I882" s="149">
        <v>100</v>
      </c>
      <c r="J882" s="149">
        <v>99.709455890121504</v>
      </c>
      <c r="K882" s="149">
        <v>93.611005421295204</v>
      </c>
      <c r="L882" s="149">
        <v>62.883664943704403</v>
      </c>
      <c r="M882" s="149">
        <v>41.736211500847702</v>
      </c>
      <c r="N882" s="149">
        <v>29.275015875296301</v>
      </c>
      <c r="O882" s="149">
        <v>22.374005580422299</v>
      </c>
      <c r="P882" s="149">
        <v>14.3321095762082</v>
      </c>
      <c r="Q882" s="149">
        <v>9.6170951500159596</v>
      </c>
      <c r="R882" s="149">
        <v>6.5264817525129803</v>
      </c>
      <c r="S882" s="138">
        <v>2.76</v>
      </c>
      <c r="T882" s="138">
        <v>2.7</v>
      </c>
      <c r="U882" s="157">
        <f>F882/S882*E879</f>
        <v>0</v>
      </c>
      <c r="V882" s="157">
        <f>F882/T882*E879</f>
        <v>0</v>
      </c>
      <c r="W882" s="157"/>
      <c r="X882" s="157"/>
      <c r="Y882" s="157"/>
      <c r="Z882" s="157"/>
      <c r="AA882" s="157"/>
      <c r="AB882" s="157"/>
      <c r="AC882" s="157"/>
      <c r="AD882" s="157"/>
      <c r="AE882" s="157"/>
      <c r="AF882" s="157"/>
    </row>
    <row r="883" spans="1:32" s="227" customFormat="1" ht="13.8" customHeight="1">
      <c r="A883" s="279"/>
      <c r="B883" s="279"/>
      <c r="C883" s="157"/>
      <c r="D883" s="157"/>
      <c r="E883" s="157"/>
      <c r="F883" s="157" t="s">
        <v>240</v>
      </c>
      <c r="G883" s="170">
        <f>$E$29*($F$29*G874+$F$30*G875+$F$31*G876+$F$32*G877+$F$33*G878+$F$34*G879+$F$35*G880)+$E$36*($F$36*G881+$F$37*G882)</f>
        <v>100</v>
      </c>
      <c r="H883" s="170">
        <f>E874*(F874*H874+F875*H875+F876*H876+F877*H877+F878*H878)+E879*(F881*H881+F882*H882+F879*H879+F880*H880)</f>
        <v>100</v>
      </c>
      <c r="I883" s="170">
        <f>E874*(F874*I874+F875*I875+F876*I876+F877*I877+F878*I878)+E879*(F881*I881+F882*I882+F879*I879+F880*I880)</f>
        <v>99.686509400715323</v>
      </c>
      <c r="J883" s="170">
        <f>E874*(F874*J874+F875*J875+F876*J876+F877*J877+F878*J878)+E879*(F881*J881+F882*J882+F879*J879+F880*J880)</f>
        <v>98.33870718839222</v>
      </c>
      <c r="K883" s="170">
        <f>E874*(F874*K874+F875*K875+F876*K876+F877*K877+F878*K878)+E879*(F881*K881+F882*K882+F879*K879+F880*K880)</f>
        <v>80.468294295420478</v>
      </c>
      <c r="L883" s="170">
        <f>E874*(F874*L874+F875*L875+F876*L876+F877*L877+F878*L878)+E879*(F881*L881+F882*L882+F879*L879+F880*L880)</f>
        <v>39.884213910409343</v>
      </c>
      <c r="M883" s="170">
        <f>E874*(F874*M874+F875*M875+F876*M876+F877*M877+F878*M878)+E879*(F881*M881+F882*M882+F879*M879+F880*M880)</f>
        <v>26.976277896197125</v>
      </c>
      <c r="N883" s="170">
        <f>E874*(F874*N874+F875*N875+F876*N876+F877*N877+F878*N878)+E879*(F881*N881+F882*N882+F879*N879+F880*N880)</f>
        <v>19.042750580486235</v>
      </c>
      <c r="O883" s="170">
        <f>E874*(F874*O874+F875*O875+F876*O876+F877*O877+F878*O878)+E879*(F881*O881+F882*O882+F879*O879+F880*O880)</f>
        <v>14.970105248376052</v>
      </c>
      <c r="P883" s="170">
        <f>E874*(F874*P874+F875*P875+F876*P876+F877*P877+F878*P878)+E879*(F881*P881+F882*P882+F879*P879+F880*P880)</f>
        <v>11.350526219527955</v>
      </c>
      <c r="Q883" s="170">
        <f>E874*(F874*Q874+F875*Q875+F876*Q876+F877*Q877+F878*Q878)+E879*(F881*Q881+F882*Q882+F879*Q879+F880*Q880)</f>
        <v>8.4889570930266824</v>
      </c>
      <c r="R883" s="170">
        <f>E874*(F874*R874+F875*R875+F876*R876+F877*R877+F878*R878)+E879*(F881*R881+F882*R882+F879*R879+F880*R880)</f>
        <v>7.3944016966237314</v>
      </c>
      <c r="S883" s="157"/>
      <c r="T883" s="157"/>
      <c r="U883" s="157"/>
      <c r="V883" s="157"/>
      <c r="W883" s="157"/>
      <c r="X883" s="157"/>
      <c r="Y883" s="157"/>
      <c r="Z883" s="157"/>
      <c r="AA883" s="157"/>
      <c r="AB883" s="157"/>
      <c r="AC883" s="157"/>
      <c r="AD883" s="157"/>
      <c r="AE883" s="157"/>
      <c r="AF883" s="157"/>
    </row>
    <row r="884" spans="1:32" s="227" customFormat="1" ht="13.8" customHeight="1">
      <c r="A884" s="279"/>
      <c r="B884" s="279"/>
      <c r="C884" s="157"/>
      <c r="D884" s="157"/>
      <c r="E884" s="157"/>
      <c r="F884" s="157" t="s">
        <v>241</v>
      </c>
      <c r="G884" s="157">
        <v>100</v>
      </c>
      <c r="H884" s="157">
        <v>100</v>
      </c>
      <c r="I884" s="157">
        <v>100</v>
      </c>
      <c r="J884" s="157">
        <v>100</v>
      </c>
      <c r="K884" s="157">
        <v>85</v>
      </c>
      <c r="L884" s="157">
        <v>68</v>
      </c>
      <c r="M884" s="157">
        <v>50</v>
      </c>
      <c r="N884" s="157">
        <v>38</v>
      </c>
      <c r="O884" s="157">
        <v>28</v>
      </c>
      <c r="P884" s="157">
        <v>20</v>
      </c>
      <c r="Q884" s="157">
        <v>15</v>
      </c>
      <c r="R884" s="157">
        <v>8</v>
      </c>
      <c r="S884" s="157"/>
      <c r="T884" s="157"/>
      <c r="U884" s="157"/>
      <c r="V884" s="157"/>
      <c r="W884" s="157"/>
      <c r="X884" s="157"/>
      <c r="Y884" s="157"/>
      <c r="Z884" s="157"/>
      <c r="AA884" s="157"/>
      <c r="AB884" s="157"/>
      <c r="AC884" s="157"/>
      <c r="AD884" s="157"/>
      <c r="AE884" s="157"/>
      <c r="AF884" s="157"/>
    </row>
    <row r="885" spans="1:32" s="227" customFormat="1" ht="13.8" customHeight="1">
      <c r="A885" s="279"/>
      <c r="B885" s="279"/>
      <c r="C885" s="157"/>
      <c r="D885" s="157"/>
      <c r="E885" s="157"/>
      <c r="F885" s="157" t="s">
        <v>242</v>
      </c>
      <c r="G885" s="157">
        <f t="shared" ref="G885" si="140">(G884+G886)/2</f>
        <v>100</v>
      </c>
      <c r="H885" s="157">
        <v>100</v>
      </c>
      <c r="I885" s="157">
        <v>100</v>
      </c>
      <c r="J885" s="157">
        <f t="shared" ref="J885:R885" si="141">(J884+J886)/2</f>
        <v>95</v>
      </c>
      <c r="K885" s="157">
        <f t="shared" si="141"/>
        <v>76.5</v>
      </c>
      <c r="L885" s="157">
        <f t="shared" si="141"/>
        <v>53</v>
      </c>
      <c r="M885" s="157">
        <f t="shared" si="141"/>
        <v>37</v>
      </c>
      <c r="N885" s="157">
        <f t="shared" si="141"/>
        <v>26.5</v>
      </c>
      <c r="O885" s="157">
        <f t="shared" si="141"/>
        <v>19</v>
      </c>
      <c r="P885" s="157">
        <f t="shared" si="141"/>
        <v>13.5</v>
      </c>
      <c r="Q885" s="157">
        <f t="shared" si="141"/>
        <v>10</v>
      </c>
      <c r="R885" s="157">
        <f t="shared" si="141"/>
        <v>6</v>
      </c>
      <c r="S885" s="157"/>
      <c r="T885" s="157"/>
      <c r="U885" s="157"/>
      <c r="V885" s="157"/>
      <c r="W885" s="157"/>
      <c r="X885" s="157"/>
      <c r="Y885" s="157"/>
      <c r="Z885" s="157"/>
      <c r="AA885" s="157"/>
      <c r="AB885" s="157"/>
      <c r="AC885" s="157"/>
      <c r="AD885" s="157"/>
      <c r="AE885" s="157"/>
      <c r="AF885" s="157"/>
    </row>
    <row r="886" spans="1:32" s="227" customFormat="1" ht="13.8" customHeight="1">
      <c r="A886" s="279"/>
      <c r="B886" s="279"/>
      <c r="C886" s="157"/>
      <c r="D886" s="157"/>
      <c r="E886" s="157"/>
      <c r="F886" s="157" t="s">
        <v>243</v>
      </c>
      <c r="G886" s="157">
        <v>100</v>
      </c>
      <c r="H886" s="157">
        <v>100</v>
      </c>
      <c r="I886" s="157">
        <v>100</v>
      </c>
      <c r="J886" s="157">
        <v>90</v>
      </c>
      <c r="K886" s="157">
        <v>68</v>
      </c>
      <c r="L886" s="157">
        <v>38</v>
      </c>
      <c r="M886" s="157">
        <v>24</v>
      </c>
      <c r="N886" s="157">
        <v>15</v>
      </c>
      <c r="O886" s="157">
        <v>10</v>
      </c>
      <c r="P886" s="157">
        <v>7</v>
      </c>
      <c r="Q886" s="157">
        <v>5</v>
      </c>
      <c r="R886" s="157">
        <v>4</v>
      </c>
      <c r="S886" s="157"/>
      <c r="T886" s="157"/>
      <c r="U886" s="157"/>
      <c r="V886" s="157"/>
      <c r="W886" s="157"/>
      <c r="X886" s="157"/>
      <c r="Y886" s="157"/>
      <c r="Z886" s="157"/>
      <c r="AA886" s="157"/>
      <c r="AB886" s="157"/>
      <c r="AC886" s="157"/>
      <c r="AD886" s="157"/>
      <c r="AE886" s="157"/>
      <c r="AF886" s="157"/>
    </row>
  </sheetData>
  <sheetProtection formatCells="0" insertHyperlinks="0" autoFilter="0"/>
  <autoFilter ref="A1:B886" xr:uid="{00000000-0009-0000-0000-000002000000}"/>
  <mergeCells count="294">
    <mergeCell ref="G1:R1"/>
    <mergeCell ref="AG2:AU2"/>
    <mergeCell ref="AI3:AU3"/>
    <mergeCell ref="A1:A2"/>
    <mergeCell ref="A3:A15"/>
    <mergeCell ref="A16:A28"/>
    <mergeCell ref="A29:A41"/>
    <mergeCell ref="A42:A54"/>
    <mergeCell ref="A55:A67"/>
    <mergeCell ref="B1:B2"/>
    <mergeCell ref="B3:B15"/>
    <mergeCell ref="B16:B28"/>
    <mergeCell ref="B29:B41"/>
    <mergeCell ref="B42:B54"/>
    <mergeCell ref="B55:B67"/>
    <mergeCell ref="C1:C2"/>
    <mergeCell ref="D1:D2"/>
    <mergeCell ref="E1:E2"/>
    <mergeCell ref="E3:E9"/>
    <mergeCell ref="E10:E11"/>
    <mergeCell ref="E16:E22"/>
    <mergeCell ref="E23:E24"/>
    <mergeCell ref="E29:E35"/>
    <mergeCell ref="E36:E37"/>
    <mergeCell ref="A68:A80"/>
    <mergeCell ref="A81:A93"/>
    <mergeCell ref="A94:A106"/>
    <mergeCell ref="A107:A119"/>
    <mergeCell ref="A120:A132"/>
    <mergeCell ref="A133:A145"/>
    <mergeCell ref="A146:A158"/>
    <mergeCell ref="A159:A171"/>
    <mergeCell ref="A172:A184"/>
    <mergeCell ref="A185:A197"/>
    <mergeCell ref="A198:A210"/>
    <mergeCell ref="A211:A223"/>
    <mergeCell ref="A224:A236"/>
    <mergeCell ref="A237:A249"/>
    <mergeCell ref="A250:A262"/>
    <mergeCell ref="A263:A275"/>
    <mergeCell ref="A276:A288"/>
    <mergeCell ref="A289:A301"/>
    <mergeCell ref="A302:A314"/>
    <mergeCell ref="A315:A327"/>
    <mergeCell ref="A328:A340"/>
    <mergeCell ref="A341:A353"/>
    <mergeCell ref="A354:A366"/>
    <mergeCell ref="A367:A379"/>
    <mergeCell ref="A380:A392"/>
    <mergeCell ref="A393:A405"/>
    <mergeCell ref="A406:A418"/>
    <mergeCell ref="A419:A431"/>
    <mergeCell ref="A432:A444"/>
    <mergeCell ref="A445:A457"/>
    <mergeCell ref="A458:A470"/>
    <mergeCell ref="A471:A483"/>
    <mergeCell ref="A484:A496"/>
    <mergeCell ref="A497:A509"/>
    <mergeCell ref="A510:A522"/>
    <mergeCell ref="A523:A535"/>
    <mergeCell ref="A536:A548"/>
    <mergeCell ref="A549:A561"/>
    <mergeCell ref="A562:A574"/>
    <mergeCell ref="A575:A587"/>
    <mergeCell ref="A588:A600"/>
    <mergeCell ref="A601:A613"/>
    <mergeCell ref="A614:A626"/>
    <mergeCell ref="A627:A639"/>
    <mergeCell ref="A640:A652"/>
    <mergeCell ref="A653:A665"/>
    <mergeCell ref="A666:A678"/>
    <mergeCell ref="A679:A691"/>
    <mergeCell ref="A692:A704"/>
    <mergeCell ref="A705:A717"/>
    <mergeCell ref="A718:A730"/>
    <mergeCell ref="A731:A743"/>
    <mergeCell ref="A744:A756"/>
    <mergeCell ref="A757:A769"/>
    <mergeCell ref="A770:A782"/>
    <mergeCell ref="A783:A795"/>
    <mergeCell ref="A796:A808"/>
    <mergeCell ref="A809:A821"/>
    <mergeCell ref="A822:A834"/>
    <mergeCell ref="A835:A847"/>
    <mergeCell ref="A848:A860"/>
    <mergeCell ref="A861:A873"/>
    <mergeCell ref="A874:A886"/>
    <mergeCell ref="B68:B80"/>
    <mergeCell ref="B81:B93"/>
    <mergeCell ref="B94:B106"/>
    <mergeCell ref="B107:B119"/>
    <mergeCell ref="B120:B132"/>
    <mergeCell ref="B133:B145"/>
    <mergeCell ref="B146:B158"/>
    <mergeCell ref="B159:B171"/>
    <mergeCell ref="B172:B184"/>
    <mergeCell ref="B185:B197"/>
    <mergeCell ref="B198:B210"/>
    <mergeCell ref="B211:B223"/>
    <mergeCell ref="B224:B236"/>
    <mergeCell ref="B237:B249"/>
    <mergeCell ref="B250:B262"/>
    <mergeCell ref="B263:B275"/>
    <mergeCell ref="B276:B288"/>
    <mergeCell ref="B289:B301"/>
    <mergeCell ref="B302:B314"/>
    <mergeCell ref="B315:B327"/>
    <mergeCell ref="B328:B340"/>
    <mergeCell ref="B341:B353"/>
    <mergeCell ref="B354:B366"/>
    <mergeCell ref="B367:B379"/>
    <mergeCell ref="B380:B392"/>
    <mergeCell ref="B393:B405"/>
    <mergeCell ref="B406:B418"/>
    <mergeCell ref="B419:B431"/>
    <mergeCell ref="B432:B444"/>
    <mergeCell ref="B445:B457"/>
    <mergeCell ref="B458:B470"/>
    <mergeCell ref="B471:B483"/>
    <mergeCell ref="B484:B496"/>
    <mergeCell ref="B497:B509"/>
    <mergeCell ref="B510:B522"/>
    <mergeCell ref="B523:B535"/>
    <mergeCell ref="B536:B548"/>
    <mergeCell ref="B549:B561"/>
    <mergeCell ref="B562:B574"/>
    <mergeCell ref="B575:B587"/>
    <mergeCell ref="B588:B600"/>
    <mergeCell ref="B601:B613"/>
    <mergeCell ref="B614:B626"/>
    <mergeCell ref="B627:B639"/>
    <mergeCell ref="B640:B652"/>
    <mergeCell ref="B653:B665"/>
    <mergeCell ref="B666:B678"/>
    <mergeCell ref="B679:B691"/>
    <mergeCell ref="B692:B704"/>
    <mergeCell ref="B705:B717"/>
    <mergeCell ref="B718:B730"/>
    <mergeCell ref="B731:B743"/>
    <mergeCell ref="B744:B756"/>
    <mergeCell ref="B757:B769"/>
    <mergeCell ref="B770:B782"/>
    <mergeCell ref="B783:B795"/>
    <mergeCell ref="B796:B808"/>
    <mergeCell ref="B809:B821"/>
    <mergeCell ref="B822:B834"/>
    <mergeCell ref="B835:B847"/>
    <mergeCell ref="B848:B860"/>
    <mergeCell ref="B861:B873"/>
    <mergeCell ref="B874:B886"/>
    <mergeCell ref="E42:E48"/>
    <mergeCell ref="E49:E50"/>
    <mergeCell ref="E55:E61"/>
    <mergeCell ref="E62:E63"/>
    <mergeCell ref="E68:E74"/>
    <mergeCell ref="E75:E76"/>
    <mergeCell ref="E81:E87"/>
    <mergeCell ref="E88:E89"/>
    <mergeCell ref="E94:E100"/>
    <mergeCell ref="E101:E102"/>
    <mergeCell ref="E107:E113"/>
    <mergeCell ref="E114:E115"/>
    <mergeCell ref="E120:E126"/>
    <mergeCell ref="E127:E128"/>
    <mergeCell ref="E133:E139"/>
    <mergeCell ref="E140:E141"/>
    <mergeCell ref="E146:E152"/>
    <mergeCell ref="E153:E154"/>
    <mergeCell ref="E159:E165"/>
    <mergeCell ref="E166:E167"/>
    <mergeCell ref="E172:E178"/>
    <mergeCell ref="E179:E180"/>
    <mergeCell ref="E185:E191"/>
    <mergeCell ref="E192:E193"/>
    <mergeCell ref="E198:E203"/>
    <mergeCell ref="E204:E206"/>
    <mergeCell ref="E211:E216"/>
    <mergeCell ref="E217:E219"/>
    <mergeCell ref="E224:E229"/>
    <mergeCell ref="E230:E232"/>
    <mergeCell ref="E237:E242"/>
    <mergeCell ref="E243:E245"/>
    <mergeCell ref="E250:E255"/>
    <mergeCell ref="E256:E258"/>
    <mergeCell ref="E263:E269"/>
    <mergeCell ref="E270:E271"/>
    <mergeCell ref="E276:E281"/>
    <mergeCell ref="E282:E284"/>
    <mergeCell ref="E289:E295"/>
    <mergeCell ref="E296:E297"/>
    <mergeCell ref="E302:E308"/>
    <mergeCell ref="E309:E310"/>
    <mergeCell ref="E315:E321"/>
    <mergeCell ref="E322:E323"/>
    <mergeCell ref="E328:E334"/>
    <mergeCell ref="E335:E336"/>
    <mergeCell ref="E341:E347"/>
    <mergeCell ref="E348:E349"/>
    <mergeCell ref="E354:E360"/>
    <mergeCell ref="E361:E362"/>
    <mergeCell ref="E367:E373"/>
    <mergeCell ref="E374:E375"/>
    <mergeCell ref="E380:E385"/>
    <mergeCell ref="E386:E388"/>
    <mergeCell ref="E393:E398"/>
    <mergeCell ref="E399:E401"/>
    <mergeCell ref="E406:E411"/>
    <mergeCell ref="E412:E414"/>
    <mergeCell ref="E419:E424"/>
    <mergeCell ref="E425:E427"/>
    <mergeCell ref="E432:E438"/>
    <mergeCell ref="E439:E440"/>
    <mergeCell ref="E445:E451"/>
    <mergeCell ref="E452:E453"/>
    <mergeCell ref="E458:E463"/>
    <mergeCell ref="E464:E466"/>
    <mergeCell ref="E471:E476"/>
    <mergeCell ref="E477:E479"/>
    <mergeCell ref="E484:E489"/>
    <mergeCell ref="E490:E492"/>
    <mergeCell ref="E497:E503"/>
    <mergeCell ref="E504:E505"/>
    <mergeCell ref="E510:E516"/>
    <mergeCell ref="E517:E518"/>
    <mergeCell ref="E523:E529"/>
    <mergeCell ref="E530:E531"/>
    <mergeCell ref="E536:E542"/>
    <mergeCell ref="E543:E544"/>
    <mergeCell ref="E549:E555"/>
    <mergeCell ref="E556:E557"/>
    <mergeCell ref="E562:E568"/>
    <mergeCell ref="E569:E570"/>
    <mergeCell ref="E575:E581"/>
    <mergeCell ref="E582:E583"/>
    <mergeCell ref="E588:E594"/>
    <mergeCell ref="E595:E596"/>
    <mergeCell ref="E601:E605"/>
    <mergeCell ref="E606:E609"/>
    <mergeCell ref="E614:E618"/>
    <mergeCell ref="E619:E622"/>
    <mergeCell ref="E627:E631"/>
    <mergeCell ref="E632:E635"/>
    <mergeCell ref="E640:E644"/>
    <mergeCell ref="E645:E648"/>
    <mergeCell ref="E653:E657"/>
    <mergeCell ref="E658:E661"/>
    <mergeCell ref="E666:E670"/>
    <mergeCell ref="E671:E674"/>
    <mergeCell ref="E679:E683"/>
    <mergeCell ref="E796:E800"/>
    <mergeCell ref="E684:E687"/>
    <mergeCell ref="E692:E696"/>
    <mergeCell ref="E697:E700"/>
    <mergeCell ref="E705:E709"/>
    <mergeCell ref="E710:E713"/>
    <mergeCell ref="E718:E722"/>
    <mergeCell ref="E723:E726"/>
    <mergeCell ref="E731:E735"/>
    <mergeCell ref="E736:E739"/>
    <mergeCell ref="E861:E865"/>
    <mergeCell ref="E866:E869"/>
    <mergeCell ref="F1:F2"/>
    <mergeCell ref="S1:S2"/>
    <mergeCell ref="T1:T2"/>
    <mergeCell ref="W1:W2"/>
    <mergeCell ref="X1:X2"/>
    <mergeCell ref="E801:E804"/>
    <mergeCell ref="E809:E813"/>
    <mergeCell ref="E814:E817"/>
    <mergeCell ref="E822:E826"/>
    <mergeCell ref="E827:E830"/>
    <mergeCell ref="E835:E839"/>
    <mergeCell ref="E840:E843"/>
    <mergeCell ref="E848:E852"/>
    <mergeCell ref="E853:E856"/>
    <mergeCell ref="E744:E748"/>
    <mergeCell ref="E749:E752"/>
    <mergeCell ref="E757:E761"/>
    <mergeCell ref="E762:E765"/>
    <mergeCell ref="E770:E774"/>
    <mergeCell ref="E775:E778"/>
    <mergeCell ref="E783:E787"/>
    <mergeCell ref="E788:E791"/>
    <mergeCell ref="AG8:AG9"/>
    <mergeCell ref="AG3:AH4"/>
    <mergeCell ref="Y1:Y2"/>
    <mergeCell ref="Z1:Z2"/>
    <mergeCell ref="AA1:AA2"/>
    <mergeCell ref="AB1:AB2"/>
    <mergeCell ref="AC1:AC2"/>
    <mergeCell ref="AD1:AD2"/>
    <mergeCell ref="AE1:AE2"/>
    <mergeCell ref="AF1:AF2"/>
    <mergeCell ref="AG6:AG7"/>
  </mergeCells>
  <phoneticPr fontId="34" type="noConversion"/>
  <conditionalFormatting sqref="H12">
    <cfRule type="colorScale" priority="330">
      <colorScale>
        <cfvo type="num" val="$H$41"/>
        <cfvo type="num" val="$H$40"/>
        <cfvo type="num" val="$H$39"/>
        <color rgb="FF0070C0"/>
        <color rgb="FF00B050"/>
        <color rgb="FFFF0000"/>
      </colorScale>
    </cfRule>
  </conditionalFormatting>
  <conditionalFormatting sqref="H25">
    <cfRule type="colorScale" priority="319">
      <colorScale>
        <cfvo type="num" val="$H$41"/>
        <cfvo type="num" val="$H$40"/>
        <cfvo type="num" val="$H$39"/>
        <color rgb="FF0070C0"/>
        <color rgb="FF00B050"/>
        <color rgb="FFFF0000"/>
      </colorScale>
    </cfRule>
  </conditionalFormatting>
  <conditionalFormatting sqref="H38">
    <cfRule type="colorScale" priority="363">
      <colorScale>
        <cfvo type="num" val="$H$41"/>
        <cfvo type="num" val="$H$40"/>
        <cfvo type="num" val="$H$39"/>
        <color rgb="FF0070C0"/>
        <color rgb="FF00B050"/>
        <color rgb="FFFF0000"/>
      </colorScale>
    </cfRule>
  </conditionalFormatting>
  <conditionalFormatting sqref="H51">
    <cfRule type="colorScale" priority="352">
      <colorScale>
        <cfvo type="num" val="$H$41"/>
        <cfvo type="num" val="$H$40"/>
        <cfvo type="num" val="$H$39"/>
        <color rgb="FF0070C0"/>
        <color rgb="FF00B050"/>
        <color rgb="FFFF0000"/>
      </colorScale>
    </cfRule>
  </conditionalFormatting>
  <conditionalFormatting sqref="H64">
    <cfRule type="colorScale" priority="341">
      <colorScale>
        <cfvo type="num" val="$H$41"/>
        <cfvo type="num" val="$H$40"/>
        <cfvo type="num" val="$H$39"/>
        <color rgb="FF0070C0"/>
        <color rgb="FF00B050"/>
        <color rgb="FFFF0000"/>
      </colorScale>
    </cfRule>
  </conditionalFormatting>
  <conditionalFormatting sqref="H77">
    <cfRule type="colorScale" priority="308">
      <colorScale>
        <cfvo type="num" val="$H$41"/>
        <cfvo type="num" val="$H$40"/>
        <cfvo type="num" val="$H$39"/>
        <color rgb="FF0070C0"/>
        <color rgb="FF00B050"/>
        <color rgb="FFFF0000"/>
      </colorScale>
    </cfRule>
  </conditionalFormatting>
  <conditionalFormatting sqref="H90">
    <cfRule type="colorScale" priority="297">
      <colorScale>
        <cfvo type="num" val="$H$41"/>
        <cfvo type="num" val="$H$40"/>
        <cfvo type="num" val="$H$39"/>
        <color rgb="FF0070C0"/>
        <color rgb="FF00B050"/>
        <color rgb="FFFF0000"/>
      </colorScale>
    </cfRule>
  </conditionalFormatting>
  <conditionalFormatting sqref="H103">
    <cfRule type="colorScale" priority="286">
      <colorScale>
        <cfvo type="num" val="$H$41"/>
        <cfvo type="num" val="$H$40"/>
        <cfvo type="num" val="$H$39"/>
        <color rgb="FF0070C0"/>
        <color rgb="FF00B050"/>
        <color rgb="FFFF0000"/>
      </colorScale>
    </cfRule>
  </conditionalFormatting>
  <conditionalFormatting sqref="H116">
    <cfRule type="colorScale" priority="275">
      <colorScale>
        <cfvo type="num" val="$H$41"/>
        <cfvo type="num" val="$H$40"/>
        <cfvo type="num" val="$H$39"/>
        <color rgb="FF0070C0"/>
        <color rgb="FF00B050"/>
        <color rgb="FFFF0000"/>
      </colorScale>
    </cfRule>
  </conditionalFormatting>
  <conditionalFormatting sqref="H129">
    <cfRule type="colorScale" priority="264">
      <colorScale>
        <cfvo type="num" val="$H$41"/>
        <cfvo type="num" val="$H$40"/>
        <cfvo type="num" val="$H$39"/>
        <color rgb="FF0070C0"/>
        <color rgb="FF00B050"/>
        <color rgb="FFFF0000"/>
      </colorScale>
    </cfRule>
  </conditionalFormatting>
  <conditionalFormatting sqref="H142">
    <cfRule type="colorScale" priority="253">
      <colorScale>
        <cfvo type="num" val="$H$41"/>
        <cfvo type="num" val="$H$40"/>
        <cfvo type="num" val="$H$39"/>
        <color rgb="FF0070C0"/>
        <color rgb="FF00B050"/>
        <color rgb="FFFF0000"/>
      </colorScale>
    </cfRule>
  </conditionalFormatting>
  <conditionalFormatting sqref="H207">
    <cfRule type="colorScale" priority="22">
      <colorScale>
        <cfvo type="num" val="$H$41"/>
        <cfvo type="num" val="$H$40"/>
        <cfvo type="num" val="$H$39"/>
        <color rgb="FF0070C0"/>
        <color rgb="FF00B050"/>
        <color rgb="FFFF0000"/>
      </colorScale>
    </cfRule>
  </conditionalFormatting>
  <conditionalFormatting sqref="H220">
    <cfRule type="colorScale" priority="33">
      <colorScale>
        <cfvo type="num" val="$H$41"/>
        <cfvo type="num" val="$H$40"/>
        <cfvo type="num" val="$H$39"/>
        <color rgb="FF0070C0"/>
        <color rgb="FF00B050"/>
        <color rgb="FFFF0000"/>
      </colorScale>
    </cfRule>
  </conditionalFormatting>
  <conditionalFormatting sqref="H285">
    <cfRule type="colorScale" priority="44">
      <colorScale>
        <cfvo type="num" val="$H$41"/>
        <cfvo type="num" val="$H$40"/>
        <cfvo type="num" val="$H$39"/>
        <color rgb="FF0070C0"/>
        <color rgb="FF00B050"/>
        <color rgb="FFFF0000"/>
      </colorScale>
    </cfRule>
  </conditionalFormatting>
  <conditionalFormatting sqref="H389">
    <cfRule type="colorScale" priority="55">
      <colorScale>
        <cfvo type="num" val="$H$41"/>
        <cfvo type="num" val="$H$40"/>
        <cfvo type="num" val="$H$39"/>
        <color rgb="FF0070C0"/>
        <color rgb="FF00B050"/>
        <color rgb="FFFF0000"/>
      </colorScale>
    </cfRule>
  </conditionalFormatting>
  <conditionalFormatting sqref="H402">
    <cfRule type="colorScale" priority="88">
      <colorScale>
        <cfvo type="num" val="$H$41"/>
        <cfvo type="num" val="$H$40"/>
        <cfvo type="num" val="$H$39"/>
        <color rgb="FF0070C0"/>
        <color rgb="FF00B050"/>
        <color rgb="FFFF0000"/>
      </colorScale>
    </cfRule>
  </conditionalFormatting>
  <conditionalFormatting sqref="H415">
    <cfRule type="colorScale" priority="99">
      <colorScale>
        <cfvo type="num" val="$H$41"/>
        <cfvo type="num" val="$H$40"/>
        <cfvo type="num" val="$H$39"/>
        <color rgb="FF0070C0"/>
        <color rgb="FF00B050"/>
        <color rgb="FFFF0000"/>
      </colorScale>
    </cfRule>
  </conditionalFormatting>
  <conditionalFormatting sqref="H428">
    <cfRule type="colorScale" priority="110">
      <colorScale>
        <cfvo type="num" val="$H$41"/>
        <cfvo type="num" val="$H$40"/>
        <cfvo type="num" val="$H$39"/>
        <color rgb="FF0070C0"/>
        <color rgb="FF00B050"/>
        <color rgb="FFFF0000"/>
      </colorScale>
    </cfRule>
  </conditionalFormatting>
  <conditionalFormatting sqref="H467">
    <cfRule type="colorScale" priority="11">
      <colorScale>
        <cfvo type="num" val="$H$41"/>
        <cfvo type="num" val="$H$40"/>
        <cfvo type="num" val="$H$39"/>
        <color rgb="FF0070C0"/>
        <color rgb="FF00B050"/>
        <color rgb="FFFF0000"/>
      </colorScale>
    </cfRule>
  </conditionalFormatting>
  <conditionalFormatting sqref="H480">
    <cfRule type="colorScale" priority="154">
      <colorScale>
        <cfvo type="num" val="$H$41"/>
        <cfvo type="num" val="$H$40"/>
        <cfvo type="num" val="$H$39"/>
        <color rgb="FF0070C0"/>
        <color rgb="FF00B050"/>
        <color rgb="FFFF0000"/>
      </colorScale>
    </cfRule>
  </conditionalFormatting>
  <conditionalFormatting sqref="H493">
    <cfRule type="colorScale" priority="132">
      <colorScale>
        <cfvo type="num" val="$H$41"/>
        <cfvo type="num" val="$H$40"/>
        <cfvo type="num" val="$H$39"/>
        <color rgb="FF0070C0"/>
        <color rgb="FF00B050"/>
        <color rgb="FFFF0000"/>
      </colorScale>
    </cfRule>
  </conditionalFormatting>
  <conditionalFormatting sqref="I12">
    <cfRule type="colorScale" priority="329">
      <colorScale>
        <cfvo type="num" val="$I$41"/>
        <cfvo type="num" val="$I$40"/>
        <cfvo type="num" val="$I$39"/>
        <color theme="8"/>
        <color rgb="FF00B050"/>
        <color rgb="FFFF0000"/>
      </colorScale>
    </cfRule>
  </conditionalFormatting>
  <conditionalFormatting sqref="I25">
    <cfRule type="colorScale" priority="318">
      <colorScale>
        <cfvo type="num" val="$I$41"/>
        <cfvo type="num" val="$I$40"/>
        <cfvo type="num" val="$I$39"/>
        <color theme="8"/>
        <color rgb="FF00B050"/>
        <color rgb="FFFF0000"/>
      </colorScale>
    </cfRule>
  </conditionalFormatting>
  <conditionalFormatting sqref="I38">
    <cfRule type="colorScale" priority="362">
      <colorScale>
        <cfvo type="num" val="$I$41"/>
        <cfvo type="num" val="$I$40"/>
        <cfvo type="num" val="$I$39"/>
        <color theme="8"/>
        <color rgb="FF00B050"/>
        <color rgb="FFFF0000"/>
      </colorScale>
    </cfRule>
  </conditionalFormatting>
  <conditionalFormatting sqref="I51">
    <cfRule type="colorScale" priority="351">
      <colorScale>
        <cfvo type="num" val="$I$41"/>
        <cfvo type="num" val="$I$40"/>
        <cfvo type="num" val="$I$39"/>
        <color theme="8"/>
        <color rgb="FF00B050"/>
        <color rgb="FFFF0000"/>
      </colorScale>
    </cfRule>
  </conditionalFormatting>
  <conditionalFormatting sqref="I64">
    <cfRule type="colorScale" priority="340">
      <colorScale>
        <cfvo type="num" val="$I$41"/>
        <cfvo type="num" val="$I$40"/>
        <cfvo type="num" val="$I$39"/>
        <color theme="8"/>
        <color rgb="FF00B050"/>
        <color rgb="FFFF0000"/>
      </colorScale>
    </cfRule>
  </conditionalFormatting>
  <conditionalFormatting sqref="I77">
    <cfRule type="colorScale" priority="307">
      <colorScale>
        <cfvo type="num" val="$I$41"/>
        <cfvo type="num" val="$I$40"/>
        <cfvo type="num" val="$I$39"/>
        <color theme="8"/>
        <color rgb="FF00B050"/>
        <color rgb="FFFF0000"/>
      </colorScale>
    </cfRule>
  </conditionalFormatting>
  <conditionalFormatting sqref="I90">
    <cfRule type="colorScale" priority="296">
      <colorScale>
        <cfvo type="num" val="$I$41"/>
        <cfvo type="num" val="$I$40"/>
        <cfvo type="num" val="$I$39"/>
        <color theme="8"/>
        <color rgb="FF00B050"/>
        <color rgb="FFFF0000"/>
      </colorScale>
    </cfRule>
  </conditionalFormatting>
  <conditionalFormatting sqref="I103">
    <cfRule type="colorScale" priority="285">
      <colorScale>
        <cfvo type="num" val="$I$41"/>
        <cfvo type="num" val="$I$40"/>
        <cfvo type="num" val="$I$39"/>
        <color theme="8"/>
        <color rgb="FF00B050"/>
        <color rgb="FFFF0000"/>
      </colorScale>
    </cfRule>
  </conditionalFormatting>
  <conditionalFormatting sqref="I116">
    <cfRule type="colorScale" priority="274">
      <colorScale>
        <cfvo type="num" val="$I$41"/>
        <cfvo type="num" val="$I$40"/>
        <cfvo type="num" val="$I$39"/>
        <color theme="8"/>
        <color rgb="FF00B050"/>
        <color rgb="FFFF0000"/>
      </colorScale>
    </cfRule>
  </conditionalFormatting>
  <conditionalFormatting sqref="I129">
    <cfRule type="colorScale" priority="263">
      <colorScale>
        <cfvo type="num" val="$I$41"/>
        <cfvo type="num" val="$I$40"/>
        <cfvo type="num" val="$I$39"/>
        <color theme="8"/>
        <color rgb="FF00B050"/>
        <color rgb="FFFF0000"/>
      </colorScale>
    </cfRule>
  </conditionalFormatting>
  <conditionalFormatting sqref="I142">
    <cfRule type="colorScale" priority="252">
      <colorScale>
        <cfvo type="num" val="$I$41"/>
        <cfvo type="num" val="$I$40"/>
        <cfvo type="num" val="$I$39"/>
        <color theme="8"/>
        <color rgb="FF00B050"/>
        <color rgb="FFFF0000"/>
      </colorScale>
    </cfRule>
  </conditionalFormatting>
  <conditionalFormatting sqref="I207">
    <cfRule type="colorScale" priority="21">
      <colorScale>
        <cfvo type="num" val="$I$41"/>
        <cfvo type="num" val="$I$40"/>
        <cfvo type="num" val="$I$39"/>
        <color theme="8"/>
        <color rgb="FF00B050"/>
        <color rgb="FFFF0000"/>
      </colorScale>
    </cfRule>
  </conditionalFormatting>
  <conditionalFormatting sqref="I220">
    <cfRule type="colorScale" priority="32">
      <colorScale>
        <cfvo type="num" val="$I$41"/>
        <cfvo type="num" val="$I$40"/>
        <cfvo type="num" val="$I$39"/>
        <color theme="8"/>
        <color rgb="FF00B050"/>
        <color rgb="FFFF0000"/>
      </colorScale>
    </cfRule>
  </conditionalFormatting>
  <conditionalFormatting sqref="I285">
    <cfRule type="colorScale" priority="43">
      <colorScale>
        <cfvo type="num" val="$I$41"/>
        <cfvo type="num" val="$I$40"/>
        <cfvo type="num" val="$I$39"/>
        <color theme="8"/>
        <color rgb="FF00B050"/>
        <color rgb="FFFF0000"/>
      </colorScale>
    </cfRule>
  </conditionalFormatting>
  <conditionalFormatting sqref="I389">
    <cfRule type="colorScale" priority="54">
      <colorScale>
        <cfvo type="num" val="$I$41"/>
        <cfvo type="num" val="$I$40"/>
        <cfvo type="num" val="$I$39"/>
        <color theme="8"/>
        <color rgb="FF00B050"/>
        <color rgb="FFFF0000"/>
      </colorScale>
    </cfRule>
  </conditionalFormatting>
  <conditionalFormatting sqref="I402">
    <cfRule type="colorScale" priority="87">
      <colorScale>
        <cfvo type="num" val="$I$41"/>
        <cfvo type="num" val="$I$40"/>
        <cfvo type="num" val="$I$39"/>
        <color theme="8"/>
        <color rgb="FF00B050"/>
        <color rgb="FFFF0000"/>
      </colorScale>
    </cfRule>
  </conditionalFormatting>
  <conditionalFormatting sqref="I415">
    <cfRule type="colorScale" priority="98">
      <colorScale>
        <cfvo type="num" val="$I$41"/>
        <cfvo type="num" val="$I$40"/>
        <cfvo type="num" val="$I$39"/>
        <color theme="8"/>
        <color rgb="FF00B050"/>
        <color rgb="FFFF0000"/>
      </colorScale>
    </cfRule>
  </conditionalFormatting>
  <conditionalFormatting sqref="I428">
    <cfRule type="colorScale" priority="109">
      <colorScale>
        <cfvo type="num" val="$I$41"/>
        <cfvo type="num" val="$I$40"/>
        <cfvo type="num" val="$I$39"/>
        <color theme="8"/>
        <color rgb="FF00B050"/>
        <color rgb="FFFF0000"/>
      </colorScale>
    </cfRule>
  </conditionalFormatting>
  <conditionalFormatting sqref="I467">
    <cfRule type="colorScale" priority="10">
      <colorScale>
        <cfvo type="num" val="$I$41"/>
        <cfvo type="num" val="$I$40"/>
        <cfvo type="num" val="$I$39"/>
        <color theme="8"/>
        <color rgb="FF00B050"/>
        <color rgb="FFFF0000"/>
      </colorScale>
    </cfRule>
  </conditionalFormatting>
  <conditionalFormatting sqref="I480">
    <cfRule type="colorScale" priority="153">
      <colorScale>
        <cfvo type="num" val="$I$41"/>
        <cfvo type="num" val="$I$40"/>
        <cfvo type="num" val="$I$39"/>
        <color theme="8"/>
        <color rgb="FF00B050"/>
        <color rgb="FFFF0000"/>
      </colorScale>
    </cfRule>
  </conditionalFormatting>
  <conditionalFormatting sqref="I493">
    <cfRule type="colorScale" priority="131">
      <colorScale>
        <cfvo type="num" val="$I$41"/>
        <cfvo type="num" val="$I$40"/>
        <cfvo type="num" val="$I$39"/>
        <color theme="8"/>
        <color rgb="FF00B050"/>
        <color rgb="FFFF0000"/>
      </colorScale>
    </cfRule>
  </conditionalFormatting>
  <conditionalFormatting sqref="J12">
    <cfRule type="colorScale" priority="328">
      <colorScale>
        <cfvo type="num" val="$J$41"/>
        <cfvo type="num" val="$J$40"/>
        <cfvo type="num" val="$J$39"/>
        <color rgb="FF0070C0"/>
        <color rgb="FF00B050"/>
        <color rgb="FFFF0000"/>
      </colorScale>
    </cfRule>
  </conditionalFormatting>
  <conditionalFormatting sqref="J25">
    <cfRule type="colorScale" priority="317">
      <colorScale>
        <cfvo type="num" val="$J$41"/>
        <cfvo type="num" val="$J$40"/>
        <cfvo type="num" val="$J$39"/>
        <color rgb="FF0070C0"/>
        <color rgb="FF00B050"/>
        <color rgb="FFFF0000"/>
      </colorScale>
    </cfRule>
  </conditionalFormatting>
  <conditionalFormatting sqref="J38">
    <cfRule type="colorScale" priority="361">
      <colorScale>
        <cfvo type="num" val="$J$41"/>
        <cfvo type="num" val="$J$40"/>
        <cfvo type="num" val="$J$39"/>
        <color rgb="FF0070C0"/>
        <color rgb="FF00B050"/>
        <color rgb="FFFF0000"/>
      </colorScale>
    </cfRule>
  </conditionalFormatting>
  <conditionalFormatting sqref="J51">
    <cfRule type="colorScale" priority="350">
      <colorScale>
        <cfvo type="num" val="$J$41"/>
        <cfvo type="num" val="$J$40"/>
        <cfvo type="num" val="$J$39"/>
        <color rgb="FF0070C0"/>
        <color rgb="FF00B050"/>
        <color rgb="FFFF0000"/>
      </colorScale>
    </cfRule>
  </conditionalFormatting>
  <conditionalFormatting sqref="J64">
    <cfRule type="colorScale" priority="339">
      <colorScale>
        <cfvo type="num" val="$J$41"/>
        <cfvo type="num" val="$J$40"/>
        <cfvo type="num" val="$J$39"/>
        <color rgb="FF0070C0"/>
        <color rgb="FF00B050"/>
        <color rgb="FFFF0000"/>
      </colorScale>
    </cfRule>
  </conditionalFormatting>
  <conditionalFormatting sqref="J77">
    <cfRule type="colorScale" priority="306">
      <colorScale>
        <cfvo type="num" val="$J$41"/>
        <cfvo type="num" val="$J$40"/>
        <cfvo type="num" val="$J$39"/>
        <color rgb="FF0070C0"/>
        <color rgb="FF00B050"/>
        <color rgb="FFFF0000"/>
      </colorScale>
    </cfRule>
  </conditionalFormatting>
  <conditionalFormatting sqref="J90">
    <cfRule type="colorScale" priority="295">
      <colorScale>
        <cfvo type="num" val="$J$41"/>
        <cfvo type="num" val="$J$40"/>
        <cfvo type="num" val="$J$39"/>
        <color rgb="FF0070C0"/>
        <color rgb="FF00B050"/>
        <color rgb="FFFF0000"/>
      </colorScale>
    </cfRule>
  </conditionalFormatting>
  <conditionalFormatting sqref="J103">
    <cfRule type="colorScale" priority="284">
      <colorScale>
        <cfvo type="num" val="$J$41"/>
        <cfvo type="num" val="$J$40"/>
        <cfvo type="num" val="$J$39"/>
        <color rgb="FF0070C0"/>
        <color rgb="FF00B050"/>
        <color rgb="FFFF0000"/>
      </colorScale>
    </cfRule>
  </conditionalFormatting>
  <conditionalFormatting sqref="J116">
    <cfRule type="colorScale" priority="273">
      <colorScale>
        <cfvo type="num" val="$J$41"/>
        <cfvo type="num" val="$J$40"/>
        <cfvo type="num" val="$J$39"/>
        <color rgb="FF0070C0"/>
        <color rgb="FF00B050"/>
        <color rgb="FFFF0000"/>
      </colorScale>
    </cfRule>
  </conditionalFormatting>
  <conditionalFormatting sqref="J129">
    <cfRule type="colorScale" priority="262">
      <colorScale>
        <cfvo type="num" val="$J$41"/>
        <cfvo type="num" val="$J$40"/>
        <cfvo type="num" val="$J$39"/>
        <color rgb="FF0070C0"/>
        <color rgb="FF00B050"/>
        <color rgb="FFFF0000"/>
      </colorScale>
    </cfRule>
  </conditionalFormatting>
  <conditionalFormatting sqref="J142">
    <cfRule type="colorScale" priority="251">
      <colorScale>
        <cfvo type="num" val="$J$41"/>
        <cfvo type="num" val="$J$40"/>
        <cfvo type="num" val="$J$39"/>
        <color rgb="FF0070C0"/>
        <color rgb="FF00B050"/>
        <color rgb="FFFF0000"/>
      </colorScale>
    </cfRule>
  </conditionalFormatting>
  <conditionalFormatting sqref="J207">
    <cfRule type="colorScale" priority="20">
      <colorScale>
        <cfvo type="num" val="$J$41"/>
        <cfvo type="num" val="$J$40"/>
        <cfvo type="num" val="$J$39"/>
        <color rgb="FF0070C0"/>
        <color rgb="FF00B050"/>
        <color rgb="FFFF0000"/>
      </colorScale>
    </cfRule>
  </conditionalFormatting>
  <conditionalFormatting sqref="J220">
    <cfRule type="colorScale" priority="31">
      <colorScale>
        <cfvo type="num" val="$J$41"/>
        <cfvo type="num" val="$J$40"/>
        <cfvo type="num" val="$J$39"/>
        <color rgb="FF0070C0"/>
        <color rgb="FF00B050"/>
        <color rgb="FFFF0000"/>
      </colorScale>
    </cfRule>
  </conditionalFormatting>
  <conditionalFormatting sqref="J285">
    <cfRule type="colorScale" priority="42">
      <colorScale>
        <cfvo type="num" val="$J$41"/>
        <cfvo type="num" val="$J$40"/>
        <cfvo type="num" val="$J$39"/>
        <color rgb="FF0070C0"/>
        <color rgb="FF00B050"/>
        <color rgb="FFFF0000"/>
      </colorScale>
    </cfRule>
  </conditionalFormatting>
  <conditionalFormatting sqref="J389">
    <cfRule type="colorScale" priority="53">
      <colorScale>
        <cfvo type="num" val="$J$41"/>
        <cfvo type="num" val="$J$40"/>
        <cfvo type="num" val="$J$39"/>
        <color rgb="FF0070C0"/>
        <color rgb="FF00B050"/>
        <color rgb="FFFF0000"/>
      </colorScale>
    </cfRule>
  </conditionalFormatting>
  <conditionalFormatting sqref="J402">
    <cfRule type="colorScale" priority="86">
      <colorScale>
        <cfvo type="num" val="$J$41"/>
        <cfvo type="num" val="$J$40"/>
        <cfvo type="num" val="$J$39"/>
        <color rgb="FF0070C0"/>
        <color rgb="FF00B050"/>
        <color rgb="FFFF0000"/>
      </colorScale>
    </cfRule>
  </conditionalFormatting>
  <conditionalFormatting sqref="J415">
    <cfRule type="colorScale" priority="97">
      <colorScale>
        <cfvo type="num" val="$J$41"/>
        <cfvo type="num" val="$J$40"/>
        <cfvo type="num" val="$J$39"/>
        <color rgb="FF0070C0"/>
        <color rgb="FF00B050"/>
        <color rgb="FFFF0000"/>
      </colorScale>
    </cfRule>
  </conditionalFormatting>
  <conditionalFormatting sqref="J428">
    <cfRule type="colorScale" priority="108">
      <colorScale>
        <cfvo type="num" val="$J$41"/>
        <cfvo type="num" val="$J$40"/>
        <cfvo type="num" val="$J$39"/>
        <color rgb="FF0070C0"/>
        <color rgb="FF00B050"/>
        <color rgb="FFFF0000"/>
      </colorScale>
    </cfRule>
  </conditionalFormatting>
  <conditionalFormatting sqref="J467">
    <cfRule type="colorScale" priority="9">
      <colorScale>
        <cfvo type="num" val="$J$41"/>
        <cfvo type="num" val="$J$40"/>
        <cfvo type="num" val="$J$39"/>
        <color rgb="FF0070C0"/>
        <color rgb="FF00B050"/>
        <color rgb="FFFF0000"/>
      </colorScale>
    </cfRule>
  </conditionalFormatting>
  <conditionalFormatting sqref="J480">
    <cfRule type="colorScale" priority="152">
      <colorScale>
        <cfvo type="num" val="$J$41"/>
        <cfvo type="num" val="$J$40"/>
        <cfvo type="num" val="$J$39"/>
        <color rgb="FF0070C0"/>
        <color rgb="FF00B050"/>
        <color rgb="FFFF0000"/>
      </colorScale>
    </cfRule>
  </conditionalFormatting>
  <conditionalFormatting sqref="J493">
    <cfRule type="colorScale" priority="130">
      <colorScale>
        <cfvo type="num" val="$J$41"/>
        <cfvo type="num" val="$J$40"/>
        <cfvo type="num" val="$J$39"/>
        <color rgb="FF0070C0"/>
        <color rgb="FF00B050"/>
        <color rgb="FFFF0000"/>
      </colorScale>
    </cfRule>
  </conditionalFormatting>
  <conditionalFormatting sqref="K12">
    <cfRule type="colorScale" priority="327">
      <colorScale>
        <cfvo type="num" val="$K$41"/>
        <cfvo type="num" val="$K$40"/>
        <cfvo type="num" val="$K$39"/>
        <color rgb="FF0070C0"/>
        <color rgb="FF00B050"/>
        <color rgb="FFFF0000"/>
      </colorScale>
    </cfRule>
  </conditionalFormatting>
  <conditionalFormatting sqref="K25">
    <cfRule type="colorScale" priority="316">
      <colorScale>
        <cfvo type="num" val="$K$41"/>
        <cfvo type="num" val="$K$40"/>
        <cfvo type="num" val="$K$39"/>
        <color rgb="FF0070C0"/>
        <color rgb="FF00B050"/>
        <color rgb="FFFF0000"/>
      </colorScale>
    </cfRule>
  </conditionalFormatting>
  <conditionalFormatting sqref="K38">
    <cfRule type="colorScale" priority="360">
      <colorScale>
        <cfvo type="num" val="$K$41"/>
        <cfvo type="num" val="$K$40"/>
        <cfvo type="num" val="$K$39"/>
        <color rgb="FF0070C0"/>
        <color rgb="FF00B050"/>
        <color rgb="FFFF0000"/>
      </colorScale>
    </cfRule>
  </conditionalFormatting>
  <conditionalFormatting sqref="K51">
    <cfRule type="colorScale" priority="349">
      <colorScale>
        <cfvo type="num" val="$K$41"/>
        <cfvo type="num" val="$K$40"/>
        <cfvo type="num" val="$K$39"/>
        <color rgb="FF0070C0"/>
        <color rgb="FF00B050"/>
        <color rgb="FFFF0000"/>
      </colorScale>
    </cfRule>
  </conditionalFormatting>
  <conditionalFormatting sqref="K64">
    <cfRule type="colorScale" priority="338">
      <colorScale>
        <cfvo type="num" val="$K$41"/>
        <cfvo type="num" val="$K$40"/>
        <cfvo type="num" val="$K$39"/>
        <color rgb="FF0070C0"/>
        <color rgb="FF00B050"/>
        <color rgb="FFFF0000"/>
      </colorScale>
    </cfRule>
  </conditionalFormatting>
  <conditionalFormatting sqref="K77">
    <cfRule type="colorScale" priority="305">
      <colorScale>
        <cfvo type="num" val="$K$41"/>
        <cfvo type="num" val="$K$40"/>
        <cfvo type="num" val="$K$39"/>
        <color rgb="FF0070C0"/>
        <color rgb="FF00B050"/>
        <color rgb="FFFF0000"/>
      </colorScale>
    </cfRule>
  </conditionalFormatting>
  <conditionalFormatting sqref="K90">
    <cfRule type="colorScale" priority="294">
      <colorScale>
        <cfvo type="num" val="$K$41"/>
        <cfvo type="num" val="$K$40"/>
        <cfvo type="num" val="$K$39"/>
        <color rgb="FF0070C0"/>
        <color rgb="FF00B050"/>
        <color rgb="FFFF0000"/>
      </colorScale>
    </cfRule>
  </conditionalFormatting>
  <conditionalFormatting sqref="K103">
    <cfRule type="colorScale" priority="283">
      <colorScale>
        <cfvo type="num" val="$K$41"/>
        <cfvo type="num" val="$K$40"/>
        <cfvo type="num" val="$K$39"/>
        <color rgb="FF0070C0"/>
        <color rgb="FF00B050"/>
        <color rgb="FFFF0000"/>
      </colorScale>
    </cfRule>
  </conditionalFormatting>
  <conditionalFormatting sqref="K116">
    <cfRule type="colorScale" priority="272">
      <colorScale>
        <cfvo type="num" val="$K$41"/>
        <cfvo type="num" val="$K$40"/>
        <cfvo type="num" val="$K$39"/>
        <color rgb="FF0070C0"/>
        <color rgb="FF00B050"/>
        <color rgb="FFFF0000"/>
      </colorScale>
    </cfRule>
  </conditionalFormatting>
  <conditionalFormatting sqref="K129">
    <cfRule type="colorScale" priority="261">
      <colorScale>
        <cfvo type="num" val="$K$41"/>
        <cfvo type="num" val="$K$40"/>
        <cfvo type="num" val="$K$39"/>
        <color rgb="FF0070C0"/>
        <color rgb="FF00B050"/>
        <color rgb="FFFF0000"/>
      </colorScale>
    </cfRule>
  </conditionalFormatting>
  <conditionalFormatting sqref="K142">
    <cfRule type="colorScale" priority="250">
      <colorScale>
        <cfvo type="num" val="$K$41"/>
        <cfvo type="num" val="$K$40"/>
        <cfvo type="num" val="$K$39"/>
        <color rgb="FF0070C0"/>
        <color rgb="FF00B050"/>
        <color rgb="FFFF0000"/>
      </colorScale>
    </cfRule>
  </conditionalFormatting>
  <conditionalFormatting sqref="K207">
    <cfRule type="colorScale" priority="19">
      <colorScale>
        <cfvo type="num" val="$K$41"/>
        <cfvo type="num" val="$K$40"/>
        <cfvo type="num" val="$K$39"/>
        <color rgb="FF0070C0"/>
        <color rgb="FF00B050"/>
        <color rgb="FFFF0000"/>
      </colorScale>
    </cfRule>
  </conditionalFormatting>
  <conditionalFormatting sqref="K220">
    <cfRule type="colorScale" priority="30">
      <colorScale>
        <cfvo type="num" val="$K$41"/>
        <cfvo type="num" val="$K$40"/>
        <cfvo type="num" val="$K$39"/>
        <color rgb="FF0070C0"/>
        <color rgb="FF00B050"/>
        <color rgb="FFFF0000"/>
      </colorScale>
    </cfRule>
  </conditionalFormatting>
  <conditionalFormatting sqref="K285">
    <cfRule type="colorScale" priority="41">
      <colorScale>
        <cfvo type="num" val="$K$41"/>
        <cfvo type="num" val="$K$40"/>
        <cfvo type="num" val="$K$39"/>
        <color rgb="FF0070C0"/>
        <color rgb="FF00B050"/>
        <color rgb="FFFF0000"/>
      </colorScale>
    </cfRule>
  </conditionalFormatting>
  <conditionalFormatting sqref="K389">
    <cfRule type="colorScale" priority="52">
      <colorScale>
        <cfvo type="num" val="$K$41"/>
        <cfvo type="num" val="$K$40"/>
        <cfvo type="num" val="$K$39"/>
        <color rgb="FF0070C0"/>
        <color rgb="FF00B050"/>
        <color rgb="FFFF0000"/>
      </colorScale>
    </cfRule>
  </conditionalFormatting>
  <conditionalFormatting sqref="K402">
    <cfRule type="colorScale" priority="85">
      <colorScale>
        <cfvo type="num" val="$K$41"/>
        <cfvo type="num" val="$K$40"/>
        <cfvo type="num" val="$K$39"/>
        <color rgb="FF0070C0"/>
        <color rgb="FF00B050"/>
        <color rgb="FFFF0000"/>
      </colorScale>
    </cfRule>
  </conditionalFormatting>
  <conditionalFormatting sqref="K415">
    <cfRule type="colorScale" priority="96">
      <colorScale>
        <cfvo type="num" val="$K$41"/>
        <cfvo type="num" val="$K$40"/>
        <cfvo type="num" val="$K$39"/>
        <color rgb="FF0070C0"/>
        <color rgb="FF00B050"/>
        <color rgb="FFFF0000"/>
      </colorScale>
    </cfRule>
  </conditionalFormatting>
  <conditionalFormatting sqref="K428">
    <cfRule type="colorScale" priority="107">
      <colorScale>
        <cfvo type="num" val="$K$41"/>
        <cfvo type="num" val="$K$40"/>
        <cfvo type="num" val="$K$39"/>
        <color rgb="FF0070C0"/>
        <color rgb="FF00B050"/>
        <color rgb="FFFF0000"/>
      </colorScale>
    </cfRule>
  </conditionalFormatting>
  <conditionalFormatting sqref="K467">
    <cfRule type="colorScale" priority="8">
      <colorScale>
        <cfvo type="num" val="$K$41"/>
        <cfvo type="num" val="$K$40"/>
        <cfvo type="num" val="$K$39"/>
        <color rgb="FF0070C0"/>
        <color rgb="FF00B050"/>
        <color rgb="FFFF0000"/>
      </colorScale>
    </cfRule>
  </conditionalFormatting>
  <conditionalFormatting sqref="K480">
    <cfRule type="colorScale" priority="151">
      <colorScale>
        <cfvo type="num" val="$K$41"/>
        <cfvo type="num" val="$K$40"/>
        <cfvo type="num" val="$K$39"/>
        <color rgb="FF0070C0"/>
        <color rgb="FF00B050"/>
        <color rgb="FFFF0000"/>
      </colorScale>
    </cfRule>
  </conditionalFormatting>
  <conditionalFormatting sqref="K493">
    <cfRule type="colorScale" priority="129">
      <colorScale>
        <cfvo type="num" val="$K$41"/>
        <cfvo type="num" val="$K$40"/>
        <cfvo type="num" val="$K$39"/>
        <color rgb="FF0070C0"/>
        <color rgb="FF00B050"/>
        <color rgb="FFFF0000"/>
      </colorScale>
    </cfRule>
  </conditionalFormatting>
  <conditionalFormatting sqref="L12">
    <cfRule type="colorScale" priority="326">
      <colorScale>
        <cfvo type="num" val="$L$41"/>
        <cfvo type="num" val="$L$40"/>
        <cfvo type="num" val="$L$39"/>
        <color rgb="FF0070C0"/>
        <color rgb="FF00B050"/>
        <color rgb="FFFF0000"/>
      </colorScale>
    </cfRule>
  </conditionalFormatting>
  <conditionalFormatting sqref="L25">
    <cfRule type="colorScale" priority="315">
      <colorScale>
        <cfvo type="num" val="$L$41"/>
        <cfvo type="num" val="$L$40"/>
        <cfvo type="num" val="$L$39"/>
        <color rgb="FF0070C0"/>
        <color rgb="FF00B050"/>
        <color rgb="FFFF0000"/>
      </colorScale>
    </cfRule>
  </conditionalFormatting>
  <conditionalFormatting sqref="L38">
    <cfRule type="colorScale" priority="359">
      <colorScale>
        <cfvo type="num" val="$L$41"/>
        <cfvo type="num" val="$L$40"/>
        <cfvo type="num" val="$L$39"/>
        <color rgb="FF0070C0"/>
        <color rgb="FF00B050"/>
        <color rgb="FFFF0000"/>
      </colorScale>
    </cfRule>
  </conditionalFormatting>
  <conditionalFormatting sqref="L51">
    <cfRule type="colorScale" priority="348">
      <colorScale>
        <cfvo type="num" val="$L$41"/>
        <cfvo type="num" val="$L$40"/>
        <cfvo type="num" val="$L$39"/>
        <color rgb="FF0070C0"/>
        <color rgb="FF00B050"/>
        <color rgb="FFFF0000"/>
      </colorScale>
    </cfRule>
  </conditionalFormatting>
  <conditionalFormatting sqref="L64">
    <cfRule type="colorScale" priority="337">
      <colorScale>
        <cfvo type="num" val="$L$41"/>
        <cfvo type="num" val="$L$40"/>
        <cfvo type="num" val="$L$39"/>
        <color rgb="FF0070C0"/>
        <color rgb="FF00B050"/>
        <color rgb="FFFF0000"/>
      </colorScale>
    </cfRule>
  </conditionalFormatting>
  <conditionalFormatting sqref="L77">
    <cfRule type="colorScale" priority="304">
      <colorScale>
        <cfvo type="num" val="$L$41"/>
        <cfvo type="num" val="$L$40"/>
        <cfvo type="num" val="$L$39"/>
        <color rgb="FF0070C0"/>
        <color rgb="FF00B050"/>
        <color rgb="FFFF0000"/>
      </colorScale>
    </cfRule>
  </conditionalFormatting>
  <conditionalFormatting sqref="L90">
    <cfRule type="colorScale" priority="293">
      <colorScale>
        <cfvo type="num" val="$L$41"/>
        <cfvo type="num" val="$L$40"/>
        <cfvo type="num" val="$L$39"/>
        <color rgb="FF0070C0"/>
        <color rgb="FF00B050"/>
        <color rgb="FFFF0000"/>
      </colorScale>
    </cfRule>
  </conditionalFormatting>
  <conditionalFormatting sqref="L103">
    <cfRule type="colorScale" priority="282">
      <colorScale>
        <cfvo type="num" val="$L$41"/>
        <cfvo type="num" val="$L$40"/>
        <cfvo type="num" val="$L$39"/>
        <color rgb="FF0070C0"/>
        <color rgb="FF00B050"/>
        <color rgb="FFFF0000"/>
      </colorScale>
    </cfRule>
  </conditionalFormatting>
  <conditionalFormatting sqref="L116">
    <cfRule type="colorScale" priority="271">
      <colorScale>
        <cfvo type="num" val="$L$41"/>
        <cfvo type="num" val="$L$40"/>
        <cfvo type="num" val="$L$39"/>
        <color rgb="FF0070C0"/>
        <color rgb="FF00B050"/>
        <color rgb="FFFF0000"/>
      </colorScale>
    </cfRule>
  </conditionalFormatting>
  <conditionalFormatting sqref="L129">
    <cfRule type="colorScale" priority="260">
      <colorScale>
        <cfvo type="num" val="$L$41"/>
        <cfvo type="num" val="$L$40"/>
        <cfvo type="num" val="$L$39"/>
        <color rgb="FF0070C0"/>
        <color rgb="FF00B050"/>
        <color rgb="FFFF0000"/>
      </colorScale>
    </cfRule>
  </conditionalFormatting>
  <conditionalFormatting sqref="L142">
    <cfRule type="colorScale" priority="249">
      <colorScale>
        <cfvo type="num" val="$L$41"/>
        <cfvo type="num" val="$L$40"/>
        <cfvo type="num" val="$L$39"/>
        <color rgb="FF0070C0"/>
        <color rgb="FF00B050"/>
        <color rgb="FFFF0000"/>
      </colorScale>
    </cfRule>
  </conditionalFormatting>
  <conditionalFormatting sqref="L207">
    <cfRule type="colorScale" priority="18">
      <colorScale>
        <cfvo type="num" val="$L$41"/>
        <cfvo type="num" val="$L$40"/>
        <cfvo type="num" val="$L$39"/>
        <color rgb="FF0070C0"/>
        <color rgb="FF00B050"/>
        <color rgb="FFFF0000"/>
      </colorScale>
    </cfRule>
  </conditionalFormatting>
  <conditionalFormatting sqref="L220">
    <cfRule type="colorScale" priority="29">
      <colorScale>
        <cfvo type="num" val="$L$41"/>
        <cfvo type="num" val="$L$40"/>
        <cfvo type="num" val="$L$39"/>
        <color rgb="FF0070C0"/>
        <color rgb="FF00B050"/>
        <color rgb="FFFF0000"/>
      </colorScale>
    </cfRule>
  </conditionalFormatting>
  <conditionalFormatting sqref="L285">
    <cfRule type="colorScale" priority="40">
      <colorScale>
        <cfvo type="num" val="$L$41"/>
        <cfvo type="num" val="$L$40"/>
        <cfvo type="num" val="$L$39"/>
        <color rgb="FF0070C0"/>
        <color rgb="FF00B050"/>
        <color rgb="FFFF0000"/>
      </colorScale>
    </cfRule>
  </conditionalFormatting>
  <conditionalFormatting sqref="L389">
    <cfRule type="colorScale" priority="51">
      <colorScale>
        <cfvo type="num" val="$L$41"/>
        <cfvo type="num" val="$L$40"/>
        <cfvo type="num" val="$L$39"/>
        <color rgb="FF0070C0"/>
        <color rgb="FF00B050"/>
        <color rgb="FFFF0000"/>
      </colorScale>
    </cfRule>
  </conditionalFormatting>
  <conditionalFormatting sqref="L402">
    <cfRule type="colorScale" priority="84">
      <colorScale>
        <cfvo type="num" val="$L$41"/>
        <cfvo type="num" val="$L$40"/>
        <cfvo type="num" val="$L$39"/>
        <color rgb="FF0070C0"/>
        <color rgb="FF00B050"/>
        <color rgb="FFFF0000"/>
      </colorScale>
    </cfRule>
  </conditionalFormatting>
  <conditionalFormatting sqref="L415">
    <cfRule type="colorScale" priority="95">
      <colorScale>
        <cfvo type="num" val="$L$41"/>
        <cfvo type="num" val="$L$40"/>
        <cfvo type="num" val="$L$39"/>
        <color rgb="FF0070C0"/>
        <color rgb="FF00B050"/>
        <color rgb="FFFF0000"/>
      </colorScale>
    </cfRule>
  </conditionalFormatting>
  <conditionalFormatting sqref="L428">
    <cfRule type="colorScale" priority="106">
      <colorScale>
        <cfvo type="num" val="$L$41"/>
        <cfvo type="num" val="$L$40"/>
        <cfvo type="num" val="$L$39"/>
        <color rgb="FF0070C0"/>
        <color rgb="FF00B050"/>
        <color rgb="FFFF0000"/>
      </colorScale>
    </cfRule>
  </conditionalFormatting>
  <conditionalFormatting sqref="L467">
    <cfRule type="colorScale" priority="7">
      <colorScale>
        <cfvo type="num" val="$L$41"/>
        <cfvo type="num" val="$L$40"/>
        <cfvo type="num" val="$L$39"/>
        <color rgb="FF0070C0"/>
        <color rgb="FF00B050"/>
        <color rgb="FFFF0000"/>
      </colorScale>
    </cfRule>
  </conditionalFormatting>
  <conditionalFormatting sqref="L480">
    <cfRule type="colorScale" priority="150">
      <colorScale>
        <cfvo type="num" val="$L$41"/>
        <cfvo type="num" val="$L$40"/>
        <cfvo type="num" val="$L$39"/>
        <color rgb="FF0070C0"/>
        <color rgb="FF00B050"/>
        <color rgb="FFFF0000"/>
      </colorScale>
    </cfRule>
  </conditionalFormatting>
  <conditionalFormatting sqref="L493">
    <cfRule type="colorScale" priority="128">
      <colorScale>
        <cfvo type="num" val="$L$41"/>
        <cfvo type="num" val="$L$40"/>
        <cfvo type="num" val="$L$39"/>
        <color rgb="FF0070C0"/>
        <color rgb="FF00B050"/>
        <color rgb="FFFF0000"/>
      </colorScale>
    </cfRule>
  </conditionalFormatting>
  <conditionalFormatting sqref="M12">
    <cfRule type="colorScale" priority="325">
      <colorScale>
        <cfvo type="num" val="$M$41"/>
        <cfvo type="num" val="$M$40"/>
        <cfvo type="num" val="$M$39"/>
        <color rgb="FF0070C0"/>
        <color rgb="FF00B050"/>
        <color rgb="FFFF0000"/>
      </colorScale>
    </cfRule>
  </conditionalFormatting>
  <conditionalFormatting sqref="M25">
    <cfRule type="colorScale" priority="314">
      <colorScale>
        <cfvo type="num" val="$M$41"/>
        <cfvo type="num" val="$M$40"/>
        <cfvo type="num" val="$M$39"/>
        <color rgb="FF0070C0"/>
        <color rgb="FF00B050"/>
        <color rgb="FFFF0000"/>
      </colorScale>
    </cfRule>
  </conditionalFormatting>
  <conditionalFormatting sqref="M38">
    <cfRule type="colorScale" priority="358">
      <colorScale>
        <cfvo type="num" val="$M$41"/>
        <cfvo type="num" val="$M$40"/>
        <cfvo type="num" val="$M$39"/>
        <color rgb="FF0070C0"/>
        <color rgb="FF00B050"/>
        <color rgb="FFFF0000"/>
      </colorScale>
    </cfRule>
  </conditionalFormatting>
  <conditionalFormatting sqref="M51">
    <cfRule type="colorScale" priority="347">
      <colorScale>
        <cfvo type="num" val="$M$41"/>
        <cfvo type="num" val="$M$40"/>
        <cfvo type="num" val="$M$39"/>
        <color rgb="FF0070C0"/>
        <color rgb="FF00B050"/>
        <color rgb="FFFF0000"/>
      </colorScale>
    </cfRule>
  </conditionalFormatting>
  <conditionalFormatting sqref="M64">
    <cfRule type="colorScale" priority="336">
      <colorScale>
        <cfvo type="num" val="$M$41"/>
        <cfvo type="num" val="$M$40"/>
        <cfvo type="num" val="$M$39"/>
        <color rgb="FF0070C0"/>
        <color rgb="FF00B050"/>
        <color rgb="FFFF0000"/>
      </colorScale>
    </cfRule>
  </conditionalFormatting>
  <conditionalFormatting sqref="M77">
    <cfRule type="colorScale" priority="303">
      <colorScale>
        <cfvo type="num" val="$M$41"/>
        <cfvo type="num" val="$M$40"/>
        <cfvo type="num" val="$M$39"/>
        <color rgb="FF0070C0"/>
        <color rgb="FF00B050"/>
        <color rgb="FFFF0000"/>
      </colorScale>
    </cfRule>
  </conditionalFormatting>
  <conditionalFormatting sqref="M90">
    <cfRule type="colorScale" priority="292">
      <colorScale>
        <cfvo type="num" val="$M$41"/>
        <cfvo type="num" val="$M$40"/>
        <cfvo type="num" val="$M$39"/>
        <color rgb="FF0070C0"/>
        <color rgb="FF00B050"/>
        <color rgb="FFFF0000"/>
      </colorScale>
    </cfRule>
  </conditionalFormatting>
  <conditionalFormatting sqref="M103">
    <cfRule type="colorScale" priority="281">
      <colorScale>
        <cfvo type="num" val="$M$41"/>
        <cfvo type="num" val="$M$40"/>
        <cfvo type="num" val="$M$39"/>
        <color rgb="FF0070C0"/>
        <color rgb="FF00B050"/>
        <color rgb="FFFF0000"/>
      </colorScale>
    </cfRule>
  </conditionalFormatting>
  <conditionalFormatting sqref="M116">
    <cfRule type="colorScale" priority="270">
      <colorScale>
        <cfvo type="num" val="$M$41"/>
        <cfvo type="num" val="$M$40"/>
        <cfvo type="num" val="$M$39"/>
        <color rgb="FF0070C0"/>
        <color rgb="FF00B050"/>
        <color rgb="FFFF0000"/>
      </colorScale>
    </cfRule>
  </conditionalFormatting>
  <conditionalFormatting sqref="M129">
    <cfRule type="colorScale" priority="259">
      <colorScale>
        <cfvo type="num" val="$M$41"/>
        <cfvo type="num" val="$M$40"/>
        <cfvo type="num" val="$M$39"/>
        <color rgb="FF0070C0"/>
        <color rgb="FF00B050"/>
        <color rgb="FFFF0000"/>
      </colorScale>
    </cfRule>
  </conditionalFormatting>
  <conditionalFormatting sqref="M142">
    <cfRule type="colorScale" priority="248">
      <colorScale>
        <cfvo type="num" val="$M$41"/>
        <cfvo type="num" val="$M$40"/>
        <cfvo type="num" val="$M$39"/>
        <color rgb="FF0070C0"/>
        <color rgb="FF00B050"/>
        <color rgb="FFFF0000"/>
      </colorScale>
    </cfRule>
  </conditionalFormatting>
  <conditionalFormatting sqref="M207">
    <cfRule type="colorScale" priority="17">
      <colorScale>
        <cfvo type="num" val="$M$41"/>
        <cfvo type="num" val="$M$40"/>
        <cfvo type="num" val="$M$39"/>
        <color rgb="FF0070C0"/>
        <color rgb="FF00B050"/>
        <color rgb="FFFF0000"/>
      </colorScale>
    </cfRule>
  </conditionalFormatting>
  <conditionalFormatting sqref="M220">
    <cfRule type="colorScale" priority="28">
      <colorScale>
        <cfvo type="num" val="$M$41"/>
        <cfvo type="num" val="$M$40"/>
        <cfvo type="num" val="$M$39"/>
        <color rgb="FF0070C0"/>
        <color rgb="FF00B050"/>
        <color rgb="FFFF0000"/>
      </colorScale>
    </cfRule>
  </conditionalFormatting>
  <conditionalFormatting sqref="M285">
    <cfRule type="colorScale" priority="39">
      <colorScale>
        <cfvo type="num" val="$M$41"/>
        <cfvo type="num" val="$M$40"/>
        <cfvo type="num" val="$M$39"/>
        <color rgb="FF0070C0"/>
        <color rgb="FF00B050"/>
        <color rgb="FFFF0000"/>
      </colorScale>
    </cfRule>
  </conditionalFormatting>
  <conditionalFormatting sqref="M389">
    <cfRule type="colorScale" priority="50">
      <colorScale>
        <cfvo type="num" val="$M$41"/>
        <cfvo type="num" val="$M$40"/>
        <cfvo type="num" val="$M$39"/>
        <color rgb="FF0070C0"/>
        <color rgb="FF00B050"/>
        <color rgb="FFFF0000"/>
      </colorScale>
    </cfRule>
  </conditionalFormatting>
  <conditionalFormatting sqref="M402">
    <cfRule type="colorScale" priority="83">
      <colorScale>
        <cfvo type="num" val="$M$41"/>
        <cfvo type="num" val="$M$40"/>
        <cfvo type="num" val="$M$39"/>
        <color rgb="FF0070C0"/>
        <color rgb="FF00B050"/>
        <color rgb="FFFF0000"/>
      </colorScale>
    </cfRule>
  </conditionalFormatting>
  <conditionalFormatting sqref="M415">
    <cfRule type="colorScale" priority="94">
      <colorScale>
        <cfvo type="num" val="$M$41"/>
        <cfvo type="num" val="$M$40"/>
        <cfvo type="num" val="$M$39"/>
        <color rgb="FF0070C0"/>
        <color rgb="FF00B050"/>
        <color rgb="FFFF0000"/>
      </colorScale>
    </cfRule>
  </conditionalFormatting>
  <conditionalFormatting sqref="M428">
    <cfRule type="colorScale" priority="105">
      <colorScale>
        <cfvo type="num" val="$M$41"/>
        <cfvo type="num" val="$M$40"/>
        <cfvo type="num" val="$M$39"/>
        <color rgb="FF0070C0"/>
        <color rgb="FF00B050"/>
        <color rgb="FFFF0000"/>
      </colorScale>
    </cfRule>
  </conditionalFormatting>
  <conditionalFormatting sqref="M467">
    <cfRule type="colorScale" priority="6">
      <colorScale>
        <cfvo type="num" val="$M$41"/>
        <cfvo type="num" val="$M$40"/>
        <cfvo type="num" val="$M$39"/>
        <color rgb="FF0070C0"/>
        <color rgb="FF00B050"/>
        <color rgb="FFFF0000"/>
      </colorScale>
    </cfRule>
  </conditionalFormatting>
  <conditionalFormatting sqref="M480">
    <cfRule type="colorScale" priority="149">
      <colorScale>
        <cfvo type="num" val="$M$41"/>
        <cfvo type="num" val="$M$40"/>
        <cfvo type="num" val="$M$39"/>
        <color rgb="FF0070C0"/>
        <color rgb="FF00B050"/>
        <color rgb="FFFF0000"/>
      </colorScale>
    </cfRule>
  </conditionalFormatting>
  <conditionalFormatting sqref="M493">
    <cfRule type="colorScale" priority="127">
      <colorScale>
        <cfvo type="num" val="$M$41"/>
        <cfvo type="num" val="$M$40"/>
        <cfvo type="num" val="$M$39"/>
        <color rgb="FF0070C0"/>
        <color rgb="FF00B050"/>
        <color rgb="FFFF0000"/>
      </colorScale>
    </cfRule>
  </conditionalFormatting>
  <conditionalFormatting sqref="N12">
    <cfRule type="colorScale" priority="324">
      <colorScale>
        <cfvo type="num" val="$N$41"/>
        <cfvo type="num" val="$N$40"/>
        <cfvo type="num" val="$N$39"/>
        <color rgb="FF0070C0"/>
        <color rgb="FF00B050"/>
        <color rgb="FFFF0000"/>
      </colorScale>
    </cfRule>
  </conditionalFormatting>
  <conditionalFormatting sqref="N25">
    <cfRule type="colorScale" priority="313">
      <colorScale>
        <cfvo type="num" val="$N$41"/>
        <cfvo type="num" val="$N$40"/>
        <cfvo type="num" val="$N$39"/>
        <color rgb="FF0070C0"/>
        <color rgb="FF00B050"/>
        <color rgb="FFFF0000"/>
      </colorScale>
    </cfRule>
  </conditionalFormatting>
  <conditionalFormatting sqref="N38">
    <cfRule type="colorScale" priority="357">
      <colorScale>
        <cfvo type="num" val="$N$41"/>
        <cfvo type="num" val="$N$40"/>
        <cfvo type="num" val="$N$39"/>
        <color rgb="FF0070C0"/>
        <color rgb="FF00B050"/>
        <color rgb="FFFF0000"/>
      </colorScale>
    </cfRule>
  </conditionalFormatting>
  <conditionalFormatting sqref="N51">
    <cfRule type="colorScale" priority="346">
      <colorScale>
        <cfvo type="num" val="$N$41"/>
        <cfvo type="num" val="$N$40"/>
        <cfvo type="num" val="$N$39"/>
        <color rgb="FF0070C0"/>
        <color rgb="FF00B050"/>
        <color rgb="FFFF0000"/>
      </colorScale>
    </cfRule>
  </conditionalFormatting>
  <conditionalFormatting sqref="N64">
    <cfRule type="colorScale" priority="335">
      <colorScale>
        <cfvo type="num" val="$N$41"/>
        <cfvo type="num" val="$N$40"/>
        <cfvo type="num" val="$N$39"/>
        <color rgb="FF0070C0"/>
        <color rgb="FF00B050"/>
        <color rgb="FFFF0000"/>
      </colorScale>
    </cfRule>
  </conditionalFormatting>
  <conditionalFormatting sqref="N77">
    <cfRule type="colorScale" priority="302">
      <colorScale>
        <cfvo type="num" val="$N$41"/>
        <cfvo type="num" val="$N$40"/>
        <cfvo type="num" val="$N$39"/>
        <color rgb="FF0070C0"/>
        <color rgb="FF00B050"/>
        <color rgb="FFFF0000"/>
      </colorScale>
    </cfRule>
  </conditionalFormatting>
  <conditionalFormatting sqref="N90">
    <cfRule type="colorScale" priority="291">
      <colorScale>
        <cfvo type="num" val="$N$41"/>
        <cfvo type="num" val="$N$40"/>
        <cfvo type="num" val="$N$39"/>
        <color rgb="FF0070C0"/>
        <color rgb="FF00B050"/>
        <color rgb="FFFF0000"/>
      </colorScale>
    </cfRule>
  </conditionalFormatting>
  <conditionalFormatting sqref="N103">
    <cfRule type="colorScale" priority="280">
      <colorScale>
        <cfvo type="num" val="$N$41"/>
        <cfvo type="num" val="$N$40"/>
        <cfvo type="num" val="$N$39"/>
        <color rgb="FF0070C0"/>
        <color rgb="FF00B050"/>
        <color rgb="FFFF0000"/>
      </colorScale>
    </cfRule>
  </conditionalFormatting>
  <conditionalFormatting sqref="N116">
    <cfRule type="colorScale" priority="269">
      <colorScale>
        <cfvo type="num" val="$N$41"/>
        <cfvo type="num" val="$N$40"/>
        <cfvo type="num" val="$N$39"/>
        <color rgb="FF0070C0"/>
        <color rgb="FF00B050"/>
        <color rgb="FFFF0000"/>
      </colorScale>
    </cfRule>
  </conditionalFormatting>
  <conditionalFormatting sqref="N129">
    <cfRule type="colorScale" priority="258">
      <colorScale>
        <cfvo type="num" val="$N$41"/>
        <cfvo type="num" val="$N$40"/>
        <cfvo type="num" val="$N$39"/>
        <color rgb="FF0070C0"/>
        <color rgb="FF00B050"/>
        <color rgb="FFFF0000"/>
      </colorScale>
    </cfRule>
  </conditionalFormatting>
  <conditionalFormatting sqref="N142">
    <cfRule type="colorScale" priority="247">
      <colorScale>
        <cfvo type="num" val="$N$41"/>
        <cfvo type="num" val="$N$40"/>
        <cfvo type="num" val="$N$39"/>
        <color rgb="FF0070C0"/>
        <color rgb="FF00B050"/>
        <color rgb="FFFF0000"/>
      </colorScale>
    </cfRule>
  </conditionalFormatting>
  <conditionalFormatting sqref="N207">
    <cfRule type="colorScale" priority="16">
      <colorScale>
        <cfvo type="num" val="$N$41"/>
        <cfvo type="num" val="$N$40"/>
        <cfvo type="num" val="$N$39"/>
        <color rgb="FF0070C0"/>
        <color rgb="FF00B050"/>
        <color rgb="FFFF0000"/>
      </colorScale>
    </cfRule>
  </conditionalFormatting>
  <conditionalFormatting sqref="N220">
    <cfRule type="colorScale" priority="27">
      <colorScale>
        <cfvo type="num" val="$N$41"/>
        <cfvo type="num" val="$N$40"/>
        <cfvo type="num" val="$N$39"/>
        <color rgb="FF0070C0"/>
        <color rgb="FF00B050"/>
        <color rgb="FFFF0000"/>
      </colorScale>
    </cfRule>
  </conditionalFormatting>
  <conditionalFormatting sqref="N285">
    <cfRule type="colorScale" priority="38">
      <colorScale>
        <cfvo type="num" val="$N$41"/>
        <cfvo type="num" val="$N$40"/>
        <cfvo type="num" val="$N$39"/>
        <color rgb="FF0070C0"/>
        <color rgb="FF00B050"/>
        <color rgb="FFFF0000"/>
      </colorScale>
    </cfRule>
  </conditionalFormatting>
  <conditionalFormatting sqref="N389">
    <cfRule type="colorScale" priority="49">
      <colorScale>
        <cfvo type="num" val="$N$41"/>
        <cfvo type="num" val="$N$40"/>
        <cfvo type="num" val="$N$39"/>
        <color rgb="FF0070C0"/>
        <color rgb="FF00B050"/>
        <color rgb="FFFF0000"/>
      </colorScale>
    </cfRule>
  </conditionalFormatting>
  <conditionalFormatting sqref="N402">
    <cfRule type="colorScale" priority="82">
      <colorScale>
        <cfvo type="num" val="$N$41"/>
        <cfvo type="num" val="$N$40"/>
        <cfvo type="num" val="$N$39"/>
        <color rgb="FF0070C0"/>
        <color rgb="FF00B050"/>
        <color rgb="FFFF0000"/>
      </colorScale>
    </cfRule>
  </conditionalFormatting>
  <conditionalFormatting sqref="N415">
    <cfRule type="colorScale" priority="93">
      <colorScale>
        <cfvo type="num" val="$N$41"/>
        <cfvo type="num" val="$N$40"/>
        <cfvo type="num" val="$N$39"/>
        <color rgb="FF0070C0"/>
        <color rgb="FF00B050"/>
        <color rgb="FFFF0000"/>
      </colorScale>
    </cfRule>
  </conditionalFormatting>
  <conditionalFormatting sqref="N428">
    <cfRule type="colorScale" priority="104">
      <colorScale>
        <cfvo type="num" val="$N$41"/>
        <cfvo type="num" val="$N$40"/>
        <cfvo type="num" val="$N$39"/>
        <color rgb="FF0070C0"/>
        <color rgb="FF00B050"/>
        <color rgb="FFFF0000"/>
      </colorScale>
    </cfRule>
  </conditionalFormatting>
  <conditionalFormatting sqref="N467">
    <cfRule type="colorScale" priority="5">
      <colorScale>
        <cfvo type="num" val="$N$41"/>
        <cfvo type="num" val="$N$40"/>
        <cfvo type="num" val="$N$39"/>
        <color rgb="FF0070C0"/>
        <color rgb="FF00B050"/>
        <color rgb="FFFF0000"/>
      </colorScale>
    </cfRule>
  </conditionalFormatting>
  <conditionalFormatting sqref="N480">
    <cfRule type="colorScale" priority="148">
      <colorScale>
        <cfvo type="num" val="$N$41"/>
        <cfvo type="num" val="$N$40"/>
        <cfvo type="num" val="$N$39"/>
        <color rgb="FF0070C0"/>
        <color rgb="FF00B050"/>
        <color rgb="FFFF0000"/>
      </colorScale>
    </cfRule>
  </conditionalFormatting>
  <conditionalFormatting sqref="N493">
    <cfRule type="colorScale" priority="126">
      <colorScale>
        <cfvo type="num" val="$N$41"/>
        <cfvo type="num" val="$N$40"/>
        <cfvo type="num" val="$N$39"/>
        <color rgb="FF0070C0"/>
        <color rgb="FF00B050"/>
        <color rgb="FFFF0000"/>
      </colorScale>
    </cfRule>
  </conditionalFormatting>
  <conditionalFormatting sqref="O12">
    <cfRule type="colorScale" priority="323">
      <colorScale>
        <cfvo type="num" val="$O$41"/>
        <cfvo type="num" val="$O$40"/>
        <cfvo type="num" val="$O$39"/>
        <color rgb="FF0070C0"/>
        <color rgb="FF00B050"/>
        <color rgb="FFFF0000"/>
      </colorScale>
    </cfRule>
  </conditionalFormatting>
  <conditionalFormatting sqref="O25">
    <cfRule type="colorScale" priority="312">
      <colorScale>
        <cfvo type="num" val="$O$41"/>
        <cfvo type="num" val="$O$40"/>
        <cfvo type="num" val="$O$39"/>
        <color rgb="FF0070C0"/>
        <color rgb="FF00B050"/>
        <color rgb="FFFF0000"/>
      </colorScale>
    </cfRule>
  </conditionalFormatting>
  <conditionalFormatting sqref="O38">
    <cfRule type="colorScale" priority="356">
      <colorScale>
        <cfvo type="num" val="$O$41"/>
        <cfvo type="num" val="$O$40"/>
        <cfvo type="num" val="$O$39"/>
        <color rgb="FF0070C0"/>
        <color rgb="FF00B050"/>
        <color rgb="FFFF0000"/>
      </colorScale>
    </cfRule>
  </conditionalFormatting>
  <conditionalFormatting sqref="O51">
    <cfRule type="colorScale" priority="345">
      <colorScale>
        <cfvo type="num" val="$O$41"/>
        <cfvo type="num" val="$O$40"/>
        <cfvo type="num" val="$O$39"/>
        <color rgb="FF0070C0"/>
        <color rgb="FF00B050"/>
        <color rgb="FFFF0000"/>
      </colorScale>
    </cfRule>
  </conditionalFormatting>
  <conditionalFormatting sqref="O64">
    <cfRule type="colorScale" priority="334">
      <colorScale>
        <cfvo type="num" val="$O$41"/>
        <cfvo type="num" val="$O$40"/>
        <cfvo type="num" val="$O$39"/>
        <color rgb="FF0070C0"/>
        <color rgb="FF00B050"/>
        <color rgb="FFFF0000"/>
      </colorScale>
    </cfRule>
  </conditionalFormatting>
  <conditionalFormatting sqref="O77">
    <cfRule type="colorScale" priority="301">
      <colorScale>
        <cfvo type="num" val="$O$41"/>
        <cfvo type="num" val="$O$40"/>
        <cfvo type="num" val="$O$39"/>
        <color rgb="FF0070C0"/>
        <color rgb="FF00B050"/>
        <color rgb="FFFF0000"/>
      </colorScale>
    </cfRule>
  </conditionalFormatting>
  <conditionalFormatting sqref="O90">
    <cfRule type="colorScale" priority="290">
      <colorScale>
        <cfvo type="num" val="$O$41"/>
        <cfvo type="num" val="$O$40"/>
        <cfvo type="num" val="$O$39"/>
        <color rgb="FF0070C0"/>
        <color rgb="FF00B050"/>
        <color rgb="FFFF0000"/>
      </colorScale>
    </cfRule>
  </conditionalFormatting>
  <conditionalFormatting sqref="O103">
    <cfRule type="colorScale" priority="279">
      <colorScale>
        <cfvo type="num" val="$O$41"/>
        <cfvo type="num" val="$O$40"/>
        <cfvo type="num" val="$O$39"/>
        <color rgb="FF0070C0"/>
        <color rgb="FF00B050"/>
        <color rgb="FFFF0000"/>
      </colorScale>
    </cfRule>
  </conditionalFormatting>
  <conditionalFormatting sqref="O116">
    <cfRule type="colorScale" priority="268">
      <colorScale>
        <cfvo type="num" val="$O$41"/>
        <cfvo type="num" val="$O$40"/>
        <cfvo type="num" val="$O$39"/>
        <color rgb="FF0070C0"/>
        <color rgb="FF00B050"/>
        <color rgb="FFFF0000"/>
      </colorScale>
    </cfRule>
  </conditionalFormatting>
  <conditionalFormatting sqref="O129">
    <cfRule type="colorScale" priority="257">
      <colorScale>
        <cfvo type="num" val="$O$41"/>
        <cfvo type="num" val="$O$40"/>
        <cfvo type="num" val="$O$39"/>
        <color rgb="FF0070C0"/>
        <color rgb="FF00B050"/>
        <color rgb="FFFF0000"/>
      </colorScale>
    </cfRule>
  </conditionalFormatting>
  <conditionalFormatting sqref="O142">
    <cfRule type="colorScale" priority="246">
      <colorScale>
        <cfvo type="num" val="$O$41"/>
        <cfvo type="num" val="$O$40"/>
        <cfvo type="num" val="$O$39"/>
        <color rgb="FF0070C0"/>
        <color rgb="FF00B050"/>
        <color rgb="FFFF0000"/>
      </colorScale>
    </cfRule>
  </conditionalFormatting>
  <conditionalFormatting sqref="O207">
    <cfRule type="colorScale" priority="15">
      <colorScale>
        <cfvo type="num" val="$O$41"/>
        <cfvo type="num" val="$O$40"/>
        <cfvo type="num" val="$O$39"/>
        <color rgb="FF0070C0"/>
        <color rgb="FF00B050"/>
        <color rgb="FFFF0000"/>
      </colorScale>
    </cfRule>
  </conditionalFormatting>
  <conditionalFormatting sqref="O220">
    <cfRule type="colorScale" priority="26">
      <colorScale>
        <cfvo type="num" val="$O$41"/>
        <cfvo type="num" val="$O$40"/>
        <cfvo type="num" val="$O$39"/>
        <color rgb="FF0070C0"/>
        <color rgb="FF00B050"/>
        <color rgb="FFFF0000"/>
      </colorScale>
    </cfRule>
  </conditionalFormatting>
  <conditionalFormatting sqref="O285">
    <cfRule type="colorScale" priority="37">
      <colorScale>
        <cfvo type="num" val="$O$41"/>
        <cfvo type="num" val="$O$40"/>
        <cfvo type="num" val="$O$39"/>
        <color rgb="FF0070C0"/>
        <color rgb="FF00B050"/>
        <color rgb="FFFF0000"/>
      </colorScale>
    </cfRule>
  </conditionalFormatting>
  <conditionalFormatting sqref="O389">
    <cfRule type="colorScale" priority="48">
      <colorScale>
        <cfvo type="num" val="$O$41"/>
        <cfvo type="num" val="$O$40"/>
        <cfvo type="num" val="$O$39"/>
        <color rgb="FF0070C0"/>
        <color rgb="FF00B050"/>
        <color rgb="FFFF0000"/>
      </colorScale>
    </cfRule>
  </conditionalFormatting>
  <conditionalFormatting sqref="O402">
    <cfRule type="colorScale" priority="81">
      <colorScale>
        <cfvo type="num" val="$O$41"/>
        <cfvo type="num" val="$O$40"/>
        <cfvo type="num" val="$O$39"/>
        <color rgb="FF0070C0"/>
        <color rgb="FF00B050"/>
        <color rgb="FFFF0000"/>
      </colorScale>
    </cfRule>
  </conditionalFormatting>
  <conditionalFormatting sqref="O415">
    <cfRule type="colorScale" priority="92">
      <colorScale>
        <cfvo type="num" val="$O$41"/>
        <cfvo type="num" val="$O$40"/>
        <cfvo type="num" val="$O$39"/>
        <color rgb="FF0070C0"/>
        <color rgb="FF00B050"/>
        <color rgb="FFFF0000"/>
      </colorScale>
    </cfRule>
  </conditionalFormatting>
  <conditionalFormatting sqref="O428">
    <cfRule type="colorScale" priority="103">
      <colorScale>
        <cfvo type="num" val="$O$41"/>
        <cfvo type="num" val="$O$40"/>
        <cfvo type="num" val="$O$39"/>
        <color rgb="FF0070C0"/>
        <color rgb="FF00B050"/>
        <color rgb="FFFF0000"/>
      </colorScale>
    </cfRule>
  </conditionalFormatting>
  <conditionalFormatting sqref="O467">
    <cfRule type="colorScale" priority="4">
      <colorScale>
        <cfvo type="num" val="$O$41"/>
        <cfvo type="num" val="$O$40"/>
        <cfvo type="num" val="$O$39"/>
        <color rgb="FF0070C0"/>
        <color rgb="FF00B050"/>
        <color rgb="FFFF0000"/>
      </colorScale>
    </cfRule>
  </conditionalFormatting>
  <conditionalFormatting sqref="O480">
    <cfRule type="colorScale" priority="147">
      <colorScale>
        <cfvo type="num" val="$O$41"/>
        <cfvo type="num" val="$O$40"/>
        <cfvo type="num" val="$O$39"/>
        <color rgb="FF0070C0"/>
        <color rgb="FF00B050"/>
        <color rgb="FFFF0000"/>
      </colorScale>
    </cfRule>
  </conditionalFormatting>
  <conditionalFormatting sqref="O493">
    <cfRule type="colorScale" priority="125">
      <colorScale>
        <cfvo type="num" val="$O$41"/>
        <cfvo type="num" val="$O$40"/>
        <cfvo type="num" val="$O$39"/>
        <color rgb="FF0070C0"/>
        <color rgb="FF00B050"/>
        <color rgb="FFFF0000"/>
      </colorScale>
    </cfRule>
  </conditionalFormatting>
  <conditionalFormatting sqref="P12">
    <cfRule type="colorScale" priority="322">
      <colorScale>
        <cfvo type="num" val="$P$41"/>
        <cfvo type="num" val="$P$40"/>
        <cfvo type="num" val="$P$39"/>
        <color rgb="FF0070C0"/>
        <color rgb="FF00B050"/>
        <color rgb="FFFF0000"/>
      </colorScale>
    </cfRule>
  </conditionalFormatting>
  <conditionalFormatting sqref="P25">
    <cfRule type="colorScale" priority="311">
      <colorScale>
        <cfvo type="num" val="$P$41"/>
        <cfvo type="num" val="$P$40"/>
        <cfvo type="num" val="$P$39"/>
        <color rgb="FF0070C0"/>
        <color rgb="FF00B050"/>
        <color rgb="FFFF0000"/>
      </colorScale>
    </cfRule>
  </conditionalFormatting>
  <conditionalFormatting sqref="P38">
    <cfRule type="colorScale" priority="355">
      <colorScale>
        <cfvo type="num" val="$P$41"/>
        <cfvo type="num" val="$P$40"/>
        <cfvo type="num" val="$P$39"/>
        <color rgb="FF0070C0"/>
        <color rgb="FF00B050"/>
        <color rgb="FFFF0000"/>
      </colorScale>
    </cfRule>
  </conditionalFormatting>
  <conditionalFormatting sqref="P51">
    <cfRule type="colorScale" priority="344">
      <colorScale>
        <cfvo type="num" val="$P$41"/>
        <cfvo type="num" val="$P$40"/>
        <cfvo type="num" val="$P$39"/>
        <color rgb="FF0070C0"/>
        <color rgb="FF00B050"/>
        <color rgb="FFFF0000"/>
      </colorScale>
    </cfRule>
  </conditionalFormatting>
  <conditionalFormatting sqref="P64">
    <cfRule type="colorScale" priority="333">
      <colorScale>
        <cfvo type="num" val="$P$41"/>
        <cfvo type="num" val="$P$40"/>
        <cfvo type="num" val="$P$39"/>
        <color rgb="FF0070C0"/>
        <color rgb="FF00B050"/>
        <color rgb="FFFF0000"/>
      </colorScale>
    </cfRule>
  </conditionalFormatting>
  <conditionalFormatting sqref="P77">
    <cfRule type="colorScale" priority="300">
      <colorScale>
        <cfvo type="num" val="$P$41"/>
        <cfvo type="num" val="$P$40"/>
        <cfvo type="num" val="$P$39"/>
        <color rgb="FF0070C0"/>
        <color rgb="FF00B050"/>
        <color rgb="FFFF0000"/>
      </colorScale>
    </cfRule>
  </conditionalFormatting>
  <conditionalFormatting sqref="P90">
    <cfRule type="colorScale" priority="289">
      <colorScale>
        <cfvo type="num" val="$P$41"/>
        <cfvo type="num" val="$P$40"/>
        <cfvo type="num" val="$P$39"/>
        <color rgb="FF0070C0"/>
        <color rgb="FF00B050"/>
        <color rgb="FFFF0000"/>
      </colorScale>
    </cfRule>
  </conditionalFormatting>
  <conditionalFormatting sqref="P103">
    <cfRule type="colorScale" priority="278">
      <colorScale>
        <cfvo type="num" val="$P$41"/>
        <cfvo type="num" val="$P$40"/>
        <cfvo type="num" val="$P$39"/>
        <color rgb="FF0070C0"/>
        <color rgb="FF00B050"/>
        <color rgb="FFFF0000"/>
      </colorScale>
    </cfRule>
  </conditionalFormatting>
  <conditionalFormatting sqref="P116">
    <cfRule type="colorScale" priority="267">
      <colorScale>
        <cfvo type="num" val="$P$41"/>
        <cfvo type="num" val="$P$40"/>
        <cfvo type="num" val="$P$39"/>
        <color rgb="FF0070C0"/>
        <color rgb="FF00B050"/>
        <color rgb="FFFF0000"/>
      </colorScale>
    </cfRule>
  </conditionalFormatting>
  <conditionalFormatting sqref="P129">
    <cfRule type="colorScale" priority="256">
      <colorScale>
        <cfvo type="num" val="$P$41"/>
        <cfvo type="num" val="$P$40"/>
        <cfvo type="num" val="$P$39"/>
        <color rgb="FF0070C0"/>
        <color rgb="FF00B050"/>
        <color rgb="FFFF0000"/>
      </colorScale>
    </cfRule>
  </conditionalFormatting>
  <conditionalFormatting sqref="P142">
    <cfRule type="colorScale" priority="245">
      <colorScale>
        <cfvo type="num" val="$P$41"/>
        <cfvo type="num" val="$P$40"/>
        <cfvo type="num" val="$P$39"/>
        <color rgb="FF0070C0"/>
        <color rgb="FF00B050"/>
        <color rgb="FFFF0000"/>
      </colorScale>
    </cfRule>
  </conditionalFormatting>
  <conditionalFormatting sqref="P207">
    <cfRule type="colorScale" priority="14">
      <colorScale>
        <cfvo type="num" val="$P$41"/>
        <cfvo type="num" val="$P$40"/>
        <cfvo type="num" val="$P$39"/>
        <color rgb="FF0070C0"/>
        <color rgb="FF00B050"/>
        <color rgb="FFFF0000"/>
      </colorScale>
    </cfRule>
  </conditionalFormatting>
  <conditionalFormatting sqref="P220">
    <cfRule type="colorScale" priority="25">
      <colorScale>
        <cfvo type="num" val="$P$41"/>
        <cfvo type="num" val="$P$40"/>
        <cfvo type="num" val="$P$39"/>
        <color rgb="FF0070C0"/>
        <color rgb="FF00B050"/>
        <color rgb="FFFF0000"/>
      </colorScale>
    </cfRule>
  </conditionalFormatting>
  <conditionalFormatting sqref="P285">
    <cfRule type="colorScale" priority="36">
      <colorScale>
        <cfvo type="num" val="$P$41"/>
        <cfvo type="num" val="$P$40"/>
        <cfvo type="num" val="$P$39"/>
        <color rgb="FF0070C0"/>
        <color rgb="FF00B050"/>
        <color rgb="FFFF0000"/>
      </colorScale>
    </cfRule>
  </conditionalFormatting>
  <conditionalFormatting sqref="P389">
    <cfRule type="colorScale" priority="47">
      <colorScale>
        <cfvo type="num" val="$P$41"/>
        <cfvo type="num" val="$P$40"/>
        <cfvo type="num" val="$P$39"/>
        <color rgb="FF0070C0"/>
        <color rgb="FF00B050"/>
        <color rgb="FFFF0000"/>
      </colorScale>
    </cfRule>
  </conditionalFormatting>
  <conditionalFormatting sqref="P402">
    <cfRule type="colorScale" priority="80">
      <colorScale>
        <cfvo type="num" val="$P$41"/>
        <cfvo type="num" val="$P$40"/>
        <cfvo type="num" val="$P$39"/>
        <color rgb="FF0070C0"/>
        <color rgb="FF00B050"/>
        <color rgb="FFFF0000"/>
      </colorScale>
    </cfRule>
  </conditionalFormatting>
  <conditionalFormatting sqref="P415">
    <cfRule type="colorScale" priority="91">
      <colorScale>
        <cfvo type="num" val="$P$41"/>
        <cfvo type="num" val="$P$40"/>
        <cfvo type="num" val="$P$39"/>
        <color rgb="FF0070C0"/>
        <color rgb="FF00B050"/>
        <color rgb="FFFF0000"/>
      </colorScale>
    </cfRule>
  </conditionalFormatting>
  <conditionalFormatting sqref="P428">
    <cfRule type="colorScale" priority="102">
      <colorScale>
        <cfvo type="num" val="$P$41"/>
        <cfvo type="num" val="$P$40"/>
        <cfvo type="num" val="$P$39"/>
        <color rgb="FF0070C0"/>
        <color rgb="FF00B050"/>
        <color rgb="FFFF0000"/>
      </colorScale>
    </cfRule>
  </conditionalFormatting>
  <conditionalFormatting sqref="P467">
    <cfRule type="colorScale" priority="3">
      <colorScale>
        <cfvo type="num" val="$P$41"/>
        <cfvo type="num" val="$P$40"/>
        <cfvo type="num" val="$P$39"/>
        <color rgb="FF0070C0"/>
        <color rgb="FF00B050"/>
        <color rgb="FFFF0000"/>
      </colorScale>
    </cfRule>
  </conditionalFormatting>
  <conditionalFormatting sqref="P480">
    <cfRule type="colorScale" priority="146">
      <colorScale>
        <cfvo type="num" val="$P$41"/>
        <cfvo type="num" val="$P$40"/>
        <cfvo type="num" val="$P$39"/>
        <color rgb="FF0070C0"/>
        <color rgb="FF00B050"/>
        <color rgb="FFFF0000"/>
      </colorScale>
    </cfRule>
  </conditionalFormatting>
  <conditionalFormatting sqref="P493">
    <cfRule type="colorScale" priority="124">
      <colorScale>
        <cfvo type="num" val="$P$41"/>
        <cfvo type="num" val="$P$40"/>
        <cfvo type="num" val="$P$39"/>
        <color rgb="FF0070C0"/>
        <color rgb="FF00B050"/>
        <color rgb="FFFF0000"/>
      </colorScale>
    </cfRule>
  </conditionalFormatting>
  <conditionalFormatting sqref="Q12">
    <cfRule type="colorScale" priority="321">
      <colorScale>
        <cfvo type="num" val="$Q$41"/>
        <cfvo type="num" val="$Q$40"/>
        <cfvo type="num" val="$Q$39"/>
        <color rgb="FF0070C0"/>
        <color rgb="FF00B050"/>
        <color rgb="FFFF0000"/>
      </colorScale>
    </cfRule>
  </conditionalFormatting>
  <conditionalFormatting sqref="Q25">
    <cfRule type="colorScale" priority="310">
      <colorScale>
        <cfvo type="num" val="$Q$41"/>
        <cfvo type="num" val="$Q$40"/>
        <cfvo type="num" val="$Q$39"/>
        <color rgb="FF0070C0"/>
        <color rgb="FF00B050"/>
        <color rgb="FFFF0000"/>
      </colorScale>
    </cfRule>
  </conditionalFormatting>
  <conditionalFormatting sqref="Q38">
    <cfRule type="colorScale" priority="354">
      <colorScale>
        <cfvo type="num" val="$Q$41"/>
        <cfvo type="num" val="$Q$40"/>
        <cfvo type="num" val="$Q$39"/>
        <color rgb="FF0070C0"/>
        <color rgb="FF00B050"/>
        <color rgb="FFFF0000"/>
      </colorScale>
    </cfRule>
  </conditionalFormatting>
  <conditionalFormatting sqref="Q51">
    <cfRule type="colorScale" priority="343">
      <colorScale>
        <cfvo type="num" val="$Q$41"/>
        <cfvo type="num" val="$Q$40"/>
        <cfvo type="num" val="$Q$39"/>
        <color rgb="FF0070C0"/>
        <color rgb="FF00B050"/>
        <color rgb="FFFF0000"/>
      </colorScale>
    </cfRule>
  </conditionalFormatting>
  <conditionalFormatting sqref="Q64">
    <cfRule type="colorScale" priority="332">
      <colorScale>
        <cfvo type="num" val="$Q$41"/>
        <cfvo type="num" val="$Q$40"/>
        <cfvo type="num" val="$Q$39"/>
        <color rgb="FF0070C0"/>
        <color rgb="FF00B050"/>
        <color rgb="FFFF0000"/>
      </colorScale>
    </cfRule>
  </conditionalFormatting>
  <conditionalFormatting sqref="Q77">
    <cfRule type="colorScale" priority="299">
      <colorScale>
        <cfvo type="num" val="$Q$41"/>
        <cfvo type="num" val="$Q$40"/>
        <cfvo type="num" val="$Q$39"/>
        <color rgb="FF0070C0"/>
        <color rgb="FF00B050"/>
        <color rgb="FFFF0000"/>
      </colorScale>
    </cfRule>
  </conditionalFormatting>
  <conditionalFormatting sqref="Q90">
    <cfRule type="colorScale" priority="288">
      <colorScale>
        <cfvo type="num" val="$Q$41"/>
        <cfvo type="num" val="$Q$40"/>
        <cfvo type="num" val="$Q$39"/>
        <color rgb="FF0070C0"/>
        <color rgb="FF00B050"/>
        <color rgb="FFFF0000"/>
      </colorScale>
    </cfRule>
  </conditionalFormatting>
  <conditionalFormatting sqref="Q103">
    <cfRule type="colorScale" priority="277">
      <colorScale>
        <cfvo type="num" val="$Q$41"/>
        <cfvo type="num" val="$Q$40"/>
        <cfvo type="num" val="$Q$39"/>
        <color rgb="FF0070C0"/>
        <color rgb="FF00B050"/>
        <color rgb="FFFF0000"/>
      </colorScale>
    </cfRule>
  </conditionalFormatting>
  <conditionalFormatting sqref="Q116">
    <cfRule type="colorScale" priority="266">
      <colorScale>
        <cfvo type="num" val="$Q$41"/>
        <cfvo type="num" val="$Q$40"/>
        <cfvo type="num" val="$Q$39"/>
        <color rgb="FF0070C0"/>
        <color rgb="FF00B050"/>
        <color rgb="FFFF0000"/>
      </colorScale>
    </cfRule>
  </conditionalFormatting>
  <conditionalFormatting sqref="Q129">
    <cfRule type="colorScale" priority="255">
      <colorScale>
        <cfvo type="num" val="$Q$41"/>
        <cfvo type="num" val="$Q$40"/>
        <cfvo type="num" val="$Q$39"/>
        <color rgb="FF0070C0"/>
        <color rgb="FF00B050"/>
        <color rgb="FFFF0000"/>
      </colorScale>
    </cfRule>
  </conditionalFormatting>
  <conditionalFormatting sqref="Q142">
    <cfRule type="colorScale" priority="244">
      <colorScale>
        <cfvo type="num" val="$Q$41"/>
        <cfvo type="num" val="$Q$40"/>
        <cfvo type="num" val="$Q$39"/>
        <color rgb="FF0070C0"/>
        <color rgb="FF00B050"/>
        <color rgb="FFFF0000"/>
      </colorScale>
    </cfRule>
  </conditionalFormatting>
  <conditionalFormatting sqref="Q207">
    <cfRule type="colorScale" priority="13">
      <colorScale>
        <cfvo type="num" val="$Q$41"/>
        <cfvo type="num" val="$Q$40"/>
        <cfvo type="num" val="$Q$39"/>
        <color rgb="FF0070C0"/>
        <color rgb="FF00B050"/>
        <color rgb="FFFF0000"/>
      </colorScale>
    </cfRule>
  </conditionalFormatting>
  <conditionalFormatting sqref="Q220">
    <cfRule type="colorScale" priority="24">
      <colorScale>
        <cfvo type="num" val="$Q$41"/>
        <cfvo type="num" val="$Q$40"/>
        <cfvo type="num" val="$Q$39"/>
        <color rgb="FF0070C0"/>
        <color rgb="FF00B050"/>
        <color rgb="FFFF0000"/>
      </colorScale>
    </cfRule>
  </conditionalFormatting>
  <conditionalFormatting sqref="Q285">
    <cfRule type="colorScale" priority="35">
      <colorScale>
        <cfvo type="num" val="$Q$41"/>
        <cfvo type="num" val="$Q$40"/>
        <cfvo type="num" val="$Q$39"/>
        <color rgb="FF0070C0"/>
        <color rgb="FF00B050"/>
        <color rgb="FFFF0000"/>
      </colorScale>
    </cfRule>
  </conditionalFormatting>
  <conditionalFormatting sqref="Q389">
    <cfRule type="colorScale" priority="46">
      <colorScale>
        <cfvo type="num" val="$Q$41"/>
        <cfvo type="num" val="$Q$40"/>
        <cfvo type="num" val="$Q$39"/>
        <color rgb="FF0070C0"/>
        <color rgb="FF00B050"/>
        <color rgb="FFFF0000"/>
      </colorScale>
    </cfRule>
  </conditionalFormatting>
  <conditionalFormatting sqref="Q402">
    <cfRule type="colorScale" priority="79">
      <colorScale>
        <cfvo type="num" val="$Q$41"/>
        <cfvo type="num" val="$Q$40"/>
        <cfvo type="num" val="$Q$39"/>
        <color rgb="FF0070C0"/>
        <color rgb="FF00B050"/>
        <color rgb="FFFF0000"/>
      </colorScale>
    </cfRule>
  </conditionalFormatting>
  <conditionalFormatting sqref="Q415">
    <cfRule type="colorScale" priority="90">
      <colorScale>
        <cfvo type="num" val="$Q$41"/>
        <cfvo type="num" val="$Q$40"/>
        <cfvo type="num" val="$Q$39"/>
        <color rgb="FF0070C0"/>
        <color rgb="FF00B050"/>
        <color rgb="FFFF0000"/>
      </colorScale>
    </cfRule>
  </conditionalFormatting>
  <conditionalFormatting sqref="Q428">
    <cfRule type="colorScale" priority="101">
      <colorScale>
        <cfvo type="num" val="$Q$41"/>
        <cfvo type="num" val="$Q$40"/>
        <cfvo type="num" val="$Q$39"/>
        <color rgb="FF0070C0"/>
        <color rgb="FF00B050"/>
        <color rgb="FFFF0000"/>
      </colorScale>
    </cfRule>
  </conditionalFormatting>
  <conditionalFormatting sqref="Q467">
    <cfRule type="colorScale" priority="2">
      <colorScale>
        <cfvo type="num" val="$Q$41"/>
        <cfvo type="num" val="$Q$40"/>
        <cfvo type="num" val="$Q$39"/>
        <color rgb="FF0070C0"/>
        <color rgb="FF00B050"/>
        <color rgb="FFFF0000"/>
      </colorScale>
    </cfRule>
  </conditionalFormatting>
  <conditionalFormatting sqref="Q480">
    <cfRule type="colorScale" priority="145">
      <colorScale>
        <cfvo type="num" val="$Q$41"/>
        <cfvo type="num" val="$Q$40"/>
        <cfvo type="num" val="$Q$39"/>
        <color rgb="FF0070C0"/>
        <color rgb="FF00B050"/>
        <color rgb="FFFF0000"/>
      </colorScale>
    </cfRule>
  </conditionalFormatting>
  <conditionalFormatting sqref="Q493">
    <cfRule type="colorScale" priority="123">
      <colorScale>
        <cfvo type="num" val="$Q$41"/>
        <cfvo type="num" val="$Q$40"/>
        <cfvo type="num" val="$Q$39"/>
        <color rgb="FF0070C0"/>
        <color rgb="FF00B050"/>
        <color rgb="FFFF0000"/>
      </colorScale>
    </cfRule>
  </conditionalFormatting>
  <conditionalFormatting sqref="R12">
    <cfRule type="colorScale" priority="320">
      <colorScale>
        <cfvo type="num" val="$R$41"/>
        <cfvo type="num" val="$R$40"/>
        <cfvo type="num" val="$R$39"/>
        <color rgb="FF0070C0"/>
        <color rgb="FF00B050"/>
        <color rgb="FFFF0000"/>
      </colorScale>
    </cfRule>
  </conditionalFormatting>
  <conditionalFormatting sqref="R25">
    <cfRule type="colorScale" priority="309">
      <colorScale>
        <cfvo type="num" val="$R$41"/>
        <cfvo type="num" val="$R$40"/>
        <cfvo type="num" val="$R$39"/>
        <color rgb="FF0070C0"/>
        <color rgb="FF00B050"/>
        <color rgb="FFFF0000"/>
      </colorScale>
    </cfRule>
  </conditionalFormatting>
  <conditionalFormatting sqref="R38">
    <cfRule type="colorScale" priority="353">
      <colorScale>
        <cfvo type="num" val="$R$41"/>
        <cfvo type="num" val="$R$40"/>
        <cfvo type="num" val="$R$39"/>
        <color rgb="FF0070C0"/>
        <color rgb="FF00B050"/>
        <color rgb="FFFF0000"/>
      </colorScale>
    </cfRule>
  </conditionalFormatting>
  <conditionalFormatting sqref="R51">
    <cfRule type="colorScale" priority="342">
      <colorScale>
        <cfvo type="num" val="$R$41"/>
        <cfvo type="num" val="$R$40"/>
        <cfvo type="num" val="$R$39"/>
        <color rgb="FF0070C0"/>
        <color rgb="FF00B050"/>
        <color rgb="FFFF0000"/>
      </colorScale>
    </cfRule>
  </conditionalFormatting>
  <conditionalFormatting sqref="R64">
    <cfRule type="colorScale" priority="331">
      <colorScale>
        <cfvo type="num" val="$R$41"/>
        <cfvo type="num" val="$R$40"/>
        <cfvo type="num" val="$R$39"/>
        <color rgb="FF0070C0"/>
        <color rgb="FF00B050"/>
        <color rgb="FFFF0000"/>
      </colorScale>
    </cfRule>
  </conditionalFormatting>
  <conditionalFormatting sqref="R77">
    <cfRule type="colorScale" priority="298">
      <colorScale>
        <cfvo type="num" val="$R$41"/>
        <cfvo type="num" val="$R$40"/>
        <cfvo type="num" val="$R$39"/>
        <color rgb="FF0070C0"/>
        <color rgb="FF00B050"/>
        <color rgb="FFFF0000"/>
      </colorScale>
    </cfRule>
  </conditionalFormatting>
  <conditionalFormatting sqref="R90">
    <cfRule type="colorScale" priority="287">
      <colorScale>
        <cfvo type="num" val="$R$41"/>
        <cfvo type="num" val="$R$40"/>
        <cfvo type="num" val="$R$39"/>
        <color rgb="FF0070C0"/>
        <color rgb="FF00B050"/>
        <color rgb="FFFF0000"/>
      </colorScale>
    </cfRule>
  </conditionalFormatting>
  <conditionalFormatting sqref="R103">
    <cfRule type="colorScale" priority="276">
      <colorScale>
        <cfvo type="num" val="$R$41"/>
        <cfvo type="num" val="$R$40"/>
        <cfvo type="num" val="$R$39"/>
        <color rgb="FF0070C0"/>
        <color rgb="FF00B050"/>
        <color rgb="FFFF0000"/>
      </colorScale>
    </cfRule>
  </conditionalFormatting>
  <conditionalFormatting sqref="R116">
    <cfRule type="colorScale" priority="265">
      <colorScale>
        <cfvo type="num" val="$R$41"/>
        <cfvo type="num" val="$R$40"/>
        <cfvo type="num" val="$R$39"/>
        <color rgb="FF0070C0"/>
        <color rgb="FF00B050"/>
        <color rgb="FFFF0000"/>
      </colorScale>
    </cfRule>
  </conditionalFormatting>
  <conditionalFormatting sqref="R129">
    <cfRule type="colorScale" priority="254">
      <colorScale>
        <cfvo type="num" val="$R$41"/>
        <cfvo type="num" val="$R$40"/>
        <cfvo type="num" val="$R$39"/>
        <color rgb="FF0070C0"/>
        <color rgb="FF00B050"/>
        <color rgb="FFFF0000"/>
      </colorScale>
    </cfRule>
  </conditionalFormatting>
  <conditionalFormatting sqref="R142">
    <cfRule type="colorScale" priority="243">
      <colorScale>
        <cfvo type="num" val="$R$41"/>
        <cfvo type="num" val="$R$40"/>
        <cfvo type="num" val="$R$39"/>
        <color rgb="FF0070C0"/>
        <color rgb="FF00B050"/>
        <color rgb="FFFF0000"/>
      </colorScale>
    </cfRule>
  </conditionalFormatting>
  <conditionalFormatting sqref="R207">
    <cfRule type="colorScale" priority="12">
      <colorScale>
        <cfvo type="num" val="$R$41"/>
        <cfvo type="num" val="$R$40"/>
        <cfvo type="num" val="$R$39"/>
        <color rgb="FF0070C0"/>
        <color rgb="FF00B050"/>
        <color rgb="FFFF0000"/>
      </colorScale>
    </cfRule>
  </conditionalFormatting>
  <conditionalFormatting sqref="R220">
    <cfRule type="colorScale" priority="23">
      <colorScale>
        <cfvo type="num" val="$R$41"/>
        <cfvo type="num" val="$R$40"/>
        <cfvo type="num" val="$R$39"/>
        <color rgb="FF0070C0"/>
        <color rgb="FF00B050"/>
        <color rgb="FFFF0000"/>
      </colorScale>
    </cfRule>
  </conditionalFormatting>
  <conditionalFormatting sqref="R285">
    <cfRule type="colorScale" priority="34">
      <colorScale>
        <cfvo type="num" val="$R$41"/>
        <cfvo type="num" val="$R$40"/>
        <cfvo type="num" val="$R$39"/>
        <color rgb="FF0070C0"/>
        <color rgb="FF00B050"/>
        <color rgb="FFFF0000"/>
      </colorScale>
    </cfRule>
  </conditionalFormatting>
  <conditionalFormatting sqref="R389">
    <cfRule type="colorScale" priority="45">
      <colorScale>
        <cfvo type="num" val="$R$41"/>
        <cfvo type="num" val="$R$40"/>
        <cfvo type="num" val="$R$39"/>
        <color rgb="FF0070C0"/>
        <color rgb="FF00B050"/>
        <color rgb="FFFF0000"/>
      </colorScale>
    </cfRule>
  </conditionalFormatting>
  <conditionalFormatting sqref="R402">
    <cfRule type="colorScale" priority="78">
      <colorScale>
        <cfvo type="num" val="$R$41"/>
        <cfvo type="num" val="$R$40"/>
        <cfvo type="num" val="$R$39"/>
        <color rgb="FF0070C0"/>
        <color rgb="FF00B050"/>
        <color rgb="FFFF0000"/>
      </colorScale>
    </cfRule>
  </conditionalFormatting>
  <conditionalFormatting sqref="R415">
    <cfRule type="colorScale" priority="89">
      <colorScale>
        <cfvo type="num" val="$R$41"/>
        <cfvo type="num" val="$R$40"/>
        <cfvo type="num" val="$R$39"/>
        <color rgb="FF0070C0"/>
        <color rgb="FF00B050"/>
        <color rgb="FFFF0000"/>
      </colorScale>
    </cfRule>
  </conditionalFormatting>
  <conditionalFormatting sqref="R428">
    <cfRule type="colorScale" priority="100">
      <colorScale>
        <cfvo type="num" val="$R$41"/>
        <cfvo type="num" val="$R$40"/>
        <cfvo type="num" val="$R$39"/>
        <color rgb="FF0070C0"/>
        <color rgb="FF00B050"/>
        <color rgb="FFFF0000"/>
      </colorScale>
    </cfRule>
  </conditionalFormatting>
  <conditionalFormatting sqref="R467">
    <cfRule type="colorScale" priority="1">
      <colorScale>
        <cfvo type="num" val="$R$41"/>
        <cfvo type="num" val="$R$40"/>
        <cfvo type="num" val="$R$39"/>
        <color rgb="FF0070C0"/>
        <color rgb="FF00B050"/>
        <color rgb="FFFF0000"/>
      </colorScale>
    </cfRule>
  </conditionalFormatting>
  <conditionalFormatting sqref="R480">
    <cfRule type="colorScale" priority="144">
      <colorScale>
        <cfvo type="num" val="$R$41"/>
        <cfvo type="num" val="$R$40"/>
        <cfvo type="num" val="$R$39"/>
        <color rgb="FF0070C0"/>
        <color rgb="FF00B050"/>
        <color rgb="FFFF0000"/>
      </colorScale>
    </cfRule>
  </conditionalFormatting>
  <conditionalFormatting sqref="R493">
    <cfRule type="colorScale" priority="122">
      <colorScale>
        <cfvo type="num" val="$R$41"/>
        <cfvo type="num" val="$R$40"/>
        <cfvo type="num" val="$R$39"/>
        <color rgb="FF0070C0"/>
        <color rgb="FF00B050"/>
        <color rgb="FFFF0000"/>
      </colorScale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D644"/>
  <sheetViews>
    <sheetView workbookViewId="0">
      <pane xSplit="4" ySplit="2" topLeftCell="E3" activePane="bottomRight" state="frozen"/>
      <selection pane="topRight"/>
      <selection pane="bottomLeft"/>
      <selection pane="bottomRight" activeCell="C155" sqref="C155"/>
    </sheetView>
  </sheetViews>
  <sheetFormatPr defaultColWidth="9" defaultRowHeight="13.8"/>
  <cols>
    <col min="1" max="1" width="14.77734375" style="1" customWidth="1"/>
    <col min="2" max="2" width="15.77734375" style="1" customWidth="1"/>
    <col min="3" max="3" width="24.109375" style="1" customWidth="1"/>
    <col min="4" max="4" width="14.77734375" style="1" customWidth="1"/>
    <col min="5" max="5" width="18.6640625" style="127" customWidth="1"/>
    <col min="6" max="6" width="18.33203125" style="127" customWidth="1"/>
    <col min="7" max="7" width="9" style="127" customWidth="1"/>
    <col min="8" max="8" width="12.109375" style="127" customWidth="1"/>
    <col min="9" max="16" width="8.88671875" style="127"/>
    <col min="17" max="18" width="8.88671875" style="79"/>
    <col min="19" max="19" width="16.77734375" style="127" customWidth="1"/>
    <col min="20" max="20" width="19.88671875" style="127" customWidth="1"/>
    <col min="21" max="21" width="8.88671875" style="79"/>
    <col min="22" max="22" width="12.21875" style="127" customWidth="1"/>
    <col min="23" max="23" width="12.109375" style="127" customWidth="1"/>
    <col min="24" max="24" width="12.6640625" style="2" customWidth="1"/>
    <col min="25" max="25" width="12.109375" style="2" customWidth="1"/>
    <col min="26" max="26" width="12.6640625" style="128" customWidth="1"/>
    <col min="27" max="27" width="13.21875" style="2" customWidth="1"/>
    <col min="28" max="28" width="12.88671875" style="2" customWidth="1"/>
    <col min="29" max="29" width="14.77734375" style="236" customWidth="1"/>
    <col min="30" max="31" width="9" style="235"/>
    <col min="32" max="32" width="18.33203125" style="235" customWidth="1"/>
  </cols>
  <sheetData>
    <row r="1" spans="1:32" ht="14.4">
      <c r="A1" s="276" t="s">
        <v>269</v>
      </c>
      <c r="B1" s="280" t="s">
        <v>166</v>
      </c>
      <c r="C1" s="276" t="s">
        <v>270</v>
      </c>
      <c r="D1" s="276" t="s">
        <v>271</v>
      </c>
      <c r="E1" s="289" t="s">
        <v>272</v>
      </c>
      <c r="F1" s="289" t="s">
        <v>273</v>
      </c>
      <c r="G1" s="290" t="s">
        <v>274</v>
      </c>
      <c r="H1" s="287" t="s">
        <v>49</v>
      </c>
      <c r="I1" s="287" t="s">
        <v>275</v>
      </c>
      <c r="J1" s="287"/>
      <c r="K1" s="287"/>
      <c r="L1" s="287"/>
      <c r="M1" s="287"/>
      <c r="N1" s="287"/>
      <c r="O1" s="287"/>
      <c r="P1" s="287"/>
      <c r="Q1" s="287"/>
      <c r="R1" s="287"/>
      <c r="S1" s="287" t="s">
        <v>276</v>
      </c>
      <c r="T1" s="287"/>
      <c r="U1" s="287"/>
      <c r="V1" s="287"/>
      <c r="W1" s="287"/>
      <c r="X1" s="288" t="s">
        <v>277</v>
      </c>
      <c r="Y1" s="288"/>
      <c r="Z1" s="288"/>
      <c r="AA1" s="288"/>
      <c r="AB1" s="288"/>
      <c r="AC1" s="284" t="s">
        <v>278</v>
      </c>
      <c r="AD1" s="285" t="s">
        <v>279</v>
      </c>
      <c r="AE1" s="285" t="s">
        <v>280</v>
      </c>
      <c r="AF1" s="285" t="s">
        <v>281</v>
      </c>
    </row>
    <row r="2" spans="1:32" ht="14.4">
      <c r="A2" s="276"/>
      <c r="B2" s="276"/>
      <c r="C2" s="276"/>
      <c r="D2" s="276"/>
      <c r="E2" s="289"/>
      <c r="F2" s="289"/>
      <c r="G2" s="289"/>
      <c r="H2" s="287"/>
      <c r="I2" s="130" t="s">
        <v>39</v>
      </c>
      <c r="J2" s="130" t="s">
        <v>40</v>
      </c>
      <c r="K2" s="130" t="s">
        <v>41</v>
      </c>
      <c r="L2" s="130" t="s">
        <v>282</v>
      </c>
      <c r="M2" s="130" t="s">
        <v>283</v>
      </c>
      <c r="N2" s="130" t="s">
        <v>284</v>
      </c>
      <c r="O2" s="130" t="s">
        <v>285</v>
      </c>
      <c r="P2" s="130" t="s">
        <v>286</v>
      </c>
      <c r="Q2" s="131" t="s">
        <v>287</v>
      </c>
      <c r="R2" s="131" t="s">
        <v>288</v>
      </c>
      <c r="S2" s="130" t="s">
        <v>289</v>
      </c>
      <c r="T2" s="130" t="s">
        <v>290</v>
      </c>
      <c r="U2" s="131" t="s">
        <v>291</v>
      </c>
      <c r="V2" s="130" t="s">
        <v>292</v>
      </c>
      <c r="W2" s="130" t="s">
        <v>293</v>
      </c>
      <c r="X2" s="130" t="s">
        <v>289</v>
      </c>
      <c r="Y2" s="130" t="s">
        <v>290</v>
      </c>
      <c r="Z2" s="131" t="s">
        <v>291</v>
      </c>
      <c r="AA2" s="130" t="s">
        <v>292</v>
      </c>
      <c r="AB2" s="130" t="s">
        <v>293</v>
      </c>
      <c r="AC2" s="284"/>
      <c r="AD2" s="284"/>
      <c r="AE2" s="284"/>
      <c r="AF2" s="284"/>
    </row>
    <row r="3" spans="1:32" ht="14.4">
      <c r="A3" s="1" t="s">
        <v>60</v>
      </c>
      <c r="B3" s="286" t="s">
        <v>518</v>
      </c>
      <c r="C3" s="1" t="s">
        <v>519</v>
      </c>
      <c r="D3" s="129" t="s">
        <v>294</v>
      </c>
      <c r="E3" s="127">
        <v>2.5732812727954499</v>
      </c>
      <c r="F3" s="127">
        <v>2.6661282424298598</v>
      </c>
      <c r="G3" s="127">
        <f t="shared" ref="G3:G66" si="0">100*H3/(100-H3)</f>
        <v>4.2999999999999963</v>
      </c>
      <c r="H3" s="127">
        <v>4.1227229146692199</v>
      </c>
      <c r="I3" s="127">
        <v>1199.8</v>
      </c>
      <c r="J3" s="127">
        <v>715.7</v>
      </c>
      <c r="K3" s="127">
        <v>1205.3</v>
      </c>
      <c r="L3" s="127">
        <v>64.3</v>
      </c>
      <c r="M3" s="127">
        <v>63.8</v>
      </c>
      <c r="N3" s="127">
        <v>64.3</v>
      </c>
      <c r="O3" s="127" t="s">
        <v>73</v>
      </c>
      <c r="P3" s="127">
        <v>64.133333333333297</v>
      </c>
      <c r="Q3" s="79">
        <v>14.03</v>
      </c>
      <c r="R3" s="79">
        <v>3.34</v>
      </c>
      <c r="S3" s="127">
        <f>I3/(K3-J3)</f>
        <v>2.450571895424837</v>
      </c>
      <c r="T3" s="127">
        <f t="shared" ref="T3:T66" si="1">0.9971*S3</f>
        <v>2.4434652369281049</v>
      </c>
      <c r="U3" s="79">
        <f>100*(1-T3/E3)</f>
        <v>5.0447666658033459</v>
      </c>
      <c r="V3" s="127">
        <f>100-T3*(100-H3)/F3</f>
        <v>12.129960651923682</v>
      </c>
      <c r="W3" s="127">
        <f>100*(V3-U3)/V3</f>
        <v>58.410692247354483</v>
      </c>
      <c r="X3" s="132">
        <f>AVERAGE(S3:S7)</f>
        <v>2.462030127112147</v>
      </c>
      <c r="Y3" s="132">
        <f t="shared" ref="Y3:AB3" si="2">AVERAGE(T3:T7)</f>
        <v>2.4548902397435217</v>
      </c>
      <c r="Z3" s="133">
        <f t="shared" si="2"/>
        <v>4.6007808902800491</v>
      </c>
      <c r="AA3" s="132">
        <f t="shared" si="2"/>
        <v>11.719103385869573</v>
      </c>
      <c r="AB3" s="132">
        <f t="shared" si="2"/>
        <v>60.874132674209285</v>
      </c>
      <c r="AC3" s="235">
        <v>161</v>
      </c>
      <c r="AD3" s="235">
        <v>91</v>
      </c>
      <c r="AE3" s="235">
        <v>44</v>
      </c>
      <c r="AF3" s="235">
        <v>15</v>
      </c>
    </row>
    <row r="4" spans="1:32" ht="14.4">
      <c r="A4" s="1" t="s">
        <v>60</v>
      </c>
      <c r="B4" s="286"/>
      <c r="C4" s="1" t="s">
        <v>519</v>
      </c>
      <c r="D4" s="129" t="s">
        <v>295</v>
      </c>
      <c r="E4" s="127">
        <v>2.5732812727954499</v>
      </c>
      <c r="F4" s="127">
        <v>2.6661282424298598</v>
      </c>
      <c r="G4" s="127">
        <f t="shared" si="0"/>
        <v>4.2999999999999963</v>
      </c>
      <c r="H4" s="127">
        <v>4.1227229146692199</v>
      </c>
      <c r="I4" s="127">
        <v>1205.0999999999999</v>
      </c>
      <c r="J4" s="127">
        <v>718</v>
      </c>
      <c r="K4" s="127">
        <v>1209.7</v>
      </c>
      <c r="L4" s="127">
        <v>63.9</v>
      </c>
      <c r="M4" s="127">
        <v>64.099999999999994</v>
      </c>
      <c r="N4" s="127">
        <v>64</v>
      </c>
      <c r="O4" s="127" t="s">
        <v>73</v>
      </c>
      <c r="P4" s="127">
        <v>64</v>
      </c>
      <c r="Q4" s="79">
        <v>12.47</v>
      </c>
      <c r="R4" s="79">
        <v>2.87</v>
      </c>
      <c r="S4" s="127">
        <f t="shared" ref="S4:S66" si="3">I4/(K4-J4)</f>
        <v>2.4508846857840143</v>
      </c>
      <c r="T4" s="127">
        <f t="shared" si="1"/>
        <v>2.4437771201952407</v>
      </c>
      <c r="U4" s="79">
        <f t="shared" ref="U4:U66" si="4">100*(1-T4/E4)</f>
        <v>5.0326466045246594</v>
      </c>
      <c r="V4" s="127">
        <f t="shared" ref="V4:V66" si="5">100-T4*(100-H4)/F4</f>
        <v>12.118744942962067</v>
      </c>
      <c r="W4" s="127">
        <f t="shared" ref="W4:W66" si="6">100*(V4-U4)/V4</f>
        <v>58.472212855281207</v>
      </c>
      <c r="AC4" s="235">
        <v>161</v>
      </c>
      <c r="AD4" s="235">
        <v>91</v>
      </c>
      <c r="AE4" s="235">
        <v>44</v>
      </c>
      <c r="AF4" s="235">
        <v>15</v>
      </c>
    </row>
    <row r="5" spans="1:32" ht="14.4">
      <c r="A5" s="1" t="s">
        <v>60</v>
      </c>
      <c r="B5" s="286"/>
      <c r="C5" s="1" t="s">
        <v>519</v>
      </c>
      <c r="D5" s="129" t="s">
        <v>296</v>
      </c>
      <c r="E5" s="127">
        <v>2.5732812727954499</v>
      </c>
      <c r="F5" s="127">
        <v>2.6661282424298598</v>
      </c>
      <c r="G5" s="127">
        <f t="shared" si="0"/>
        <v>4.2999999999999963</v>
      </c>
      <c r="H5" s="127">
        <v>4.1227229146692199</v>
      </c>
      <c r="I5" s="127">
        <v>1199.4000000000001</v>
      </c>
      <c r="J5" s="127">
        <v>716.3</v>
      </c>
      <c r="K5" s="127">
        <v>1202.5999999999999</v>
      </c>
      <c r="L5" s="127">
        <v>63</v>
      </c>
      <c r="M5" s="127">
        <v>63.4</v>
      </c>
      <c r="N5" s="127">
        <v>63.1</v>
      </c>
      <c r="O5" s="127" t="s">
        <v>73</v>
      </c>
      <c r="P5" s="127">
        <v>63.1666666666667</v>
      </c>
      <c r="Q5" s="79">
        <v>14.58</v>
      </c>
      <c r="R5" s="79">
        <v>3.88</v>
      </c>
      <c r="S5" s="127">
        <f t="shared" si="3"/>
        <v>2.4663787785317708</v>
      </c>
      <c r="T5" s="127">
        <f t="shared" si="1"/>
        <v>2.4592262800740285</v>
      </c>
      <c r="U5" s="79">
        <f t="shared" si="4"/>
        <v>4.4322785047714248</v>
      </c>
      <c r="V5" s="127">
        <f t="shared" si="5"/>
        <v>11.563173999726345</v>
      </c>
      <c r="W5" s="127">
        <f t="shared" si="6"/>
        <v>61.66901488400746</v>
      </c>
      <c r="AC5" s="235">
        <v>161</v>
      </c>
      <c r="AD5" s="235">
        <v>91</v>
      </c>
      <c r="AE5" s="235">
        <v>44</v>
      </c>
      <c r="AF5" s="235">
        <v>15</v>
      </c>
    </row>
    <row r="6" spans="1:32" ht="14.4">
      <c r="A6" s="1" t="s">
        <v>60</v>
      </c>
      <c r="B6" s="286"/>
      <c r="C6" s="1" t="s">
        <v>519</v>
      </c>
      <c r="D6" s="129" t="s">
        <v>297</v>
      </c>
      <c r="E6" s="127">
        <v>2.5732812727954499</v>
      </c>
      <c r="F6" s="127">
        <v>2.6661282424298598</v>
      </c>
      <c r="G6" s="127">
        <f t="shared" si="0"/>
        <v>4.2999999999999963</v>
      </c>
      <c r="H6" s="127">
        <v>4.1227229146692199</v>
      </c>
      <c r="I6" s="127">
        <v>1199.0999999999999</v>
      </c>
      <c r="J6" s="127">
        <v>715.1</v>
      </c>
      <c r="K6" s="127">
        <v>1203.5999999999999</v>
      </c>
      <c r="L6" s="127">
        <v>63.7</v>
      </c>
      <c r="M6" s="127">
        <v>63.4</v>
      </c>
      <c r="N6" s="127">
        <v>63.5</v>
      </c>
      <c r="O6" s="127" t="s">
        <v>73</v>
      </c>
      <c r="P6" s="127">
        <v>63.533333333333303</v>
      </c>
      <c r="Q6" s="79">
        <v>15.7</v>
      </c>
      <c r="R6" s="79">
        <v>3.93</v>
      </c>
      <c r="S6" s="127">
        <f t="shared" si="3"/>
        <v>2.4546571136131017</v>
      </c>
      <c r="T6" s="127">
        <f t="shared" si="1"/>
        <v>2.4475386079836237</v>
      </c>
      <c r="U6" s="79">
        <f t="shared" si="4"/>
        <v>4.886471842047313</v>
      </c>
      <c r="V6" s="127">
        <f t="shared" si="5"/>
        <v>11.983477178568563</v>
      </c>
      <c r="W6" s="127">
        <f t="shared" si="6"/>
        <v>59.223255744281346</v>
      </c>
      <c r="AC6" s="235">
        <v>161</v>
      </c>
      <c r="AD6" s="235">
        <v>91</v>
      </c>
      <c r="AE6" s="235">
        <v>44</v>
      </c>
      <c r="AF6" s="235">
        <v>15</v>
      </c>
    </row>
    <row r="7" spans="1:32" ht="14.4">
      <c r="A7" s="1" t="s">
        <v>60</v>
      </c>
      <c r="B7" s="286"/>
      <c r="C7" s="1" t="s">
        <v>519</v>
      </c>
      <c r="D7" s="129" t="s">
        <v>298</v>
      </c>
      <c r="E7" s="127">
        <v>2.5732812727954499</v>
      </c>
      <c r="F7" s="127">
        <v>2.6661282424298598</v>
      </c>
      <c r="G7" s="127">
        <f t="shared" si="0"/>
        <v>4.2999999999999963</v>
      </c>
      <c r="H7" s="127">
        <v>4.1227229146692199</v>
      </c>
      <c r="I7" s="127">
        <v>1199.3</v>
      </c>
      <c r="J7" s="127">
        <v>719.9</v>
      </c>
      <c r="K7" s="127">
        <v>1202</v>
      </c>
      <c r="L7" s="127">
        <v>61.7</v>
      </c>
      <c r="M7" s="127">
        <v>61.7</v>
      </c>
      <c r="N7" s="127">
        <v>61.9</v>
      </c>
      <c r="O7" s="127" t="s">
        <v>73</v>
      </c>
      <c r="P7" s="127">
        <v>61.766666666666701</v>
      </c>
      <c r="Q7" s="79">
        <v>15.52</v>
      </c>
      <c r="R7" s="79">
        <v>2.88</v>
      </c>
      <c r="S7" s="127">
        <f t="shared" si="3"/>
        <v>2.4876581622070106</v>
      </c>
      <c r="T7" s="127">
        <f t="shared" si="1"/>
        <v>2.4804439535366103</v>
      </c>
      <c r="U7" s="79">
        <f t="shared" si="4"/>
        <v>3.6077408342535033</v>
      </c>
      <c r="V7" s="127">
        <f t="shared" si="5"/>
        <v>10.800160156167209</v>
      </c>
      <c r="W7" s="127">
        <f t="shared" si="6"/>
        <v>66.595487640121917</v>
      </c>
      <c r="AC7" s="235">
        <v>161</v>
      </c>
      <c r="AD7" s="235">
        <v>91</v>
      </c>
      <c r="AE7" s="235">
        <v>44</v>
      </c>
      <c r="AF7" s="235">
        <v>15</v>
      </c>
    </row>
    <row r="8" spans="1:32" ht="14.4">
      <c r="A8" s="1" t="s">
        <v>60</v>
      </c>
      <c r="B8" s="286"/>
      <c r="C8" s="1" t="s">
        <v>520</v>
      </c>
      <c r="D8" s="129" t="s">
        <v>294</v>
      </c>
      <c r="E8" s="127">
        <v>2.5732812727954499</v>
      </c>
      <c r="F8" s="127">
        <v>2.6661282424298598</v>
      </c>
      <c r="G8" s="127">
        <f t="shared" si="0"/>
        <v>4.2999999999999963</v>
      </c>
      <c r="H8" s="127">
        <v>4.1227229146692199</v>
      </c>
      <c r="I8" s="127">
        <v>1202.2</v>
      </c>
      <c r="J8" s="127">
        <v>711</v>
      </c>
      <c r="K8" s="127">
        <v>1210.0999999999999</v>
      </c>
      <c r="L8" s="127">
        <v>65.099999999999994</v>
      </c>
      <c r="M8" s="127">
        <v>65.3</v>
      </c>
      <c r="N8" s="127">
        <v>65.099999999999994</v>
      </c>
      <c r="O8" s="127" t="s">
        <v>73</v>
      </c>
      <c r="P8" s="127">
        <v>65.1666666666667</v>
      </c>
      <c r="Q8" s="79">
        <v>13.55</v>
      </c>
      <c r="R8" s="79">
        <v>2.96</v>
      </c>
      <c r="S8" s="127">
        <f t="shared" si="3"/>
        <v>2.4087357243037473</v>
      </c>
      <c r="T8" s="127">
        <f t="shared" si="1"/>
        <v>2.4017503907032665</v>
      </c>
      <c r="U8" s="79">
        <f t="shared" si="4"/>
        <v>6.6658427085136811</v>
      </c>
      <c r="V8" s="127">
        <f t="shared" si="5"/>
        <v>13.630078240575656</v>
      </c>
      <c r="W8" s="127">
        <f t="shared" si="6"/>
        <v>51.094611557914625</v>
      </c>
      <c r="X8" s="132">
        <f>AVERAGE(S8:S12)</f>
        <v>2.4406520294016487</v>
      </c>
      <c r="Y8" s="132">
        <f t="shared" ref="Y8" si="7">AVERAGE(T8:T12)</f>
        <v>2.4335741385163843</v>
      </c>
      <c r="Z8" s="133">
        <f t="shared" ref="Z8" si="8">AVERAGE(U8:U12)</f>
        <v>5.4291435513109265</v>
      </c>
      <c r="AA8" s="132">
        <f t="shared" ref="AA8" si="9">AVERAGE(V8:V12)</f>
        <v>12.485656813873694</v>
      </c>
      <c r="AB8" s="132">
        <f t="shared" ref="AB8" si="10">AVERAGE(W8:W12)</f>
        <v>56.72932612571789</v>
      </c>
      <c r="AC8" s="235">
        <v>161</v>
      </c>
      <c r="AD8" s="235">
        <v>91</v>
      </c>
      <c r="AE8" s="235">
        <v>44</v>
      </c>
      <c r="AF8" s="235">
        <v>15</v>
      </c>
    </row>
    <row r="9" spans="1:32" ht="14.4">
      <c r="A9" s="1" t="s">
        <v>60</v>
      </c>
      <c r="B9" s="286"/>
      <c r="C9" s="1" t="s">
        <v>520</v>
      </c>
      <c r="D9" s="129" t="s">
        <v>295</v>
      </c>
      <c r="E9" s="127">
        <v>2.5732812727954499</v>
      </c>
      <c r="F9" s="127">
        <v>2.6661282424298598</v>
      </c>
      <c r="G9" s="127">
        <f t="shared" si="0"/>
        <v>4.2999999999999963</v>
      </c>
      <c r="H9" s="127">
        <v>4.1227229146692199</v>
      </c>
      <c r="I9" s="127">
        <v>1196.0999999999999</v>
      </c>
      <c r="J9" s="127">
        <v>712.3</v>
      </c>
      <c r="K9" s="127">
        <v>1202.7</v>
      </c>
      <c r="L9" s="127">
        <v>63.9</v>
      </c>
      <c r="M9" s="127">
        <v>64</v>
      </c>
      <c r="N9" s="127">
        <v>63.8</v>
      </c>
      <c r="O9" s="127" t="s">
        <v>73</v>
      </c>
      <c r="P9" s="127">
        <v>63.9</v>
      </c>
      <c r="Q9" s="79">
        <v>13.15</v>
      </c>
      <c r="R9" s="79">
        <v>3.27</v>
      </c>
      <c r="S9" s="127">
        <f t="shared" si="3"/>
        <v>2.4390293637846647</v>
      </c>
      <c r="T9" s="127">
        <f t="shared" si="1"/>
        <v>2.4319561786296893</v>
      </c>
      <c r="U9" s="79">
        <f t="shared" si="4"/>
        <v>5.4920189121896552</v>
      </c>
      <c r="V9" s="127">
        <f t="shared" si="5"/>
        <v>12.543840657359112</v>
      </c>
      <c r="W9" s="127">
        <f t="shared" si="6"/>
        <v>56.21740532101191</v>
      </c>
      <c r="AC9" s="235">
        <v>161</v>
      </c>
      <c r="AD9" s="235">
        <v>91</v>
      </c>
      <c r="AE9" s="235">
        <v>44</v>
      </c>
      <c r="AF9" s="235">
        <v>15</v>
      </c>
    </row>
    <row r="10" spans="1:32" ht="14.4">
      <c r="A10" s="1" t="s">
        <v>60</v>
      </c>
      <c r="B10" s="286"/>
      <c r="C10" s="1" t="s">
        <v>520</v>
      </c>
      <c r="D10" s="129" t="s">
        <v>296</v>
      </c>
      <c r="E10" s="127">
        <v>2.5732812727954499</v>
      </c>
      <c r="F10" s="127">
        <v>2.6661282424298598</v>
      </c>
      <c r="G10" s="127">
        <f t="shared" si="0"/>
        <v>4.2999999999999963</v>
      </c>
      <c r="H10" s="127">
        <v>4.1227229146692199</v>
      </c>
      <c r="I10" s="127">
        <v>1198.4000000000001</v>
      </c>
      <c r="J10" s="127">
        <v>711.9</v>
      </c>
      <c r="K10" s="127">
        <v>1204.3</v>
      </c>
      <c r="L10" s="127">
        <v>63.8</v>
      </c>
      <c r="M10" s="127">
        <v>63.9</v>
      </c>
      <c r="N10" s="127">
        <v>63.7</v>
      </c>
      <c r="O10" s="127" t="s">
        <v>73</v>
      </c>
      <c r="P10" s="127">
        <v>63.8</v>
      </c>
      <c r="Q10" s="79">
        <v>16.329999999999998</v>
      </c>
      <c r="R10" s="79">
        <v>4.4400000000000004</v>
      </c>
      <c r="S10" s="127">
        <f t="shared" si="3"/>
        <v>2.4337936636880588</v>
      </c>
      <c r="T10" s="127">
        <f t="shared" si="1"/>
        <v>2.4267356620633636</v>
      </c>
      <c r="U10" s="79">
        <f t="shared" si="4"/>
        <v>5.6948928312406615</v>
      </c>
      <c r="V10" s="127">
        <f t="shared" si="5"/>
        <v>12.731576905523227</v>
      </c>
      <c r="W10" s="127">
        <f t="shared" si="6"/>
        <v>55.269540658627314</v>
      </c>
      <c r="AC10" s="235">
        <v>161</v>
      </c>
      <c r="AD10" s="235">
        <v>91</v>
      </c>
      <c r="AE10" s="235">
        <v>44</v>
      </c>
      <c r="AF10" s="235">
        <v>15</v>
      </c>
    </row>
    <row r="11" spans="1:32" ht="14.4">
      <c r="A11" s="1" t="s">
        <v>60</v>
      </c>
      <c r="B11" s="286"/>
      <c r="C11" s="1" t="s">
        <v>520</v>
      </c>
      <c r="D11" s="129" t="s">
        <v>297</v>
      </c>
      <c r="E11" s="127">
        <v>2.5732812727954499</v>
      </c>
      <c r="F11" s="127">
        <v>2.6661282424298598</v>
      </c>
      <c r="G11" s="127">
        <f t="shared" si="0"/>
        <v>4.2999999999999963</v>
      </c>
      <c r="H11" s="127">
        <v>4.1227229146692199</v>
      </c>
      <c r="I11" s="127">
        <v>1196.5999999999999</v>
      </c>
      <c r="J11" s="127">
        <v>712.9</v>
      </c>
      <c r="K11" s="127">
        <v>1200.7</v>
      </c>
      <c r="L11" s="127">
        <v>63</v>
      </c>
      <c r="M11" s="127">
        <v>62.7</v>
      </c>
      <c r="N11" s="127">
        <v>63</v>
      </c>
      <c r="O11" s="127" t="s">
        <v>73</v>
      </c>
      <c r="P11" s="127">
        <v>62.9</v>
      </c>
      <c r="Q11" s="79">
        <v>15.78</v>
      </c>
      <c r="R11" s="79">
        <v>3.05</v>
      </c>
      <c r="S11" s="127">
        <f t="shared" si="3"/>
        <v>2.4530545305453049</v>
      </c>
      <c r="T11" s="127">
        <f t="shared" si="1"/>
        <v>2.4459406724067234</v>
      </c>
      <c r="U11" s="79">
        <f t="shared" si="4"/>
        <v>4.9485690404295291</v>
      </c>
      <c r="V11" s="127">
        <f t="shared" si="5"/>
        <v>12.040940923047458</v>
      </c>
      <c r="W11" s="127">
        <f t="shared" si="6"/>
        <v>58.902140023313983</v>
      </c>
      <c r="AC11" s="235">
        <v>161</v>
      </c>
      <c r="AD11" s="235">
        <v>91</v>
      </c>
      <c r="AE11" s="235">
        <v>44</v>
      </c>
      <c r="AF11" s="235">
        <v>15</v>
      </c>
    </row>
    <row r="12" spans="1:32" ht="14.4">
      <c r="A12" s="1" t="s">
        <v>60</v>
      </c>
      <c r="B12" s="286"/>
      <c r="C12" s="1" t="s">
        <v>520</v>
      </c>
      <c r="D12" s="129" t="s">
        <v>298</v>
      </c>
      <c r="E12" s="127">
        <v>2.5732812727954499</v>
      </c>
      <c r="F12" s="127">
        <v>2.6661282424298598</v>
      </c>
      <c r="G12" s="127">
        <f t="shared" si="0"/>
        <v>4.2999999999999963</v>
      </c>
      <c r="H12" s="127">
        <v>4.1227229146692199</v>
      </c>
      <c r="I12" s="127">
        <v>1196.8</v>
      </c>
      <c r="J12" s="127">
        <v>715.9</v>
      </c>
      <c r="K12" s="127">
        <v>1200.7</v>
      </c>
      <c r="L12" s="127">
        <v>62.2</v>
      </c>
      <c r="M12" s="127">
        <v>62.2</v>
      </c>
      <c r="N12" s="127">
        <v>62.2</v>
      </c>
      <c r="O12" s="127" t="s">
        <v>73</v>
      </c>
      <c r="P12" s="127">
        <v>62.2</v>
      </c>
      <c r="Q12" s="79">
        <v>16.47</v>
      </c>
      <c r="R12" s="79">
        <v>4.46</v>
      </c>
      <c r="S12" s="127">
        <f t="shared" si="3"/>
        <v>2.4686468646864683</v>
      </c>
      <c r="T12" s="127">
        <f t="shared" si="1"/>
        <v>2.4614877887788777</v>
      </c>
      <c r="U12" s="79">
        <f t="shared" si="4"/>
        <v>4.3443942641811066</v>
      </c>
      <c r="V12" s="127">
        <f t="shared" si="5"/>
        <v>11.48184734286302</v>
      </c>
      <c r="W12" s="127">
        <f t="shared" si="6"/>
        <v>62.162933067721625</v>
      </c>
      <c r="AC12" s="235">
        <v>161</v>
      </c>
      <c r="AD12" s="235">
        <v>91</v>
      </c>
      <c r="AE12" s="235">
        <v>44</v>
      </c>
      <c r="AF12" s="235">
        <v>15</v>
      </c>
    </row>
    <row r="13" spans="1:32" ht="14.4">
      <c r="A13" s="1" t="s">
        <v>60</v>
      </c>
      <c r="B13" s="286"/>
      <c r="C13" s="1" t="s">
        <v>520</v>
      </c>
      <c r="D13" s="129" t="s">
        <v>299</v>
      </c>
      <c r="E13" s="127">
        <v>2.5732812727954499</v>
      </c>
      <c r="F13" s="127">
        <v>2.6661282424298598</v>
      </c>
      <c r="G13" s="127">
        <f t="shared" si="0"/>
        <v>4.2999999999999963</v>
      </c>
      <c r="H13" s="127">
        <v>4.1227229146692199</v>
      </c>
      <c r="I13" s="127">
        <v>1210.4000000000001</v>
      </c>
      <c r="J13" s="127">
        <v>722.3</v>
      </c>
      <c r="K13" s="127">
        <v>1214.2</v>
      </c>
      <c r="L13" s="127">
        <v>63.5</v>
      </c>
      <c r="M13" s="127">
        <v>63.5</v>
      </c>
      <c r="N13" s="127">
        <v>63.6</v>
      </c>
      <c r="O13" s="127" t="s">
        <v>73</v>
      </c>
      <c r="P13" s="127">
        <v>63.533333333333303</v>
      </c>
      <c r="Q13" s="79">
        <v>17.239999999999998</v>
      </c>
      <c r="R13" s="79">
        <v>2.85</v>
      </c>
      <c r="S13" s="127">
        <f t="shared" si="3"/>
        <v>2.4606627363285218</v>
      </c>
      <c r="T13" s="127">
        <f t="shared" si="1"/>
        <v>2.453526814393169</v>
      </c>
      <c r="U13" s="79">
        <f t="shared" si="4"/>
        <v>4.6537648125883795</v>
      </c>
      <c r="V13" s="127">
        <f t="shared" si="5"/>
        <v>11.768133851854131</v>
      </c>
      <c r="W13" s="127">
        <f t="shared" si="6"/>
        <v>60.454521751933044</v>
      </c>
      <c r="AC13" s="235">
        <v>161</v>
      </c>
      <c r="AD13" s="235">
        <v>91</v>
      </c>
      <c r="AE13" s="235">
        <v>44</v>
      </c>
      <c r="AF13" s="235">
        <v>15</v>
      </c>
    </row>
    <row r="14" spans="1:32" ht="14.4">
      <c r="A14" s="1" t="s">
        <v>60</v>
      </c>
      <c r="B14" s="286" t="s">
        <v>521</v>
      </c>
      <c r="C14" s="1" t="s">
        <v>522</v>
      </c>
      <c r="D14" s="129" t="s">
        <v>294</v>
      </c>
      <c r="E14" s="127">
        <v>2.5732812727954499</v>
      </c>
      <c r="F14" s="127">
        <v>2.6661282424298598</v>
      </c>
      <c r="G14" s="127">
        <f t="shared" si="0"/>
        <v>4.2999999999999963</v>
      </c>
      <c r="H14" s="127">
        <v>4.1227229146692199</v>
      </c>
      <c r="I14" s="127">
        <v>1201.5</v>
      </c>
      <c r="J14" s="127">
        <v>719.1</v>
      </c>
      <c r="K14" s="127">
        <v>1208.3</v>
      </c>
      <c r="L14" s="127">
        <v>64</v>
      </c>
      <c r="M14" s="127">
        <v>64</v>
      </c>
      <c r="N14" s="127">
        <v>64</v>
      </c>
      <c r="O14" s="127" t="s">
        <v>73</v>
      </c>
      <c r="P14" s="127">
        <v>64</v>
      </c>
      <c r="Q14" s="79">
        <v>16.14</v>
      </c>
      <c r="R14" s="79">
        <v>3.77</v>
      </c>
      <c r="S14" s="127">
        <f t="shared" si="3"/>
        <v>2.4560506950122654</v>
      </c>
      <c r="T14" s="127">
        <f t="shared" si="1"/>
        <v>2.44892814799673</v>
      </c>
      <c r="U14" s="79">
        <f t="shared" si="4"/>
        <v>4.8324730807072118</v>
      </c>
      <c r="V14" s="127">
        <f t="shared" si="5"/>
        <v>11.933507596934206</v>
      </c>
      <c r="W14" s="127">
        <f t="shared" si="6"/>
        <v>59.505006877033324</v>
      </c>
      <c r="X14" s="132">
        <f>AVERAGE(S14:S18)</f>
        <v>2.4849786544738039</v>
      </c>
      <c r="Y14" s="132">
        <f t="shared" ref="Y14" si="11">AVERAGE(T14:T18)</f>
        <v>2.47777221637583</v>
      </c>
      <c r="Z14" s="133">
        <f t="shared" ref="Z14" si="12">AVERAGE(U14:U18)</f>
        <v>3.7115669176679367</v>
      </c>
      <c r="AA14" s="132">
        <f t="shared" ref="AA14" si="13">AVERAGE(V14:V18)</f>
        <v>10.896239136910413</v>
      </c>
      <c r="AB14" s="132">
        <f t="shared" ref="AB14" si="14">AVERAGE(W14:W18)</f>
        <v>66.434485303810533</v>
      </c>
      <c r="AC14" s="235">
        <v>161</v>
      </c>
      <c r="AD14" s="235">
        <v>91</v>
      </c>
      <c r="AE14" s="235">
        <v>44</v>
      </c>
      <c r="AF14" s="235">
        <v>15</v>
      </c>
    </row>
    <row r="15" spans="1:32" ht="14.4">
      <c r="A15" s="1" t="s">
        <v>60</v>
      </c>
      <c r="B15" s="276"/>
      <c r="C15" s="1" t="s">
        <v>522</v>
      </c>
      <c r="D15" s="129" t="s">
        <v>295</v>
      </c>
      <c r="E15" s="127">
        <v>2.5732812727954499</v>
      </c>
      <c r="F15" s="127">
        <v>2.6661282424298598</v>
      </c>
      <c r="G15" s="127">
        <f t="shared" si="0"/>
        <v>4.2999999999999963</v>
      </c>
      <c r="H15" s="127">
        <v>4.1227229146692199</v>
      </c>
      <c r="I15" s="127">
        <v>1198.5</v>
      </c>
      <c r="J15" s="127">
        <v>716.2</v>
      </c>
      <c r="K15" s="127">
        <v>1204.2</v>
      </c>
      <c r="L15" s="127">
        <v>63</v>
      </c>
      <c r="M15" s="127">
        <v>63.2</v>
      </c>
      <c r="N15" s="127">
        <v>63</v>
      </c>
      <c r="O15" s="127" t="s">
        <v>73</v>
      </c>
      <c r="P15" s="127">
        <v>63.066666666666698</v>
      </c>
      <c r="Q15" s="79">
        <v>14.1</v>
      </c>
      <c r="R15" s="79">
        <v>3.42</v>
      </c>
      <c r="S15" s="127">
        <f t="shared" si="3"/>
        <v>2.4559426229508197</v>
      </c>
      <c r="T15" s="127">
        <f t="shared" si="1"/>
        <v>2.4488203893442622</v>
      </c>
      <c r="U15" s="79">
        <f t="shared" si="4"/>
        <v>4.8366606778271652</v>
      </c>
      <c r="V15" s="127">
        <f t="shared" si="5"/>
        <v>11.937382731677005</v>
      </c>
      <c r="W15" s="127">
        <f t="shared" si="6"/>
        <v>59.483072742632132</v>
      </c>
      <c r="AC15" s="235">
        <v>161</v>
      </c>
      <c r="AD15" s="235">
        <v>91</v>
      </c>
      <c r="AE15" s="235">
        <v>44</v>
      </c>
      <c r="AF15" s="235">
        <v>15</v>
      </c>
    </row>
    <row r="16" spans="1:32" ht="14.4">
      <c r="A16" s="1" t="s">
        <v>60</v>
      </c>
      <c r="B16" s="276"/>
      <c r="C16" s="1" t="s">
        <v>522</v>
      </c>
      <c r="D16" s="129" t="s">
        <v>296</v>
      </c>
      <c r="E16" s="127">
        <v>2.5732812727954499</v>
      </c>
      <c r="F16" s="127">
        <v>2.6661282424298598</v>
      </c>
      <c r="G16" s="127">
        <f t="shared" si="0"/>
        <v>4.2999999999999963</v>
      </c>
      <c r="H16" s="127">
        <v>4.1227229146692199</v>
      </c>
      <c r="I16" s="127">
        <v>1195.4000000000001</v>
      </c>
      <c r="J16" s="127">
        <v>720.5</v>
      </c>
      <c r="K16" s="127">
        <v>1200.5999999999999</v>
      </c>
      <c r="L16" s="127">
        <v>62.2</v>
      </c>
      <c r="M16" s="127">
        <v>62.2</v>
      </c>
      <c r="N16" s="127">
        <v>62.2</v>
      </c>
      <c r="O16" s="127" t="s">
        <v>73</v>
      </c>
      <c r="P16" s="127">
        <v>62.2</v>
      </c>
      <c r="Q16" s="79">
        <v>14.27</v>
      </c>
      <c r="R16" s="79">
        <v>2.79</v>
      </c>
      <c r="S16" s="127">
        <f t="shared" si="3"/>
        <v>2.4898979379295985</v>
      </c>
      <c r="T16" s="127">
        <f t="shared" si="1"/>
        <v>2.4826772339096026</v>
      </c>
      <c r="U16" s="79">
        <f t="shared" si="4"/>
        <v>3.5209535717570795</v>
      </c>
      <c r="V16" s="127">
        <f t="shared" si="5"/>
        <v>10.719848625115176</v>
      </c>
      <c r="W16" s="127">
        <f t="shared" si="6"/>
        <v>67.154820045611885</v>
      </c>
      <c r="AC16" s="235">
        <v>161</v>
      </c>
      <c r="AD16" s="235">
        <v>91</v>
      </c>
      <c r="AE16" s="235">
        <v>44</v>
      </c>
      <c r="AF16" s="235">
        <v>15</v>
      </c>
    </row>
    <row r="17" spans="1:32" ht="14.4">
      <c r="A17" s="1" t="s">
        <v>60</v>
      </c>
      <c r="B17" s="276"/>
      <c r="C17" s="1" t="s">
        <v>522</v>
      </c>
      <c r="D17" s="129" t="s">
        <v>297</v>
      </c>
      <c r="E17" s="127">
        <v>2.5732812727954499</v>
      </c>
      <c r="F17" s="127">
        <v>2.6661282424298598</v>
      </c>
      <c r="G17" s="127">
        <f t="shared" si="0"/>
        <v>4.2999999999999963</v>
      </c>
      <c r="H17" s="127">
        <v>4.1227229146692199</v>
      </c>
      <c r="I17" s="127">
        <v>1208.5</v>
      </c>
      <c r="J17" s="127">
        <v>729.4</v>
      </c>
      <c r="K17" s="127">
        <v>1210.8</v>
      </c>
      <c r="L17" s="127">
        <v>61</v>
      </c>
      <c r="M17" s="127">
        <v>61</v>
      </c>
      <c r="N17" s="127">
        <v>61</v>
      </c>
      <c r="O17" s="127" t="s">
        <v>73</v>
      </c>
      <c r="P17" s="127">
        <v>61</v>
      </c>
      <c r="Q17" s="79">
        <v>16.79</v>
      </c>
      <c r="R17" s="79">
        <v>5.71</v>
      </c>
      <c r="S17" s="127">
        <f t="shared" si="3"/>
        <v>2.510386373078521</v>
      </c>
      <c r="T17" s="127">
        <f t="shared" si="1"/>
        <v>2.5031062525965933</v>
      </c>
      <c r="U17" s="79">
        <f t="shared" si="4"/>
        <v>2.7270637275738974</v>
      </c>
      <c r="V17" s="127">
        <f t="shared" si="5"/>
        <v>9.9851957850668924</v>
      </c>
      <c r="W17" s="127">
        <f t="shared" si="6"/>
        <v>72.688930830457139</v>
      </c>
      <c r="AC17" s="235">
        <v>161</v>
      </c>
      <c r="AD17" s="235">
        <v>91</v>
      </c>
      <c r="AE17" s="235">
        <v>44</v>
      </c>
      <c r="AF17" s="235">
        <v>15</v>
      </c>
    </row>
    <row r="18" spans="1:32" ht="14.4">
      <c r="A18" s="1" t="s">
        <v>60</v>
      </c>
      <c r="B18" s="276"/>
      <c r="C18" s="1" t="s">
        <v>522</v>
      </c>
      <c r="D18" s="129" t="s">
        <v>298</v>
      </c>
      <c r="E18" s="127">
        <v>2.5732812727954499</v>
      </c>
      <c r="F18" s="127">
        <v>2.6661282424298598</v>
      </c>
      <c r="G18" s="127">
        <f t="shared" si="0"/>
        <v>4.2999999999999963</v>
      </c>
      <c r="H18" s="127">
        <v>4.1227229146692199</v>
      </c>
      <c r="I18" s="127">
        <v>1195</v>
      </c>
      <c r="J18" s="127">
        <v>722.5</v>
      </c>
      <c r="K18" s="127">
        <v>1198.0999999999999</v>
      </c>
      <c r="L18" s="127">
        <v>61</v>
      </c>
      <c r="M18" s="127">
        <v>61</v>
      </c>
      <c r="N18" s="127">
        <v>61</v>
      </c>
      <c r="O18" s="127" t="s">
        <v>73</v>
      </c>
      <c r="P18" s="127">
        <v>61</v>
      </c>
      <c r="Q18" s="79">
        <v>16.05</v>
      </c>
      <c r="R18" s="79">
        <v>4.54</v>
      </c>
      <c r="S18" s="127">
        <f t="shared" si="3"/>
        <v>2.512615643397814</v>
      </c>
      <c r="T18" s="127">
        <f t="shared" si="1"/>
        <v>2.5053290580319603</v>
      </c>
      <c r="U18" s="79">
        <f t="shared" si="4"/>
        <v>2.6406835304743304</v>
      </c>
      <c r="V18" s="127">
        <f t="shared" si="5"/>
        <v>9.9052609457587835</v>
      </c>
      <c r="W18" s="127">
        <f t="shared" si="6"/>
        <v>73.34059602331817</v>
      </c>
      <c r="AC18" s="235">
        <v>161</v>
      </c>
      <c r="AD18" s="235">
        <v>91</v>
      </c>
      <c r="AE18" s="235">
        <v>44</v>
      </c>
      <c r="AF18" s="235">
        <v>15</v>
      </c>
    </row>
    <row r="19" spans="1:32" ht="14.4">
      <c r="A19" s="1" t="s">
        <v>60</v>
      </c>
      <c r="B19" s="276"/>
      <c r="C19" s="1" t="s">
        <v>522</v>
      </c>
      <c r="D19" s="129" t="s">
        <v>299</v>
      </c>
      <c r="E19" s="127">
        <v>2.5732812727954499</v>
      </c>
      <c r="F19" s="127">
        <v>2.6661282424298598</v>
      </c>
      <c r="G19" s="127">
        <f t="shared" si="0"/>
        <v>4.2999999999999963</v>
      </c>
      <c r="H19" s="127">
        <v>4.1227229146692199</v>
      </c>
      <c r="I19" s="127">
        <v>1201.3</v>
      </c>
      <c r="J19" s="127">
        <v>725.4</v>
      </c>
      <c r="K19" s="127">
        <v>1205.2</v>
      </c>
      <c r="L19" s="127">
        <v>61.4</v>
      </c>
      <c r="M19" s="127">
        <v>61.1</v>
      </c>
      <c r="N19" s="127">
        <v>61.8</v>
      </c>
      <c r="O19" s="127" t="s">
        <v>73</v>
      </c>
      <c r="P19" s="127">
        <v>61.433333333333302</v>
      </c>
      <c r="Q19" s="79">
        <v>16.579999999999998</v>
      </c>
      <c r="R19" s="79">
        <v>5.18</v>
      </c>
      <c r="S19" s="127">
        <f t="shared" si="3"/>
        <v>2.5037515631513125</v>
      </c>
      <c r="T19" s="127">
        <f t="shared" si="1"/>
        <v>2.4964906836181737</v>
      </c>
      <c r="U19" s="79">
        <f t="shared" si="4"/>
        <v>2.9841506246946592</v>
      </c>
      <c r="V19" s="127">
        <f t="shared" si="5"/>
        <v>10.223099847567269</v>
      </c>
      <c r="W19" s="127">
        <f t="shared" si="6"/>
        <v>70.809728270385818</v>
      </c>
      <c r="AC19" s="235">
        <v>161</v>
      </c>
      <c r="AD19" s="235">
        <v>91</v>
      </c>
      <c r="AE19" s="235">
        <v>44</v>
      </c>
      <c r="AF19" s="235">
        <v>15</v>
      </c>
    </row>
    <row r="20" spans="1:32" ht="14.4">
      <c r="A20" s="1" t="s">
        <v>69</v>
      </c>
      <c r="B20" s="286" t="s">
        <v>197</v>
      </c>
      <c r="C20" s="1" t="s">
        <v>300</v>
      </c>
      <c r="D20" s="129" t="s">
        <v>294</v>
      </c>
      <c r="E20" s="127">
        <v>2.544</v>
      </c>
      <c r="F20" s="127">
        <v>2.6540904538855199</v>
      </c>
      <c r="G20" s="127">
        <f t="shared" si="0"/>
        <v>4.1999999999999984</v>
      </c>
      <c r="H20" s="127">
        <v>4.0307101727447199</v>
      </c>
      <c r="I20" s="129">
        <v>1233.5</v>
      </c>
      <c r="J20" s="129">
        <v>730.9</v>
      </c>
      <c r="K20" s="129">
        <v>1235.7</v>
      </c>
      <c r="L20" s="129">
        <v>64.67</v>
      </c>
      <c r="M20" s="129">
        <v>64.3</v>
      </c>
      <c r="N20" s="129">
        <v>64.58</v>
      </c>
      <c r="O20" s="129">
        <v>64.260000000000005</v>
      </c>
      <c r="P20" s="130">
        <v>64.452500000000001</v>
      </c>
      <c r="Q20" s="79">
        <v>16.88</v>
      </c>
      <c r="R20" s="79">
        <v>2.14</v>
      </c>
      <c r="S20" s="127">
        <f t="shared" si="3"/>
        <v>2.4435419968304277</v>
      </c>
      <c r="T20" s="127">
        <f t="shared" si="1"/>
        <v>2.4364557250396195</v>
      </c>
      <c r="U20" s="79">
        <f t="shared" si="4"/>
        <v>4.2273692987571003</v>
      </c>
      <c r="V20" s="127">
        <f t="shared" si="5"/>
        <v>11.900167047702155</v>
      </c>
      <c r="W20" s="127">
        <f t="shared" si="6"/>
        <v>64.476386912792307</v>
      </c>
      <c r="X20" s="132">
        <f>AVERAGE(S20:S24)</f>
        <v>2.4394387555309285</v>
      </c>
      <c r="Y20" s="132">
        <f t="shared" ref="Y20" si="15">AVERAGE(T20:T24)</f>
        <v>2.4323643831398889</v>
      </c>
      <c r="Z20" s="133">
        <f t="shared" ref="Z20" si="16">AVERAGE(U20:U24)</f>
        <v>4.3881924866395821</v>
      </c>
      <c r="AA20" s="132">
        <f t="shared" ref="AA20" si="17">AVERAGE(V20:V24)</f>
        <v>12.04810593048696</v>
      </c>
      <c r="AB20" s="132">
        <f t="shared" ref="AB20" si="18">AVERAGE(W20:W24)</f>
        <v>63.595090848803167</v>
      </c>
      <c r="AC20" s="235">
        <v>161</v>
      </c>
      <c r="AD20" s="235">
        <v>91</v>
      </c>
      <c r="AE20" s="235">
        <v>44</v>
      </c>
      <c r="AF20" s="235">
        <v>15</v>
      </c>
    </row>
    <row r="21" spans="1:32" ht="14.4">
      <c r="A21" s="1" t="s">
        <v>69</v>
      </c>
      <c r="B21" s="276"/>
      <c r="C21" s="1" t="s">
        <v>300</v>
      </c>
      <c r="D21" s="129" t="s">
        <v>295</v>
      </c>
      <c r="E21" s="127">
        <v>2.544</v>
      </c>
      <c r="F21" s="127">
        <v>2.6540904538855199</v>
      </c>
      <c r="G21" s="127">
        <f t="shared" si="0"/>
        <v>4.1999999999999984</v>
      </c>
      <c r="H21" s="127">
        <v>4.0307101727447199</v>
      </c>
      <c r="I21" s="134">
        <v>1220.7</v>
      </c>
      <c r="J21" s="129">
        <v>721.3</v>
      </c>
      <c r="K21" s="129">
        <v>1221.9000000000001</v>
      </c>
      <c r="L21" s="129">
        <v>63.56</v>
      </c>
      <c r="M21" s="129">
        <v>63.55</v>
      </c>
      <c r="N21" s="129">
        <v>63.41</v>
      </c>
      <c r="O21" s="129">
        <v>63.6</v>
      </c>
      <c r="P21" s="130">
        <v>63.53</v>
      </c>
      <c r="Q21" s="79">
        <v>15.6</v>
      </c>
      <c r="R21" s="79">
        <v>2.65</v>
      </c>
      <c r="S21" s="127">
        <f t="shared" si="3"/>
        <v>2.4384738314023164</v>
      </c>
      <c r="T21" s="127">
        <f t="shared" si="1"/>
        <v>2.4314022572912495</v>
      </c>
      <c r="U21" s="79">
        <f t="shared" si="4"/>
        <v>4.4260118989288717</v>
      </c>
      <c r="V21" s="127">
        <f t="shared" si="5"/>
        <v>12.082895451048785</v>
      </c>
      <c r="W21" s="127">
        <f t="shared" si="6"/>
        <v>63.369608577183392</v>
      </c>
      <c r="AC21" s="235">
        <v>161</v>
      </c>
      <c r="AD21" s="235">
        <v>91</v>
      </c>
      <c r="AE21" s="235">
        <v>44</v>
      </c>
      <c r="AF21" s="235">
        <v>15</v>
      </c>
    </row>
    <row r="22" spans="1:32" ht="14.4">
      <c r="A22" s="1" t="s">
        <v>69</v>
      </c>
      <c r="B22" s="276"/>
      <c r="C22" s="1" t="s">
        <v>300</v>
      </c>
      <c r="D22" s="129" t="s">
        <v>296</v>
      </c>
      <c r="E22" s="127">
        <v>2.544</v>
      </c>
      <c r="F22" s="127">
        <v>2.6540904538855199</v>
      </c>
      <c r="G22" s="127">
        <f t="shared" si="0"/>
        <v>4.1999999999999984</v>
      </c>
      <c r="H22" s="127">
        <v>4.0307101727447199</v>
      </c>
      <c r="I22" s="129">
        <v>1221</v>
      </c>
      <c r="J22" s="129">
        <v>723.5</v>
      </c>
      <c r="K22" s="129">
        <v>1222.5999999999999</v>
      </c>
      <c r="L22" s="129">
        <v>63.79</v>
      </c>
      <c r="M22" s="129">
        <v>63.49</v>
      </c>
      <c r="N22" s="129">
        <v>63.76</v>
      </c>
      <c r="O22" s="129">
        <v>63.49</v>
      </c>
      <c r="P22" s="130">
        <v>63.6325</v>
      </c>
      <c r="Q22" s="79">
        <v>17.02</v>
      </c>
      <c r="R22" s="79">
        <v>2.4700000000000002</v>
      </c>
      <c r="S22" s="127">
        <f t="shared" si="3"/>
        <v>2.4464035263474257</v>
      </c>
      <c r="T22" s="127">
        <f t="shared" si="1"/>
        <v>2.4393089561210184</v>
      </c>
      <c r="U22" s="79">
        <f t="shared" si="4"/>
        <v>4.1152139889536805</v>
      </c>
      <c r="V22" s="127">
        <f t="shared" si="5"/>
        <v>11.796997029440718</v>
      </c>
      <c r="W22" s="127">
        <f t="shared" si="6"/>
        <v>65.116427691863393</v>
      </c>
      <c r="AC22" s="235">
        <v>161</v>
      </c>
      <c r="AD22" s="235">
        <v>91</v>
      </c>
      <c r="AE22" s="235">
        <v>44</v>
      </c>
      <c r="AF22" s="235">
        <v>15</v>
      </c>
    </row>
    <row r="23" spans="1:32" ht="14.4">
      <c r="A23" s="1" t="s">
        <v>69</v>
      </c>
      <c r="B23" s="276"/>
      <c r="C23" s="1" t="s">
        <v>300</v>
      </c>
      <c r="D23" s="129" t="s">
        <v>297</v>
      </c>
      <c r="E23" s="127">
        <v>2.544</v>
      </c>
      <c r="F23" s="127">
        <v>2.6540904538855199</v>
      </c>
      <c r="G23" s="127">
        <f t="shared" si="0"/>
        <v>4.1999999999999984</v>
      </c>
      <c r="H23" s="127">
        <v>4.0307101727447199</v>
      </c>
      <c r="I23" s="129">
        <v>1220.5999999999999</v>
      </c>
      <c r="J23" s="129">
        <v>721.6</v>
      </c>
      <c r="K23" s="129">
        <v>1222.4000000000001</v>
      </c>
      <c r="L23" s="129">
        <v>63.85</v>
      </c>
      <c r="M23" s="129">
        <v>63.56</v>
      </c>
      <c r="N23" s="129">
        <v>63.57</v>
      </c>
      <c r="O23" s="129">
        <v>63.51</v>
      </c>
      <c r="P23" s="130">
        <v>63.622500000000002</v>
      </c>
      <c r="Q23" s="79">
        <v>15.67</v>
      </c>
      <c r="R23" s="79">
        <v>2.27</v>
      </c>
      <c r="S23" s="127">
        <f t="shared" si="3"/>
        <v>2.4373003194888172</v>
      </c>
      <c r="T23" s="127">
        <f t="shared" si="1"/>
        <v>2.4302321485622995</v>
      </c>
      <c r="U23" s="79">
        <f t="shared" si="4"/>
        <v>4.4720067389033229</v>
      </c>
      <c r="V23" s="127">
        <f t="shared" si="5"/>
        <v>12.125205427173981</v>
      </c>
      <c r="W23" s="127">
        <f t="shared" si="6"/>
        <v>63.11809506434389</v>
      </c>
      <c r="AC23" s="235">
        <v>161</v>
      </c>
      <c r="AD23" s="235">
        <v>91</v>
      </c>
      <c r="AE23" s="235">
        <v>44</v>
      </c>
      <c r="AF23" s="235">
        <v>15</v>
      </c>
    </row>
    <row r="24" spans="1:32" ht="14.4">
      <c r="A24" s="1" t="s">
        <v>69</v>
      </c>
      <c r="B24" s="276"/>
      <c r="C24" s="1" t="s">
        <v>300</v>
      </c>
      <c r="D24" s="129" t="s">
        <v>298</v>
      </c>
      <c r="E24" s="127">
        <v>2.544</v>
      </c>
      <c r="F24" s="127">
        <v>2.6540904538855199</v>
      </c>
      <c r="G24" s="127">
        <f t="shared" si="0"/>
        <v>4.1999999999999984</v>
      </c>
      <c r="H24" s="127">
        <v>4.0307101727447199</v>
      </c>
      <c r="I24" s="129">
        <v>1220.5999999999999</v>
      </c>
      <c r="J24" s="129">
        <v>721.5</v>
      </c>
      <c r="K24" s="134">
        <v>1223.5</v>
      </c>
      <c r="L24" s="129">
        <v>65.06</v>
      </c>
      <c r="M24" s="129">
        <v>64.959999999999994</v>
      </c>
      <c r="N24" s="129">
        <v>65.069999999999993</v>
      </c>
      <c r="O24" s="129">
        <v>64.78</v>
      </c>
      <c r="P24" s="130">
        <v>64.967500000000001</v>
      </c>
      <c r="Q24" s="79">
        <v>14.27</v>
      </c>
      <c r="R24" s="79">
        <v>2.6</v>
      </c>
      <c r="S24" s="127">
        <f t="shared" si="3"/>
        <v>2.4314741035856571</v>
      </c>
      <c r="T24" s="127">
        <f t="shared" si="1"/>
        <v>2.4244228286852585</v>
      </c>
      <c r="U24" s="79">
        <f t="shared" si="4"/>
        <v>4.7003605076549331</v>
      </c>
      <c r="V24" s="127">
        <f t="shared" si="5"/>
        <v>12.335264697069164</v>
      </c>
      <c r="W24" s="127">
        <f t="shared" si="6"/>
        <v>61.89493599783286</v>
      </c>
      <c r="AC24" s="235">
        <v>161</v>
      </c>
      <c r="AD24" s="235">
        <v>91</v>
      </c>
      <c r="AE24" s="235">
        <v>44</v>
      </c>
      <c r="AF24" s="235">
        <v>15</v>
      </c>
    </row>
    <row r="25" spans="1:32" ht="14.4">
      <c r="A25" s="1" t="s">
        <v>69</v>
      </c>
      <c r="B25" s="276"/>
      <c r="C25" s="1" t="s">
        <v>301</v>
      </c>
      <c r="D25" s="129" t="s">
        <v>294</v>
      </c>
      <c r="E25" s="127">
        <v>2.544</v>
      </c>
      <c r="F25" s="127">
        <v>2.6540904538855199</v>
      </c>
      <c r="G25" s="127">
        <f t="shared" si="0"/>
        <v>4.1999999999999984</v>
      </c>
      <c r="H25" s="127">
        <v>4.0307101727447199</v>
      </c>
      <c r="I25" s="127">
        <v>1233.0999999999999</v>
      </c>
      <c r="J25" s="127">
        <v>730.6</v>
      </c>
      <c r="K25" s="127">
        <v>1235.3</v>
      </c>
      <c r="L25" s="127">
        <v>63.1</v>
      </c>
      <c r="M25" s="127">
        <v>63.42</v>
      </c>
      <c r="N25" s="127">
        <v>63.43</v>
      </c>
      <c r="O25" s="127">
        <v>63.21</v>
      </c>
      <c r="P25" s="127">
        <v>63.29</v>
      </c>
      <c r="Q25" s="79">
        <v>14.49</v>
      </c>
      <c r="R25" s="79">
        <v>3.09</v>
      </c>
      <c r="S25" s="127">
        <f t="shared" si="3"/>
        <v>2.4432336041212603</v>
      </c>
      <c r="T25" s="127">
        <f t="shared" si="1"/>
        <v>2.4361482266693089</v>
      </c>
      <c r="U25" s="79">
        <f t="shared" si="4"/>
        <v>4.2394564988479271</v>
      </c>
      <c r="V25" s="127">
        <f t="shared" si="5"/>
        <v>11.911285885109749</v>
      </c>
      <c r="W25" s="127">
        <f t="shared" si="6"/>
        <v>64.408070297870566</v>
      </c>
      <c r="X25" s="132">
        <f>AVERAGE(S25:S29)</f>
        <v>2.443267513734845</v>
      </c>
      <c r="Y25" s="132">
        <f t="shared" ref="Y25" si="19">AVERAGE(T25:T29)</f>
        <v>2.4361820379450139</v>
      </c>
      <c r="Z25" s="133">
        <f t="shared" ref="Z25" si="20">AVERAGE(U25:U29)</f>
        <v>4.2381274392683084</v>
      </c>
      <c r="AA25" s="132">
        <f t="shared" ref="AA25" si="21">AVERAGE(V25:V29)</f>
        <v>11.910063302769775</v>
      </c>
      <c r="AB25" s="132">
        <f t="shared" ref="AB25" si="22">AVERAGE(W25:W29)</f>
        <v>64.420206967073611</v>
      </c>
      <c r="AC25" s="235">
        <v>161</v>
      </c>
      <c r="AD25" s="235">
        <v>91</v>
      </c>
      <c r="AE25" s="235">
        <v>44</v>
      </c>
      <c r="AF25" s="235">
        <v>15</v>
      </c>
    </row>
    <row r="26" spans="1:32" ht="14.4">
      <c r="A26" s="1" t="s">
        <v>69</v>
      </c>
      <c r="B26" s="276"/>
      <c r="C26" s="1" t="s">
        <v>301</v>
      </c>
      <c r="D26" s="129" t="s">
        <v>295</v>
      </c>
      <c r="E26" s="127">
        <v>2.544</v>
      </c>
      <c r="F26" s="127">
        <v>2.6540904538855199</v>
      </c>
      <c r="G26" s="127">
        <f t="shared" si="0"/>
        <v>4.1999999999999984</v>
      </c>
      <c r="H26" s="127">
        <v>4.0307101727447199</v>
      </c>
      <c r="I26" s="127">
        <v>1233.5</v>
      </c>
      <c r="J26" s="127">
        <v>730.8</v>
      </c>
      <c r="K26" s="127">
        <v>1235.5999999999999</v>
      </c>
      <c r="L26" s="127">
        <v>62.68</v>
      </c>
      <c r="M26" s="127">
        <v>62.58</v>
      </c>
      <c r="N26" s="127">
        <v>62.77</v>
      </c>
      <c r="O26" s="127">
        <v>62.84</v>
      </c>
      <c r="P26" s="127">
        <v>62.717500000000001</v>
      </c>
      <c r="Q26" s="79">
        <v>15.41</v>
      </c>
      <c r="R26" s="79">
        <v>3.47</v>
      </c>
      <c r="S26" s="127">
        <f t="shared" si="3"/>
        <v>2.4435419968304282</v>
      </c>
      <c r="T26" s="127">
        <f t="shared" si="1"/>
        <v>2.4364557250396199</v>
      </c>
      <c r="U26" s="79">
        <f t="shared" si="4"/>
        <v>4.2273692987570772</v>
      </c>
      <c r="V26" s="127">
        <f t="shared" si="5"/>
        <v>11.900167047702155</v>
      </c>
      <c r="W26" s="127">
        <f t="shared" si="6"/>
        <v>64.476386912792506</v>
      </c>
      <c r="AC26" s="235">
        <v>161</v>
      </c>
      <c r="AD26" s="235">
        <v>91</v>
      </c>
      <c r="AE26" s="235">
        <v>44</v>
      </c>
      <c r="AF26" s="235">
        <v>15</v>
      </c>
    </row>
    <row r="27" spans="1:32" ht="14.4">
      <c r="A27" s="1" t="s">
        <v>69</v>
      </c>
      <c r="B27" s="276"/>
      <c r="C27" s="1" t="s">
        <v>301</v>
      </c>
      <c r="D27" s="129" t="s">
        <v>296</v>
      </c>
      <c r="E27" s="127">
        <v>2.544</v>
      </c>
      <c r="F27" s="127">
        <v>2.6540904538855199</v>
      </c>
      <c r="G27" s="127">
        <f t="shared" si="0"/>
        <v>4.1999999999999984</v>
      </c>
      <c r="H27" s="127">
        <v>4.0307101727447199</v>
      </c>
      <c r="I27" s="127">
        <v>1237.3</v>
      </c>
      <c r="J27" s="127">
        <v>732.8</v>
      </c>
      <c r="K27" s="127">
        <v>1239.2</v>
      </c>
      <c r="L27" s="127">
        <v>62.88</v>
      </c>
      <c r="M27" s="127">
        <v>63.09</v>
      </c>
      <c r="N27" s="127">
        <v>63.07</v>
      </c>
      <c r="O27" s="127">
        <v>62.96</v>
      </c>
      <c r="P27" s="127">
        <v>63</v>
      </c>
      <c r="Q27" s="79">
        <v>15.76</v>
      </c>
      <c r="R27" s="79">
        <v>2.19</v>
      </c>
      <c r="S27" s="127">
        <f t="shared" si="3"/>
        <v>2.4433254344391782</v>
      </c>
      <c r="T27" s="127">
        <f t="shared" si="1"/>
        <v>2.4362397906793043</v>
      </c>
      <c r="U27" s="79">
        <f t="shared" si="4"/>
        <v>4.2358572846185378</v>
      </c>
      <c r="V27" s="127">
        <f t="shared" si="5"/>
        <v>11.907975020930209</v>
      </c>
      <c r="W27" s="127">
        <f t="shared" si="6"/>
        <v>64.428399646679409</v>
      </c>
      <c r="AC27" s="235">
        <v>161</v>
      </c>
      <c r="AD27" s="235">
        <v>91</v>
      </c>
      <c r="AE27" s="235">
        <v>44</v>
      </c>
      <c r="AF27" s="235">
        <v>15</v>
      </c>
    </row>
    <row r="28" spans="1:32" ht="14.4">
      <c r="A28" s="1" t="s">
        <v>69</v>
      </c>
      <c r="B28" s="276"/>
      <c r="C28" s="1" t="s">
        <v>301</v>
      </c>
      <c r="D28" s="129" t="s">
        <v>297</v>
      </c>
      <c r="E28" s="127">
        <v>2.544</v>
      </c>
      <c r="F28" s="127">
        <v>2.6540904538855199</v>
      </c>
      <c r="G28" s="127">
        <f t="shared" si="0"/>
        <v>4.1999999999999984</v>
      </c>
      <c r="H28" s="127">
        <v>4.0307101727447199</v>
      </c>
      <c r="I28" s="127">
        <v>1236.8</v>
      </c>
      <c r="J28" s="127">
        <v>731.7</v>
      </c>
      <c r="K28" s="127">
        <v>1238.8</v>
      </c>
      <c r="L28" s="127">
        <v>63.5</v>
      </c>
      <c r="M28" s="127">
        <v>63.47</v>
      </c>
      <c r="N28" s="127">
        <v>63.39</v>
      </c>
      <c r="O28" s="127">
        <v>63.27</v>
      </c>
      <c r="P28" s="127">
        <v>63.407499999999999</v>
      </c>
      <c r="Q28" s="79">
        <v>14.38</v>
      </c>
      <c r="R28" s="79">
        <v>3.45</v>
      </c>
      <c r="S28" s="127">
        <f t="shared" si="3"/>
        <v>2.4389666732399924</v>
      </c>
      <c r="T28" s="127">
        <f t="shared" si="1"/>
        <v>2.4318936698875966</v>
      </c>
      <c r="U28" s="79">
        <f t="shared" si="4"/>
        <v>4.4066953660535919</v>
      </c>
      <c r="V28" s="127">
        <f t="shared" si="5"/>
        <v>12.065126456847949</v>
      </c>
      <c r="W28" s="127">
        <f t="shared" si="6"/>
        <v>63.475763127601283</v>
      </c>
      <c r="AC28" s="235">
        <v>161</v>
      </c>
      <c r="AD28" s="235">
        <v>91</v>
      </c>
      <c r="AE28" s="235">
        <v>44</v>
      </c>
      <c r="AF28" s="235">
        <v>15</v>
      </c>
    </row>
    <row r="29" spans="1:32" ht="14.4">
      <c r="A29" s="1" t="s">
        <v>69</v>
      </c>
      <c r="B29" s="276"/>
      <c r="C29" s="1" t="s">
        <v>301</v>
      </c>
      <c r="D29" s="129" t="s">
        <v>298</v>
      </c>
      <c r="E29" s="127">
        <v>2.544</v>
      </c>
      <c r="F29" s="127">
        <v>2.6540904538855199</v>
      </c>
      <c r="G29" s="127">
        <f t="shared" si="0"/>
        <v>4.1999999999999984</v>
      </c>
      <c r="H29" s="127">
        <v>4.0307101727447199</v>
      </c>
      <c r="I29" s="127">
        <v>1241.5</v>
      </c>
      <c r="J29" s="127">
        <v>735.7</v>
      </c>
      <c r="K29" s="127">
        <v>1243</v>
      </c>
      <c r="L29" s="127">
        <v>63.81</v>
      </c>
      <c r="M29" s="127">
        <v>63.95</v>
      </c>
      <c r="N29" s="127">
        <v>63.93</v>
      </c>
      <c r="O29" s="127">
        <v>63.64</v>
      </c>
      <c r="P29" s="127">
        <v>63.832500000000003</v>
      </c>
      <c r="Q29" s="79">
        <v>14.19</v>
      </c>
      <c r="R29" s="79">
        <v>3.06</v>
      </c>
      <c r="S29" s="127">
        <f t="shared" si="3"/>
        <v>2.4472698600433671</v>
      </c>
      <c r="T29" s="127">
        <f t="shared" si="1"/>
        <v>2.4401727774492414</v>
      </c>
      <c r="U29" s="79">
        <f t="shared" si="4"/>
        <v>4.0812587480644087</v>
      </c>
      <c r="V29" s="127">
        <f t="shared" si="5"/>
        <v>11.765762103258808</v>
      </c>
      <c r="W29" s="127">
        <f t="shared" si="6"/>
        <v>65.31241485042429</v>
      </c>
      <c r="AC29" s="235">
        <v>161</v>
      </c>
      <c r="AD29" s="235">
        <v>91</v>
      </c>
      <c r="AE29" s="235">
        <v>44</v>
      </c>
      <c r="AF29" s="235">
        <v>15</v>
      </c>
    </row>
    <row r="30" spans="1:32" ht="14.4">
      <c r="A30" s="1" t="s">
        <v>69</v>
      </c>
      <c r="B30" s="276"/>
      <c r="C30" s="1" t="s">
        <v>302</v>
      </c>
      <c r="D30" s="129" t="s">
        <v>294</v>
      </c>
      <c r="E30" s="127">
        <v>2.544</v>
      </c>
      <c r="F30" s="127">
        <v>2.6540904538855199</v>
      </c>
      <c r="G30" s="127">
        <f t="shared" si="0"/>
        <v>4.1999999999999984</v>
      </c>
      <c r="H30" s="127">
        <v>4.0307101727447199</v>
      </c>
      <c r="I30" s="127">
        <v>1233.7</v>
      </c>
      <c r="J30" s="127">
        <v>730.3</v>
      </c>
      <c r="K30" s="127">
        <v>1235.8</v>
      </c>
      <c r="L30" s="127">
        <v>62.28</v>
      </c>
      <c r="M30" s="127">
        <v>62.41</v>
      </c>
      <c r="N30" s="127">
        <v>62.53</v>
      </c>
      <c r="O30" s="127">
        <v>62.3</v>
      </c>
      <c r="P30" s="127">
        <v>62.38</v>
      </c>
      <c r="Q30" s="79">
        <v>18.5</v>
      </c>
      <c r="R30" s="79">
        <v>2.68</v>
      </c>
      <c r="S30" s="127">
        <f t="shared" si="3"/>
        <v>2.4405539070227498</v>
      </c>
      <c r="T30" s="127">
        <f t="shared" si="1"/>
        <v>2.4334763006923836</v>
      </c>
      <c r="U30" s="79">
        <f t="shared" si="4"/>
        <v>4.3444850356767484</v>
      </c>
      <c r="V30" s="127">
        <f t="shared" si="5"/>
        <v>12.007900089837065</v>
      </c>
      <c r="W30" s="127">
        <f t="shared" si="6"/>
        <v>63.819776953726311</v>
      </c>
      <c r="X30" s="132">
        <f>AVERAGE(S30:S34)</f>
        <v>2.4446959136869584</v>
      </c>
      <c r="Y30" s="132">
        <f t="shared" ref="Y30" si="23">AVERAGE(T30:T34)</f>
        <v>2.4376062955372659</v>
      </c>
      <c r="Z30" s="133">
        <f t="shared" ref="Z30" si="24">AVERAGE(U30:U34)</f>
        <v>4.1821424710194197</v>
      </c>
      <c r="AA30" s="132">
        <f t="shared" ref="AA30" si="25">AVERAGE(V30:V34)</f>
        <v>11.858563554726379</v>
      </c>
      <c r="AB30" s="132">
        <f t="shared" ref="AB30" si="26">AVERAGE(W30:W34)</f>
        <v>64.740483955359636</v>
      </c>
      <c r="AC30" s="235">
        <v>161</v>
      </c>
      <c r="AD30" s="235">
        <v>91</v>
      </c>
      <c r="AE30" s="235">
        <v>44</v>
      </c>
      <c r="AF30" s="235">
        <v>15</v>
      </c>
    </row>
    <row r="31" spans="1:32" ht="14.4">
      <c r="A31" s="1" t="s">
        <v>69</v>
      </c>
      <c r="B31" s="276"/>
      <c r="C31" s="1" t="s">
        <v>302</v>
      </c>
      <c r="D31" s="129" t="s">
        <v>295</v>
      </c>
      <c r="E31" s="127">
        <v>2.544</v>
      </c>
      <c r="F31" s="127">
        <v>2.6540904538855199</v>
      </c>
      <c r="G31" s="127">
        <f t="shared" si="0"/>
        <v>4.1999999999999984</v>
      </c>
      <c r="H31" s="127">
        <v>4.0307101727447199</v>
      </c>
      <c r="I31" s="127">
        <v>1235.7</v>
      </c>
      <c r="J31" s="127">
        <v>732.3</v>
      </c>
      <c r="K31" s="127">
        <v>1237.8</v>
      </c>
      <c r="L31" s="127">
        <v>62.9</v>
      </c>
      <c r="M31" s="127">
        <v>62.79</v>
      </c>
      <c r="N31" s="127">
        <v>62.83</v>
      </c>
      <c r="O31" s="127">
        <v>62.72</v>
      </c>
      <c r="P31" s="127">
        <v>62.81</v>
      </c>
      <c r="Q31" s="79">
        <v>17.59</v>
      </c>
      <c r="R31" s="79">
        <v>2.65</v>
      </c>
      <c r="S31" s="127">
        <f t="shared" si="3"/>
        <v>2.4445103857566766</v>
      </c>
      <c r="T31" s="127">
        <f t="shared" si="1"/>
        <v>2.4374213056379821</v>
      </c>
      <c r="U31" s="79">
        <f t="shared" si="4"/>
        <v>4.1894140865573082</v>
      </c>
      <c r="V31" s="127">
        <f t="shared" si="5"/>
        <v>11.865252606802017</v>
      </c>
      <c r="W31" s="127">
        <f t="shared" si="6"/>
        <v>64.691741293770392</v>
      </c>
      <c r="AC31" s="235">
        <v>161</v>
      </c>
      <c r="AD31" s="235">
        <v>91</v>
      </c>
      <c r="AE31" s="235">
        <v>44</v>
      </c>
      <c r="AF31" s="235">
        <v>15</v>
      </c>
    </row>
    <row r="32" spans="1:32" ht="14.4">
      <c r="A32" s="1" t="s">
        <v>69</v>
      </c>
      <c r="B32" s="276"/>
      <c r="C32" s="1" t="s">
        <v>302</v>
      </c>
      <c r="D32" s="129" t="s">
        <v>296</v>
      </c>
      <c r="E32" s="127">
        <v>2.544</v>
      </c>
      <c r="F32" s="127">
        <v>2.6540904538855199</v>
      </c>
      <c r="G32" s="127">
        <f t="shared" si="0"/>
        <v>4.1999999999999984</v>
      </c>
      <c r="H32" s="127">
        <v>4.0307101727447199</v>
      </c>
      <c r="I32" s="127">
        <v>1238.7</v>
      </c>
      <c r="J32" s="127">
        <v>733.6</v>
      </c>
      <c r="K32" s="127">
        <v>1240.8</v>
      </c>
      <c r="L32" s="127">
        <v>62.47</v>
      </c>
      <c r="M32" s="127">
        <v>62.66</v>
      </c>
      <c r="N32" s="127">
        <v>62.85</v>
      </c>
      <c r="O32" s="127">
        <v>62.65</v>
      </c>
      <c r="P32" s="127">
        <v>62.657499999999999</v>
      </c>
      <c r="Q32" s="79">
        <v>17.48</v>
      </c>
      <c r="R32" s="79">
        <v>2.54</v>
      </c>
      <c r="S32" s="127">
        <f t="shared" si="3"/>
        <v>2.4422318611987386</v>
      </c>
      <c r="T32" s="127">
        <f t="shared" si="1"/>
        <v>2.4351493888012623</v>
      </c>
      <c r="U32" s="79">
        <f t="shared" si="4"/>
        <v>4.2787189936610792</v>
      </c>
      <c r="V32" s="127">
        <f t="shared" si="5"/>
        <v>11.94740287603922</v>
      </c>
      <c r="W32" s="127">
        <f t="shared" si="6"/>
        <v>64.187036814150261</v>
      </c>
      <c r="AC32" s="235">
        <v>161</v>
      </c>
      <c r="AD32" s="235">
        <v>91</v>
      </c>
      <c r="AE32" s="235">
        <v>44</v>
      </c>
      <c r="AF32" s="235">
        <v>15</v>
      </c>
    </row>
    <row r="33" spans="1:32" ht="14.4">
      <c r="A33" s="1" t="s">
        <v>69</v>
      </c>
      <c r="B33" s="276"/>
      <c r="C33" s="1" t="s">
        <v>302</v>
      </c>
      <c r="D33" s="129" t="s">
        <v>297</v>
      </c>
      <c r="E33" s="127">
        <v>2.544</v>
      </c>
      <c r="F33" s="127">
        <v>2.6540904538855199</v>
      </c>
      <c r="G33" s="127">
        <f t="shared" si="0"/>
        <v>4.1999999999999984</v>
      </c>
      <c r="H33" s="127">
        <v>4.0307101727447199</v>
      </c>
      <c r="I33" s="127">
        <v>1242.9000000000001</v>
      </c>
      <c r="J33" s="127">
        <v>737.3</v>
      </c>
      <c r="K33" s="127">
        <v>1244.5999999999999</v>
      </c>
      <c r="L33" s="127">
        <v>63.91</v>
      </c>
      <c r="M33" s="127">
        <v>63.58</v>
      </c>
      <c r="N33" s="127">
        <v>63.85</v>
      </c>
      <c r="O33" s="127">
        <v>63.9</v>
      </c>
      <c r="P33" s="127">
        <v>63.81</v>
      </c>
      <c r="Q33" s="79">
        <v>16.239999999999998</v>
      </c>
      <c r="R33" s="79">
        <v>2.19</v>
      </c>
      <c r="S33" s="127">
        <f t="shared" si="3"/>
        <v>2.4500295683027797</v>
      </c>
      <c r="T33" s="127">
        <f t="shared" si="1"/>
        <v>2.4429244825547016</v>
      </c>
      <c r="U33" s="79">
        <f t="shared" si="4"/>
        <v>3.9730942392019797</v>
      </c>
      <c r="V33" s="127">
        <f t="shared" si="5"/>
        <v>11.666263164027697</v>
      </c>
      <c r="W33" s="127">
        <f t="shared" si="6"/>
        <v>65.943728652952004</v>
      </c>
      <c r="AC33" s="235">
        <v>161</v>
      </c>
      <c r="AD33" s="235">
        <v>91</v>
      </c>
      <c r="AE33" s="235">
        <v>44</v>
      </c>
      <c r="AF33" s="235">
        <v>15</v>
      </c>
    </row>
    <row r="34" spans="1:32" ht="14.4">
      <c r="A34" s="1" t="s">
        <v>69</v>
      </c>
      <c r="B34" s="276"/>
      <c r="C34" s="1" t="s">
        <v>302</v>
      </c>
      <c r="D34" s="129" t="s">
        <v>298</v>
      </c>
      <c r="E34" s="127">
        <v>2.544</v>
      </c>
      <c r="F34" s="127">
        <v>2.6540904538855199</v>
      </c>
      <c r="G34" s="127">
        <f t="shared" si="0"/>
        <v>4.1999999999999984</v>
      </c>
      <c r="H34" s="127">
        <v>4.0307101727447199</v>
      </c>
      <c r="I34" s="127">
        <v>1240.2</v>
      </c>
      <c r="J34" s="127">
        <v>735.1</v>
      </c>
      <c r="K34" s="127">
        <v>1242.0999999999999</v>
      </c>
      <c r="L34" s="127">
        <v>64.05</v>
      </c>
      <c r="M34" s="127">
        <v>64</v>
      </c>
      <c r="N34" s="127">
        <v>63.87</v>
      </c>
      <c r="O34" s="127">
        <v>63.8</v>
      </c>
      <c r="P34" s="127">
        <v>63.93</v>
      </c>
      <c r="Q34" s="79">
        <v>17.28</v>
      </c>
      <c r="R34" s="79">
        <v>2.3199999999999998</v>
      </c>
      <c r="S34" s="127">
        <f t="shared" si="3"/>
        <v>2.4461538461538468</v>
      </c>
      <c r="T34" s="127">
        <f t="shared" si="1"/>
        <v>2.4390600000000004</v>
      </c>
      <c r="U34" s="79">
        <f t="shared" si="4"/>
        <v>4.1249999999999787</v>
      </c>
      <c r="V34" s="127">
        <f t="shared" si="5"/>
        <v>11.805999036925897</v>
      </c>
      <c r="W34" s="127">
        <f t="shared" si="6"/>
        <v>65.06013606219922</v>
      </c>
      <c r="AC34" s="235">
        <v>161</v>
      </c>
      <c r="AD34" s="235">
        <v>91</v>
      </c>
      <c r="AE34" s="235">
        <v>44</v>
      </c>
      <c r="AF34" s="235">
        <v>15</v>
      </c>
    </row>
    <row r="35" spans="1:32" ht="14.4">
      <c r="A35" s="1" t="s">
        <v>69</v>
      </c>
      <c r="B35" s="276"/>
      <c r="C35" s="1" t="s">
        <v>303</v>
      </c>
      <c r="D35" s="129" t="s">
        <v>294</v>
      </c>
      <c r="E35" s="127">
        <v>2.544</v>
      </c>
      <c r="F35" s="127">
        <v>2.6540904538855199</v>
      </c>
      <c r="G35" s="127">
        <f t="shared" si="0"/>
        <v>4.1999999999999984</v>
      </c>
      <c r="H35" s="127">
        <v>4.0307101727447199</v>
      </c>
      <c r="I35" s="127">
        <v>1221.8</v>
      </c>
      <c r="J35" s="127">
        <v>723.1</v>
      </c>
      <c r="K35" s="127">
        <v>1224.3</v>
      </c>
      <c r="L35" s="127">
        <v>62.28</v>
      </c>
      <c r="M35" s="127">
        <v>62.41</v>
      </c>
      <c r="N35" s="127">
        <v>62.53</v>
      </c>
      <c r="O35" s="127">
        <v>62.3</v>
      </c>
      <c r="P35" s="127">
        <v>62.38</v>
      </c>
      <c r="Q35" s="79">
        <v>15.26</v>
      </c>
      <c r="R35" s="79">
        <v>2.65</v>
      </c>
      <c r="S35" s="127">
        <f t="shared" si="3"/>
        <v>2.4377494014365526</v>
      </c>
      <c r="T35" s="127">
        <f t="shared" si="1"/>
        <v>2.4306799281723865</v>
      </c>
      <c r="U35" s="79">
        <f t="shared" si="4"/>
        <v>4.4544053391357474</v>
      </c>
      <c r="V35" s="127">
        <f t="shared" si="5"/>
        <v>12.109014158667563</v>
      </c>
      <c r="W35" s="127">
        <f t="shared" si="6"/>
        <v>63.214137164524587</v>
      </c>
      <c r="X35" s="132">
        <f>AVERAGE(S35:S39)</f>
        <v>2.4358270914289748</v>
      </c>
      <c r="Y35" s="132">
        <f t="shared" ref="Y35" si="27">AVERAGE(T35:T39)</f>
        <v>2.4287631928638307</v>
      </c>
      <c r="Z35" s="133">
        <f t="shared" ref="Z35" si="28">AVERAGE(U35:U39)</f>
        <v>4.5297487081827637</v>
      </c>
      <c r="AA35" s="132">
        <f t="shared" ref="AA35" si="29">AVERAGE(V35:V39)</f>
        <v>12.178321414597608</v>
      </c>
      <c r="AB35" s="132">
        <f t="shared" ref="AB35" si="30">AVERAGE(W35:W39)</f>
        <v>62.810272631650967</v>
      </c>
      <c r="AC35" s="235">
        <v>161</v>
      </c>
      <c r="AD35" s="235">
        <v>91</v>
      </c>
      <c r="AE35" s="235">
        <v>44</v>
      </c>
      <c r="AF35" s="235">
        <v>15</v>
      </c>
    </row>
    <row r="36" spans="1:32" ht="14.4">
      <c r="A36" s="1" t="s">
        <v>69</v>
      </c>
      <c r="B36" s="276"/>
      <c r="C36" s="1" t="s">
        <v>303</v>
      </c>
      <c r="D36" s="129" t="s">
        <v>295</v>
      </c>
      <c r="E36" s="127">
        <v>2.544</v>
      </c>
      <c r="F36" s="127">
        <v>2.6540904538855199</v>
      </c>
      <c r="G36" s="127">
        <f t="shared" si="0"/>
        <v>4.1999999999999984</v>
      </c>
      <c r="H36" s="127">
        <v>4.0307101727447199</v>
      </c>
      <c r="I36" s="127">
        <v>1220</v>
      </c>
      <c r="J36" s="127">
        <v>722.1</v>
      </c>
      <c r="K36" s="127">
        <v>1223.3</v>
      </c>
      <c r="L36" s="127">
        <v>62.9</v>
      </c>
      <c r="M36" s="127">
        <v>62.79</v>
      </c>
      <c r="N36" s="127">
        <v>62.83</v>
      </c>
      <c r="O36" s="127">
        <v>62.72</v>
      </c>
      <c r="P36" s="127">
        <v>62.81</v>
      </c>
      <c r="Q36" s="79">
        <v>15.39</v>
      </c>
      <c r="R36" s="79">
        <v>2.11</v>
      </c>
      <c r="S36" s="127">
        <f t="shared" si="3"/>
        <v>2.4341580207501998</v>
      </c>
      <c r="T36" s="127">
        <f t="shared" si="1"/>
        <v>2.4270989624900241</v>
      </c>
      <c r="U36" s="79">
        <f t="shared" si="4"/>
        <v>4.5951665687883665</v>
      </c>
      <c r="V36" s="127">
        <f t="shared" si="5"/>
        <v>12.23849834144248</v>
      </c>
      <c r="W36" s="127">
        <f t="shared" si="6"/>
        <v>62.453183057368776</v>
      </c>
      <c r="AC36" s="235">
        <v>161</v>
      </c>
      <c r="AD36" s="235">
        <v>91</v>
      </c>
      <c r="AE36" s="235">
        <v>44</v>
      </c>
      <c r="AF36" s="235">
        <v>15</v>
      </c>
    </row>
    <row r="37" spans="1:32" ht="14.4">
      <c r="A37" s="1" t="s">
        <v>69</v>
      </c>
      <c r="B37" s="276"/>
      <c r="C37" s="1" t="s">
        <v>303</v>
      </c>
      <c r="D37" s="129" t="s">
        <v>296</v>
      </c>
      <c r="E37" s="127">
        <v>2.544</v>
      </c>
      <c r="F37" s="127">
        <v>2.6540904538855199</v>
      </c>
      <c r="G37" s="127">
        <f t="shared" si="0"/>
        <v>4.1999999999999984</v>
      </c>
      <c r="H37" s="127">
        <v>4.0307101727447199</v>
      </c>
      <c r="I37" s="127">
        <v>1218.2</v>
      </c>
      <c r="J37" s="127">
        <v>720.2</v>
      </c>
      <c r="K37" s="127">
        <v>1221.0999999999999</v>
      </c>
      <c r="L37" s="127">
        <v>62.47</v>
      </c>
      <c r="M37" s="127">
        <v>62.66</v>
      </c>
      <c r="N37" s="127">
        <v>62.85</v>
      </c>
      <c r="O37" s="127">
        <v>62.65</v>
      </c>
      <c r="P37" s="127">
        <v>62.657499999999999</v>
      </c>
      <c r="Q37" s="79">
        <v>14.05</v>
      </c>
      <c r="R37" s="79">
        <v>2.23</v>
      </c>
      <c r="S37" s="127">
        <f t="shared" si="3"/>
        <v>2.4320223597524464</v>
      </c>
      <c r="T37" s="127">
        <f t="shared" si="1"/>
        <v>2.4249694949091642</v>
      </c>
      <c r="U37" s="79">
        <f t="shared" si="4"/>
        <v>4.6788720554573837</v>
      </c>
      <c r="V37" s="127">
        <f t="shared" si="5"/>
        <v>12.315497786260238</v>
      </c>
      <c r="W37" s="127">
        <f t="shared" si="6"/>
        <v>62.008258726842861</v>
      </c>
      <c r="AC37" s="235">
        <v>161</v>
      </c>
      <c r="AD37" s="235">
        <v>91</v>
      </c>
      <c r="AE37" s="235">
        <v>44</v>
      </c>
      <c r="AF37" s="235">
        <v>15</v>
      </c>
    </row>
    <row r="38" spans="1:32" ht="14.4">
      <c r="A38" s="1" t="s">
        <v>69</v>
      </c>
      <c r="B38" s="276"/>
      <c r="C38" s="1" t="s">
        <v>303</v>
      </c>
      <c r="D38" s="129" t="s">
        <v>297</v>
      </c>
      <c r="E38" s="127">
        <v>2.544</v>
      </c>
      <c r="F38" s="127">
        <v>2.6540904538855199</v>
      </c>
      <c r="G38" s="127">
        <f t="shared" si="0"/>
        <v>4.1999999999999984</v>
      </c>
      <c r="H38" s="127">
        <v>4.0307101727447199</v>
      </c>
      <c r="I38" s="127">
        <v>1218.5999999999999</v>
      </c>
      <c r="J38" s="127">
        <v>720.7</v>
      </c>
      <c r="K38" s="127">
        <v>1221.2</v>
      </c>
      <c r="L38" s="127">
        <v>63.91</v>
      </c>
      <c r="M38" s="127">
        <v>63.58</v>
      </c>
      <c r="N38" s="127">
        <v>63.85</v>
      </c>
      <c r="O38" s="127">
        <v>63.9</v>
      </c>
      <c r="P38" s="127">
        <v>63.81</v>
      </c>
      <c r="Q38" s="79">
        <v>14.19</v>
      </c>
      <c r="R38" s="79">
        <v>2.2599999999999998</v>
      </c>
      <c r="S38" s="127">
        <f t="shared" si="3"/>
        <v>2.4347652347652344</v>
      </c>
      <c r="T38" s="127">
        <f t="shared" si="1"/>
        <v>2.4277044155844152</v>
      </c>
      <c r="U38" s="79">
        <f t="shared" si="4"/>
        <v>4.571367311933372</v>
      </c>
      <c r="V38" s="127">
        <f t="shared" si="5"/>
        <v>12.216605755450416</v>
      </c>
      <c r="W38" s="127">
        <f t="shared" si="6"/>
        <v>62.580708558153596</v>
      </c>
      <c r="AC38" s="235">
        <v>161</v>
      </c>
      <c r="AD38" s="235">
        <v>91</v>
      </c>
      <c r="AE38" s="235">
        <v>44</v>
      </c>
      <c r="AF38" s="235">
        <v>15</v>
      </c>
    </row>
    <row r="39" spans="1:32" ht="14.4">
      <c r="A39" s="1" t="s">
        <v>69</v>
      </c>
      <c r="B39" s="276"/>
      <c r="C39" s="1" t="s">
        <v>303</v>
      </c>
      <c r="D39" s="129" t="s">
        <v>298</v>
      </c>
      <c r="E39" s="127">
        <v>2.544</v>
      </c>
      <c r="F39" s="127">
        <v>2.6540904538855199</v>
      </c>
      <c r="G39" s="127">
        <f t="shared" si="0"/>
        <v>4.1999999999999984</v>
      </c>
      <c r="H39" s="127">
        <v>4.0307101727447199</v>
      </c>
      <c r="I39" s="127">
        <v>1219</v>
      </c>
      <c r="J39" s="127">
        <v>721.8</v>
      </c>
      <c r="K39" s="127">
        <v>1221.3</v>
      </c>
      <c r="L39" s="127">
        <v>64.05</v>
      </c>
      <c r="M39" s="127">
        <v>64</v>
      </c>
      <c r="N39" s="127">
        <v>63.87</v>
      </c>
      <c r="O39" s="127">
        <v>63.8</v>
      </c>
      <c r="P39" s="127">
        <v>63.93</v>
      </c>
      <c r="Q39" s="79">
        <v>14.74</v>
      </c>
      <c r="R39" s="79">
        <v>2.56</v>
      </c>
      <c r="S39" s="127">
        <f t="shared" si="3"/>
        <v>2.4404404404404403</v>
      </c>
      <c r="T39" s="127">
        <f t="shared" si="1"/>
        <v>2.4333631631631629</v>
      </c>
      <c r="U39" s="79">
        <f t="shared" si="4"/>
        <v>4.3489322655989486</v>
      </c>
      <c r="V39" s="127">
        <f t="shared" si="5"/>
        <v>12.011991031167341</v>
      </c>
      <c r="W39" s="127">
        <f t="shared" si="6"/>
        <v>63.795075651365067</v>
      </c>
      <c r="AC39" s="235">
        <v>161</v>
      </c>
      <c r="AD39" s="235">
        <v>91</v>
      </c>
      <c r="AE39" s="235">
        <v>44</v>
      </c>
      <c r="AF39" s="235">
        <v>15</v>
      </c>
    </row>
    <row r="40" spans="1:32" ht="14.4">
      <c r="A40" s="1" t="s">
        <v>69</v>
      </c>
      <c r="B40" s="276"/>
      <c r="C40" s="1" t="s">
        <v>304</v>
      </c>
      <c r="D40" s="129" t="s">
        <v>294</v>
      </c>
      <c r="E40" s="127">
        <v>2.544</v>
      </c>
      <c r="F40" s="127">
        <v>2.6540904538855199</v>
      </c>
      <c r="G40" s="127">
        <f t="shared" si="0"/>
        <v>4.1999999999999984</v>
      </c>
      <c r="H40" s="127">
        <v>4.0307101727447199</v>
      </c>
      <c r="I40" s="127">
        <v>1235.7</v>
      </c>
      <c r="J40" s="127">
        <v>736</v>
      </c>
      <c r="K40" s="127">
        <v>1238.2</v>
      </c>
      <c r="L40" s="127">
        <v>64.3</v>
      </c>
      <c r="M40" s="127">
        <v>64.59</v>
      </c>
      <c r="N40" s="127">
        <v>64.67</v>
      </c>
      <c r="O40" s="127">
        <v>64.319999999999993</v>
      </c>
      <c r="P40" s="127">
        <v>64.47</v>
      </c>
      <c r="Q40" s="79">
        <v>14.66</v>
      </c>
      <c r="R40" s="79">
        <v>2.5</v>
      </c>
      <c r="S40" s="127">
        <f t="shared" si="3"/>
        <v>2.4605734767025087</v>
      </c>
      <c r="T40" s="127">
        <f t="shared" si="1"/>
        <v>2.4534378136200714</v>
      </c>
      <c r="U40" s="79">
        <f t="shared" si="4"/>
        <v>3.5598343702802127</v>
      </c>
      <c r="V40" s="127">
        <f t="shared" si="5"/>
        <v>11.286111494899288</v>
      </c>
      <c r="W40" s="127">
        <f t="shared" si="6"/>
        <v>68.45827394236656</v>
      </c>
      <c r="X40" s="132">
        <f>AVERAGE(S40:S44)</f>
        <v>2.4569757457686383</v>
      </c>
      <c r="Y40" s="132">
        <f t="shared" ref="Y40" si="31">AVERAGE(T40:T44)</f>
        <v>2.4498505161059092</v>
      </c>
      <c r="Z40" s="133">
        <f t="shared" ref="Z40" si="32">AVERAGE(U40:U44)</f>
        <v>3.7008444926922572</v>
      </c>
      <c r="AA40" s="132">
        <f t="shared" ref="AA40" si="33">AVERAGE(V40:V44)</f>
        <v>11.415824630459245</v>
      </c>
      <c r="AB40" s="132">
        <f t="shared" ref="AB40" si="34">AVERAGE(W40:W44)</f>
        <v>67.591917222301461</v>
      </c>
      <c r="AC40" s="235">
        <v>144</v>
      </c>
      <c r="AD40" s="235">
        <v>107.8</v>
      </c>
      <c r="AE40" s="235">
        <v>43.95</v>
      </c>
      <c r="AF40" s="235">
        <v>60.3</v>
      </c>
    </row>
    <row r="41" spans="1:32" ht="14.4">
      <c r="A41" s="1" t="s">
        <v>69</v>
      </c>
      <c r="B41" s="276"/>
      <c r="C41" s="1" t="s">
        <v>304</v>
      </c>
      <c r="D41" s="129" t="s">
        <v>295</v>
      </c>
      <c r="E41" s="127">
        <v>2.544</v>
      </c>
      <c r="F41" s="127">
        <v>2.6540904538855199</v>
      </c>
      <c r="G41" s="127">
        <f t="shared" si="0"/>
        <v>4.1999999999999984</v>
      </c>
      <c r="H41" s="127">
        <v>4.0307101727447199</v>
      </c>
      <c r="I41" s="127">
        <v>1232.9000000000001</v>
      </c>
      <c r="J41" s="127">
        <v>734</v>
      </c>
      <c r="K41" s="127">
        <v>1234.9000000000001</v>
      </c>
      <c r="L41" s="127">
        <v>63.99</v>
      </c>
      <c r="M41" s="127">
        <v>64.11</v>
      </c>
      <c r="N41" s="127">
        <v>63.84</v>
      </c>
      <c r="O41" s="127">
        <v>63.94</v>
      </c>
      <c r="P41" s="127">
        <v>63.97</v>
      </c>
      <c r="Q41" s="79">
        <v>14.24</v>
      </c>
      <c r="R41" s="79">
        <v>2.54</v>
      </c>
      <c r="S41" s="127">
        <f t="shared" si="3"/>
        <v>2.4613695348372926</v>
      </c>
      <c r="T41" s="127">
        <f t="shared" si="1"/>
        <v>2.4542315631862643</v>
      </c>
      <c r="U41" s="79">
        <f t="shared" si="4"/>
        <v>3.5286335225525045</v>
      </c>
      <c r="V41" s="127">
        <f t="shared" si="5"/>
        <v>11.257410294434663</v>
      </c>
      <c r="W41" s="127">
        <f t="shared" si="6"/>
        <v>68.655015405301896</v>
      </c>
      <c r="AC41" s="235">
        <v>144</v>
      </c>
      <c r="AD41" s="235">
        <v>107.8</v>
      </c>
      <c r="AE41" s="235">
        <v>43.95</v>
      </c>
      <c r="AF41" s="235">
        <v>60.3</v>
      </c>
    </row>
    <row r="42" spans="1:32" ht="14.4">
      <c r="A42" s="1" t="s">
        <v>69</v>
      </c>
      <c r="B42" s="276"/>
      <c r="C42" s="1" t="s">
        <v>304</v>
      </c>
      <c r="D42" s="129" t="s">
        <v>296</v>
      </c>
      <c r="E42" s="127">
        <v>2.544</v>
      </c>
      <c r="F42" s="127">
        <v>2.6540904538855199</v>
      </c>
      <c r="G42" s="127">
        <f t="shared" si="0"/>
        <v>4.1999999999999984</v>
      </c>
      <c r="H42" s="127">
        <v>4.0307101727447199</v>
      </c>
      <c r="I42" s="127">
        <v>1232.5</v>
      </c>
      <c r="J42" s="127">
        <v>733.1</v>
      </c>
      <c r="K42" s="127">
        <v>1234.9000000000001</v>
      </c>
      <c r="L42" s="127">
        <v>64.349999999999994</v>
      </c>
      <c r="M42" s="127">
        <v>64.62</v>
      </c>
      <c r="N42" s="127">
        <v>64.39</v>
      </c>
      <c r="O42" s="127">
        <v>64.64</v>
      </c>
      <c r="P42" s="127">
        <v>64.5</v>
      </c>
      <c r="Q42" s="79">
        <v>14.94</v>
      </c>
      <c r="R42" s="79">
        <v>3.27</v>
      </c>
      <c r="S42" s="127">
        <f t="shared" si="3"/>
        <v>2.4561578318054997</v>
      </c>
      <c r="T42" s="127">
        <f t="shared" si="1"/>
        <v>2.4490349740932635</v>
      </c>
      <c r="U42" s="79">
        <f t="shared" si="4"/>
        <v>3.732901961742785</v>
      </c>
      <c r="V42" s="127">
        <f t="shared" si="5"/>
        <v>11.445313824266975</v>
      </c>
      <c r="W42" s="127">
        <f t="shared" si="6"/>
        <v>67.384887657443826</v>
      </c>
      <c r="AC42" s="235">
        <v>144</v>
      </c>
      <c r="AD42" s="235">
        <v>107.8</v>
      </c>
      <c r="AE42" s="235">
        <v>43.95</v>
      </c>
      <c r="AF42" s="235">
        <v>60.3</v>
      </c>
    </row>
    <row r="43" spans="1:32" ht="14.4">
      <c r="A43" s="1" t="s">
        <v>69</v>
      </c>
      <c r="B43" s="276"/>
      <c r="C43" s="1" t="s">
        <v>304</v>
      </c>
      <c r="D43" s="129" t="s">
        <v>297</v>
      </c>
      <c r="E43" s="127">
        <v>2.544</v>
      </c>
      <c r="F43" s="127">
        <v>2.6540904538855199</v>
      </c>
      <c r="G43" s="127">
        <f t="shared" si="0"/>
        <v>4.1999999999999984</v>
      </c>
      <c r="H43" s="127">
        <v>4.0307101727447199</v>
      </c>
      <c r="I43" s="127">
        <v>1228.5</v>
      </c>
      <c r="J43" s="127">
        <v>730.1</v>
      </c>
      <c r="K43" s="127">
        <v>1231.3</v>
      </c>
      <c r="L43" s="127">
        <v>64.290000000000006</v>
      </c>
      <c r="M43" s="127">
        <v>64.36</v>
      </c>
      <c r="N43" s="127">
        <v>64.48</v>
      </c>
      <c r="O43" s="127">
        <v>64.260000000000005</v>
      </c>
      <c r="P43" s="127">
        <v>64.347499999999997</v>
      </c>
      <c r="Q43" s="79">
        <v>13.52</v>
      </c>
      <c r="R43" s="79">
        <v>2.58</v>
      </c>
      <c r="S43" s="127">
        <f t="shared" si="3"/>
        <v>2.4511173184357546</v>
      </c>
      <c r="T43" s="127">
        <f t="shared" si="1"/>
        <v>2.4440090782122907</v>
      </c>
      <c r="U43" s="79">
        <f t="shared" si="4"/>
        <v>3.930460762095489</v>
      </c>
      <c r="V43" s="127">
        <f t="shared" si="5"/>
        <v>11.62704525611646</v>
      </c>
      <c r="W43" s="127">
        <f t="shared" si="6"/>
        <v>66.195532265363369</v>
      </c>
      <c r="AC43" s="235">
        <v>144</v>
      </c>
      <c r="AD43" s="235">
        <v>107.8</v>
      </c>
      <c r="AE43" s="235">
        <v>43.95</v>
      </c>
      <c r="AF43" s="235">
        <v>60.3</v>
      </c>
    </row>
    <row r="44" spans="1:32" ht="14.4">
      <c r="A44" s="1" t="s">
        <v>69</v>
      </c>
      <c r="B44" s="276"/>
      <c r="C44" s="1" t="s">
        <v>304</v>
      </c>
      <c r="D44" s="129" t="s">
        <v>298</v>
      </c>
      <c r="E44" s="127">
        <v>2.544</v>
      </c>
      <c r="F44" s="127">
        <v>2.6540904538855199</v>
      </c>
      <c r="G44" s="127">
        <f t="shared" si="0"/>
        <v>4.1999999999999984</v>
      </c>
      <c r="H44" s="127">
        <v>4.0307101727447199</v>
      </c>
      <c r="I44" s="127">
        <v>1221.2</v>
      </c>
      <c r="J44" s="127">
        <v>725.9</v>
      </c>
      <c r="K44" s="127">
        <v>1223.2</v>
      </c>
      <c r="L44" s="127">
        <v>64.2</v>
      </c>
      <c r="M44" s="127">
        <v>64.599999999999994</v>
      </c>
      <c r="N44" s="127">
        <v>64.47</v>
      </c>
      <c r="O44" s="127">
        <v>64.34</v>
      </c>
      <c r="P44" s="127">
        <v>64.402500000000003</v>
      </c>
      <c r="Q44" s="79">
        <v>15.14</v>
      </c>
      <c r="R44" s="79">
        <v>2.29</v>
      </c>
      <c r="S44" s="127">
        <f t="shared" si="3"/>
        <v>2.4556605670621354</v>
      </c>
      <c r="T44" s="127">
        <f t="shared" si="1"/>
        <v>2.4485391514176551</v>
      </c>
      <c r="U44" s="79">
        <f t="shared" si="4"/>
        <v>3.7523918467902928</v>
      </c>
      <c r="V44" s="127">
        <f t="shared" si="5"/>
        <v>11.463242282578832</v>
      </c>
      <c r="W44" s="127">
        <f t="shared" si="6"/>
        <v>67.265876841031627</v>
      </c>
      <c r="AC44" s="235">
        <v>144</v>
      </c>
      <c r="AD44" s="235">
        <v>107.8</v>
      </c>
      <c r="AE44" s="235">
        <v>43.95</v>
      </c>
      <c r="AF44" s="235">
        <v>60.3</v>
      </c>
    </row>
    <row r="45" spans="1:32" ht="14.4">
      <c r="A45" s="1" t="s">
        <v>69</v>
      </c>
      <c r="B45" s="276"/>
      <c r="C45" s="1" t="s">
        <v>305</v>
      </c>
      <c r="D45" s="129" t="s">
        <v>294</v>
      </c>
      <c r="E45" s="127">
        <v>2.544</v>
      </c>
      <c r="F45" s="127">
        <v>2.6540904538855199</v>
      </c>
      <c r="G45" s="127">
        <f t="shared" si="0"/>
        <v>4.1999999999999984</v>
      </c>
      <c r="H45" s="127">
        <v>4.0307101727447199</v>
      </c>
      <c r="I45" s="127">
        <v>1228</v>
      </c>
      <c r="J45" s="127">
        <v>734.9</v>
      </c>
      <c r="K45" s="127">
        <v>1230.9000000000001</v>
      </c>
      <c r="L45" s="127">
        <v>64.27</v>
      </c>
      <c r="M45" s="127">
        <v>64.150000000000006</v>
      </c>
      <c r="N45" s="127">
        <v>64.31</v>
      </c>
      <c r="O45" s="127">
        <v>64.290000000000006</v>
      </c>
      <c r="P45" s="127">
        <v>64.254999999999995</v>
      </c>
      <c r="Q45" s="79">
        <v>13.39</v>
      </c>
      <c r="R45" s="79">
        <v>2.77</v>
      </c>
      <c r="S45" s="127">
        <f t="shared" si="3"/>
        <v>2.4758064516129026</v>
      </c>
      <c r="T45" s="127">
        <f t="shared" si="1"/>
        <v>2.468626612903225</v>
      </c>
      <c r="U45" s="79">
        <f t="shared" si="4"/>
        <v>2.9627903733009053</v>
      </c>
      <c r="V45" s="127">
        <f t="shared" si="5"/>
        <v>10.736899512165621</v>
      </c>
      <c r="W45" s="127">
        <f t="shared" si="6"/>
        <v>72.405531318013487</v>
      </c>
      <c r="X45" s="132">
        <f>AVERAGE(S45:S49)</f>
        <v>2.4658808327872839</v>
      </c>
      <c r="Y45" s="132">
        <f t="shared" ref="Y45" si="35">AVERAGE(T45:T49)</f>
        <v>2.4587297783722009</v>
      </c>
      <c r="Z45" s="133">
        <f t="shared" ref="Z45" si="36">AVERAGE(U45:U49)</f>
        <v>3.3518168878851888</v>
      </c>
      <c r="AA45" s="132">
        <f t="shared" ref="AA45" si="37">AVERAGE(V45:V49)</f>
        <v>11.094759275418891</v>
      </c>
      <c r="AB45" s="132">
        <f t="shared" ref="AB45" si="38">AVERAGE(W45:W49)</f>
        <v>69.812955540386426</v>
      </c>
      <c r="AC45" s="235">
        <v>111</v>
      </c>
      <c r="AD45" s="235">
        <v>124</v>
      </c>
      <c r="AE45" s="235">
        <v>41.5</v>
      </c>
      <c r="AF45" s="235">
        <v>56</v>
      </c>
    </row>
    <row r="46" spans="1:32" ht="14.4">
      <c r="A46" s="1" t="s">
        <v>69</v>
      </c>
      <c r="B46" s="276"/>
      <c r="C46" s="1" t="s">
        <v>305</v>
      </c>
      <c r="D46" s="129" t="s">
        <v>295</v>
      </c>
      <c r="E46" s="127">
        <v>2.544</v>
      </c>
      <c r="F46" s="127">
        <v>2.6540904538855199</v>
      </c>
      <c r="G46" s="127">
        <f t="shared" si="0"/>
        <v>4.1999999999999984</v>
      </c>
      <c r="H46" s="127">
        <v>4.0307101727447199</v>
      </c>
      <c r="I46" s="127">
        <v>1217.5</v>
      </c>
      <c r="J46" s="127">
        <v>725</v>
      </c>
      <c r="K46" s="127">
        <v>1219.0999999999999</v>
      </c>
      <c r="L46" s="127">
        <v>63.95</v>
      </c>
      <c r="M46" s="127">
        <v>63.82</v>
      </c>
      <c r="N46" s="127">
        <v>63.92</v>
      </c>
      <c r="O46" s="127">
        <v>63.85</v>
      </c>
      <c r="P46" s="127">
        <v>63.884999999999998</v>
      </c>
      <c r="Q46" s="79">
        <v>13.79</v>
      </c>
      <c r="R46" s="79">
        <v>2.62</v>
      </c>
      <c r="S46" s="127">
        <f t="shared" si="3"/>
        <v>2.4640760979558798</v>
      </c>
      <c r="T46" s="127">
        <f t="shared" si="1"/>
        <v>2.4569302772718076</v>
      </c>
      <c r="U46" s="79">
        <f t="shared" si="4"/>
        <v>3.4225519940327187</v>
      </c>
      <c r="V46" s="127">
        <f t="shared" si="5"/>
        <v>11.159827458153686</v>
      </c>
      <c r="W46" s="127">
        <f t="shared" si="6"/>
        <v>69.331497221920714</v>
      </c>
      <c r="AC46" s="235">
        <v>111</v>
      </c>
      <c r="AD46" s="235">
        <v>124</v>
      </c>
      <c r="AE46" s="235">
        <v>41.5</v>
      </c>
      <c r="AF46" s="235">
        <v>56</v>
      </c>
    </row>
    <row r="47" spans="1:32" ht="14.4">
      <c r="A47" s="1" t="s">
        <v>69</v>
      </c>
      <c r="B47" s="276"/>
      <c r="C47" s="1" t="s">
        <v>305</v>
      </c>
      <c r="D47" s="129" t="s">
        <v>296</v>
      </c>
      <c r="E47" s="127">
        <v>2.544</v>
      </c>
      <c r="F47" s="127">
        <v>2.6540904538855199</v>
      </c>
      <c r="G47" s="127">
        <f t="shared" si="0"/>
        <v>4.1999999999999984</v>
      </c>
      <c r="H47" s="127">
        <v>4.0307101727447199</v>
      </c>
      <c r="I47" s="127">
        <v>1214.5</v>
      </c>
      <c r="J47" s="127">
        <v>723.8</v>
      </c>
      <c r="K47" s="127">
        <v>1216.7</v>
      </c>
      <c r="L47" s="127">
        <v>63.76</v>
      </c>
      <c r="M47" s="127">
        <v>63.98</v>
      </c>
      <c r="N47" s="127">
        <v>63.66</v>
      </c>
      <c r="O47" s="127">
        <v>64</v>
      </c>
      <c r="P47" s="127">
        <v>63.85</v>
      </c>
      <c r="Q47" s="79">
        <v>13.73</v>
      </c>
      <c r="R47" s="79">
        <v>2.4</v>
      </c>
      <c r="S47" s="127">
        <f t="shared" si="3"/>
        <v>2.4639886386691008</v>
      </c>
      <c r="T47" s="127">
        <f t="shared" si="1"/>
        <v>2.4568430716169605</v>
      </c>
      <c r="U47" s="79">
        <f t="shared" si="4"/>
        <v>3.4259798892704252</v>
      </c>
      <c r="V47" s="127">
        <f t="shared" si="5"/>
        <v>11.162980728515038</v>
      </c>
      <c r="W47" s="127">
        <f t="shared" si="6"/>
        <v>69.309452622102953</v>
      </c>
      <c r="AC47" s="235">
        <v>111</v>
      </c>
      <c r="AD47" s="235">
        <v>124</v>
      </c>
      <c r="AE47" s="235">
        <v>41.5</v>
      </c>
      <c r="AF47" s="235">
        <v>56</v>
      </c>
    </row>
    <row r="48" spans="1:32" ht="14.4">
      <c r="A48" s="1" t="s">
        <v>69</v>
      </c>
      <c r="B48" s="276"/>
      <c r="C48" s="1" t="s">
        <v>305</v>
      </c>
      <c r="D48" s="129" t="s">
        <v>297</v>
      </c>
      <c r="E48" s="127">
        <v>2.544</v>
      </c>
      <c r="F48" s="127">
        <v>2.6540904538855199</v>
      </c>
      <c r="G48" s="127">
        <f t="shared" si="0"/>
        <v>4.1999999999999984</v>
      </c>
      <c r="H48" s="127">
        <v>4.0307101727447199</v>
      </c>
      <c r="I48" s="127">
        <v>1215.7</v>
      </c>
      <c r="J48" s="127">
        <v>723.3</v>
      </c>
      <c r="K48" s="127">
        <v>1217.5</v>
      </c>
      <c r="L48" s="127">
        <v>63.88</v>
      </c>
      <c r="M48" s="127">
        <v>64.22</v>
      </c>
      <c r="N48" s="127">
        <v>64.14</v>
      </c>
      <c r="O48" s="127">
        <v>64.239999999999995</v>
      </c>
      <c r="P48" s="127">
        <v>64.12</v>
      </c>
      <c r="Q48" s="79">
        <v>13.6</v>
      </c>
      <c r="R48" s="79">
        <v>2.34</v>
      </c>
      <c r="S48" s="127">
        <f t="shared" si="3"/>
        <v>2.4599352488870903</v>
      </c>
      <c r="T48" s="127">
        <f t="shared" si="1"/>
        <v>2.4528014366653177</v>
      </c>
      <c r="U48" s="79">
        <f t="shared" si="4"/>
        <v>3.5848491876840582</v>
      </c>
      <c r="V48" s="127">
        <f t="shared" si="5"/>
        <v>11.30912225714394</v>
      </c>
      <c r="W48" s="127">
        <f t="shared" si="6"/>
        <v>68.301260644525087</v>
      </c>
      <c r="AC48" s="235">
        <v>111</v>
      </c>
      <c r="AD48" s="235">
        <v>124</v>
      </c>
      <c r="AE48" s="235">
        <v>41.5</v>
      </c>
      <c r="AF48" s="235">
        <v>56</v>
      </c>
    </row>
    <row r="49" spans="1:32" ht="14.4">
      <c r="A49" s="1" t="s">
        <v>69</v>
      </c>
      <c r="B49" s="276"/>
      <c r="C49" s="1" t="s">
        <v>305</v>
      </c>
      <c r="D49" s="129" t="s">
        <v>298</v>
      </c>
      <c r="E49" s="127">
        <v>2.544</v>
      </c>
      <c r="F49" s="127">
        <v>2.6540904538855199</v>
      </c>
      <c r="G49" s="127">
        <f t="shared" si="0"/>
        <v>4.1999999999999984</v>
      </c>
      <c r="H49" s="127">
        <v>4.0307101727447199</v>
      </c>
      <c r="I49" s="127">
        <v>1214.8</v>
      </c>
      <c r="J49" s="127">
        <v>723.8</v>
      </c>
      <c r="K49" s="127">
        <v>1216.5</v>
      </c>
      <c r="L49" s="127">
        <v>63.62</v>
      </c>
      <c r="M49" s="127">
        <v>63.91</v>
      </c>
      <c r="N49" s="127">
        <v>63.58</v>
      </c>
      <c r="O49" s="127">
        <v>63.95</v>
      </c>
      <c r="P49" s="127">
        <v>63.765000000000001</v>
      </c>
      <c r="Q49" s="79">
        <v>13.94</v>
      </c>
      <c r="R49" s="79">
        <v>2.5</v>
      </c>
      <c r="S49" s="127">
        <f t="shared" si="3"/>
        <v>2.4655977268114468</v>
      </c>
      <c r="T49" s="127">
        <f t="shared" si="1"/>
        <v>2.4584474934036935</v>
      </c>
      <c r="U49" s="79">
        <f t="shared" si="4"/>
        <v>3.3629129951378345</v>
      </c>
      <c r="V49" s="127">
        <f t="shared" si="5"/>
        <v>11.104966421116174</v>
      </c>
      <c r="W49" s="127">
        <f t="shared" si="6"/>
        <v>69.717035895369918</v>
      </c>
      <c r="AC49" s="235">
        <v>111</v>
      </c>
      <c r="AD49" s="235">
        <v>124</v>
      </c>
      <c r="AE49" s="235">
        <v>41.5</v>
      </c>
      <c r="AF49" s="235">
        <v>56</v>
      </c>
    </row>
    <row r="50" spans="1:32" ht="14.4">
      <c r="A50" s="1" t="s">
        <v>69</v>
      </c>
      <c r="B50" s="276"/>
      <c r="C50" s="1" t="s">
        <v>324</v>
      </c>
      <c r="D50" s="129" t="s">
        <v>294</v>
      </c>
      <c r="E50" s="127">
        <v>2.544</v>
      </c>
      <c r="F50" s="127">
        <v>2.6540904538855199</v>
      </c>
      <c r="G50" s="127">
        <f t="shared" si="0"/>
        <v>4.1999999999999984</v>
      </c>
      <c r="H50" s="127">
        <v>4.0307101727447199</v>
      </c>
      <c r="I50" s="127">
        <v>1221.8</v>
      </c>
      <c r="J50" s="127">
        <v>727.2</v>
      </c>
      <c r="K50" s="127">
        <v>1231.0999999999999</v>
      </c>
      <c r="L50" s="127">
        <v>64.510000000000005</v>
      </c>
      <c r="M50" s="127">
        <v>64.64</v>
      </c>
      <c r="N50" s="127">
        <v>64.41</v>
      </c>
      <c r="O50" s="127">
        <v>64.48</v>
      </c>
      <c r="P50" s="127">
        <v>64.510000000000005</v>
      </c>
      <c r="Q50" s="79">
        <v>14.92</v>
      </c>
      <c r="R50" s="79">
        <v>2.14</v>
      </c>
      <c r="S50" s="127">
        <f t="shared" si="3"/>
        <v>2.4246874379837275</v>
      </c>
      <c r="T50" s="127">
        <f t="shared" si="1"/>
        <v>2.4176558444135745</v>
      </c>
      <c r="U50" s="79">
        <f t="shared" si="4"/>
        <v>4.9663583170764802</v>
      </c>
      <c r="V50" s="127">
        <f t="shared" si="5"/>
        <v>12.579952165755472</v>
      </c>
      <c r="W50" s="127">
        <f t="shared" si="6"/>
        <v>60.521643869237778</v>
      </c>
      <c r="X50" s="132">
        <f>AVERAGE(S50:S54)</f>
        <v>2.4311045993891089</v>
      </c>
      <c r="Y50" s="132">
        <f t="shared" ref="Y50" si="39">AVERAGE(T50:T54)</f>
        <v>2.42405439605088</v>
      </c>
      <c r="Z50" s="133">
        <f t="shared" ref="Z50" si="40">AVERAGE(U50:U54)</f>
        <v>4.7148429225283</v>
      </c>
      <c r="AA50" s="132">
        <f t="shared" ref="AA50" si="41">AVERAGE(V50:V54)</f>
        <v>12.34858685729122</v>
      </c>
      <c r="AB50" s="132">
        <f t="shared" ref="AB50" si="42">AVERAGE(W50:W54)</f>
        <v>61.874249281542973</v>
      </c>
      <c r="AC50" s="235">
        <v>161</v>
      </c>
      <c r="AD50" s="235">
        <v>91</v>
      </c>
      <c r="AE50" s="235">
        <v>44</v>
      </c>
      <c r="AF50" s="235">
        <v>15</v>
      </c>
    </row>
    <row r="51" spans="1:32" ht="14.4">
      <c r="A51" s="1" t="s">
        <v>69</v>
      </c>
      <c r="B51" s="276"/>
      <c r="C51" s="1" t="s">
        <v>324</v>
      </c>
      <c r="D51" s="129" t="s">
        <v>295</v>
      </c>
      <c r="E51" s="127">
        <v>2.544</v>
      </c>
      <c r="F51" s="127">
        <v>2.6540904538855199</v>
      </c>
      <c r="G51" s="127">
        <f t="shared" si="0"/>
        <v>4.1999999999999984</v>
      </c>
      <c r="H51" s="127">
        <v>4.0307101727447199</v>
      </c>
      <c r="I51" s="127">
        <v>1220</v>
      </c>
      <c r="J51" s="127">
        <v>727.2</v>
      </c>
      <c r="K51" s="127">
        <v>1231.7</v>
      </c>
      <c r="L51" s="127">
        <v>64.36</v>
      </c>
      <c r="M51" s="127">
        <v>64.66</v>
      </c>
      <c r="N51" s="127">
        <v>64.290000000000006</v>
      </c>
      <c r="O51" s="127">
        <v>64.58</v>
      </c>
      <c r="P51" s="127">
        <v>64.472499999999997</v>
      </c>
      <c r="Q51" s="79">
        <v>15.02</v>
      </c>
      <c r="R51" s="79">
        <v>2.5</v>
      </c>
      <c r="S51" s="127">
        <f t="shared" si="3"/>
        <v>2.4182358771060457</v>
      </c>
      <c r="T51" s="127">
        <f t="shared" si="1"/>
        <v>2.411222993062438</v>
      </c>
      <c r="U51" s="79">
        <f t="shared" si="4"/>
        <v>5.2192219708161129</v>
      </c>
      <c r="V51" s="127">
        <f t="shared" si="5"/>
        <v>12.812557717999965</v>
      </c>
      <c r="W51" s="127">
        <f t="shared" si="6"/>
        <v>59.264792513021895</v>
      </c>
      <c r="AC51" s="235">
        <v>161</v>
      </c>
      <c r="AD51" s="235">
        <v>91</v>
      </c>
      <c r="AE51" s="235">
        <v>44</v>
      </c>
      <c r="AF51" s="235">
        <v>15</v>
      </c>
    </row>
    <row r="52" spans="1:32" ht="14.4">
      <c r="A52" s="1" t="s">
        <v>69</v>
      </c>
      <c r="B52" s="276"/>
      <c r="C52" s="1" t="s">
        <v>324</v>
      </c>
      <c r="D52" s="129" t="s">
        <v>296</v>
      </c>
      <c r="E52" s="127">
        <v>2.544</v>
      </c>
      <c r="F52" s="127">
        <v>2.6540904538855199</v>
      </c>
      <c r="G52" s="127">
        <f t="shared" si="0"/>
        <v>4.1999999999999984</v>
      </c>
      <c r="H52" s="127">
        <v>4.0307101727447199</v>
      </c>
      <c r="I52" s="127">
        <v>1218.2</v>
      </c>
      <c r="J52" s="127">
        <v>722.5</v>
      </c>
      <c r="K52" s="127">
        <v>1220.4000000000001</v>
      </c>
      <c r="L52" s="127">
        <v>63.39</v>
      </c>
      <c r="M52" s="127">
        <v>63.79</v>
      </c>
      <c r="N52" s="127">
        <v>63.5</v>
      </c>
      <c r="O52" s="127">
        <v>63.77</v>
      </c>
      <c r="P52" s="127">
        <v>63.612499999999997</v>
      </c>
      <c r="Q52" s="79">
        <v>14.6</v>
      </c>
      <c r="R52" s="79">
        <v>2.67</v>
      </c>
      <c r="S52" s="127">
        <f t="shared" si="3"/>
        <v>2.4466760393653342</v>
      </c>
      <c r="T52" s="127">
        <f t="shared" si="1"/>
        <v>2.4395806788511747</v>
      </c>
      <c r="U52" s="79">
        <f t="shared" si="4"/>
        <v>4.1045330640261497</v>
      </c>
      <c r="V52" s="127">
        <f t="shared" si="5"/>
        <v>11.78717180385172</v>
      </c>
      <c r="W52" s="127">
        <f t="shared" si="6"/>
        <v>65.177965229242673</v>
      </c>
      <c r="AC52" s="235">
        <v>161</v>
      </c>
      <c r="AD52" s="235">
        <v>91</v>
      </c>
      <c r="AE52" s="235">
        <v>44</v>
      </c>
      <c r="AF52" s="235">
        <v>15</v>
      </c>
    </row>
    <row r="53" spans="1:32" ht="14.4">
      <c r="A53" s="1" t="s">
        <v>69</v>
      </c>
      <c r="B53" s="276"/>
      <c r="C53" s="1" t="s">
        <v>324</v>
      </c>
      <c r="D53" s="129" t="s">
        <v>297</v>
      </c>
      <c r="E53" s="127">
        <v>2.544</v>
      </c>
      <c r="F53" s="127">
        <v>2.6540904538855199</v>
      </c>
      <c r="G53" s="127">
        <f t="shared" si="0"/>
        <v>4.1999999999999984</v>
      </c>
      <c r="H53" s="127">
        <v>4.0307101727447199</v>
      </c>
      <c r="I53" s="127">
        <v>1221.5999999999999</v>
      </c>
      <c r="J53" s="127">
        <v>723.4</v>
      </c>
      <c r="K53" s="127">
        <v>1225.5999999999999</v>
      </c>
      <c r="L53" s="127">
        <v>64.22</v>
      </c>
      <c r="M53" s="127">
        <v>64.349999999999994</v>
      </c>
      <c r="N53" s="127">
        <v>64.37</v>
      </c>
      <c r="O53" s="127">
        <v>64.319999999999993</v>
      </c>
      <c r="P53" s="127">
        <v>64.314999999999998</v>
      </c>
      <c r="Q53" s="79">
        <v>14.9</v>
      </c>
      <c r="R53" s="79">
        <v>2.56</v>
      </c>
      <c r="S53" s="127">
        <f t="shared" si="3"/>
        <v>2.4324970131421746</v>
      </c>
      <c r="T53" s="127">
        <f t="shared" si="1"/>
        <v>2.4254427718040623</v>
      </c>
      <c r="U53" s="79">
        <f t="shared" si="4"/>
        <v>4.6602684039283693</v>
      </c>
      <c r="V53" s="127">
        <f t="shared" si="5"/>
        <v>12.298384561114304</v>
      </c>
      <c r="W53" s="127">
        <f t="shared" si="6"/>
        <v>62.106662214292292</v>
      </c>
      <c r="AC53" s="235">
        <v>161</v>
      </c>
      <c r="AD53" s="235">
        <v>91</v>
      </c>
      <c r="AE53" s="235">
        <v>44</v>
      </c>
      <c r="AF53" s="235">
        <v>15</v>
      </c>
    </row>
    <row r="54" spans="1:32" ht="14.4">
      <c r="A54" s="1" t="s">
        <v>69</v>
      </c>
      <c r="B54" s="276"/>
      <c r="C54" s="1" t="s">
        <v>324</v>
      </c>
      <c r="D54" s="129" t="s">
        <v>298</v>
      </c>
      <c r="E54" s="127">
        <v>2.544</v>
      </c>
      <c r="F54" s="127">
        <v>2.6540904538855199</v>
      </c>
      <c r="G54" s="127">
        <f t="shared" si="0"/>
        <v>4.1999999999999984</v>
      </c>
      <c r="H54" s="127">
        <v>4.0307101727447199</v>
      </c>
      <c r="I54" s="127">
        <v>1217.2</v>
      </c>
      <c r="J54" s="127">
        <v>720.4</v>
      </c>
      <c r="K54" s="127">
        <v>1220.5999999999999</v>
      </c>
      <c r="L54" s="127">
        <v>64.3</v>
      </c>
      <c r="M54" s="127">
        <v>64.27</v>
      </c>
      <c r="N54" s="127">
        <v>64.22</v>
      </c>
      <c r="O54" s="127">
        <v>64.16</v>
      </c>
      <c r="P54" s="127">
        <v>64.237499999999997</v>
      </c>
      <c r="Q54" s="79">
        <v>14.83</v>
      </c>
      <c r="R54" s="79">
        <v>2.4300000000000002</v>
      </c>
      <c r="S54" s="127">
        <f t="shared" si="3"/>
        <v>2.4334266293482609</v>
      </c>
      <c r="T54" s="127">
        <f t="shared" si="1"/>
        <v>2.426369692123151</v>
      </c>
      <c r="U54" s="79">
        <f t="shared" si="4"/>
        <v>4.6238328567943849</v>
      </c>
      <c r="V54" s="127">
        <f t="shared" si="5"/>
        <v>12.264868037734644</v>
      </c>
      <c r="W54" s="127">
        <f t="shared" si="6"/>
        <v>62.300182581920218</v>
      </c>
      <c r="AC54" s="235">
        <v>161</v>
      </c>
      <c r="AD54" s="235">
        <v>91</v>
      </c>
      <c r="AE54" s="235">
        <v>44</v>
      </c>
      <c r="AF54" s="235">
        <v>15</v>
      </c>
    </row>
    <row r="55" spans="1:32">
      <c r="A55" s="1" t="s">
        <v>78</v>
      </c>
      <c r="B55" s="280" t="s">
        <v>197</v>
      </c>
      <c r="C55" s="1" t="s">
        <v>306</v>
      </c>
      <c r="D55" s="1" t="s">
        <v>307</v>
      </c>
      <c r="E55" s="130">
        <v>2.5670000000000002</v>
      </c>
      <c r="F55" s="127">
        <v>2.64042839772867</v>
      </c>
      <c r="G55" s="127">
        <f t="shared" si="0"/>
        <v>4.1999999999999984</v>
      </c>
      <c r="H55" s="127">
        <v>4.0307101727447199</v>
      </c>
      <c r="I55" s="127">
        <v>1243.9000000000001</v>
      </c>
      <c r="J55" s="127">
        <v>743.2</v>
      </c>
      <c r="K55" s="127">
        <v>1246.3</v>
      </c>
      <c r="L55" s="127">
        <v>62.4</v>
      </c>
      <c r="M55" s="127">
        <v>62.6</v>
      </c>
      <c r="N55" s="127">
        <v>62.7</v>
      </c>
      <c r="O55" s="127">
        <v>62.5</v>
      </c>
      <c r="P55" s="127">
        <v>62.55</v>
      </c>
      <c r="Q55" s="79">
        <v>13.9</v>
      </c>
      <c r="R55" s="79">
        <v>3.42</v>
      </c>
      <c r="S55" s="127">
        <f t="shared" si="3"/>
        <v>2.4724706817730078</v>
      </c>
      <c r="T55" s="127">
        <f t="shared" si="1"/>
        <v>2.4653005167958661</v>
      </c>
      <c r="U55" s="79">
        <f t="shared" si="4"/>
        <v>3.9618030075626809</v>
      </c>
      <c r="V55" s="127">
        <f t="shared" si="5"/>
        <v>10.395926656755734</v>
      </c>
      <c r="W55" s="127">
        <f t="shared" si="6"/>
        <v>61.890814177799854</v>
      </c>
      <c r="X55" s="132">
        <f>AVERAGE(S55:S59)</f>
        <v>2.4535582600129162</v>
      </c>
      <c r="Y55" s="132">
        <f t="shared" ref="Y55" si="43">AVERAGE(T55:T59)</f>
        <v>2.4464429410588791</v>
      </c>
      <c r="Z55" s="133">
        <f t="shared" ref="Z55" si="44">AVERAGE(U55:U59)</f>
        <v>4.6964183459727789</v>
      </c>
      <c r="AA55" s="132">
        <f t="shared" ref="AA55" si="45">AVERAGE(V55:V59)</f>
        <v>11.081326099095884</v>
      </c>
      <c r="AB55" s="132">
        <f t="shared" ref="AB55" si="46">AVERAGE(W55:W59)</f>
        <v>57.689857220935508</v>
      </c>
      <c r="AC55" s="235">
        <v>161</v>
      </c>
      <c r="AD55" s="235">
        <v>91</v>
      </c>
      <c r="AE55" s="235">
        <v>44</v>
      </c>
      <c r="AF55" s="235">
        <v>15</v>
      </c>
    </row>
    <row r="56" spans="1:32">
      <c r="A56" s="1" t="s">
        <v>78</v>
      </c>
      <c r="B56" s="276"/>
      <c r="C56" s="1" t="s">
        <v>306</v>
      </c>
      <c r="D56" s="1" t="s">
        <v>308</v>
      </c>
      <c r="E56" s="130">
        <v>2.5670000000000002</v>
      </c>
      <c r="F56" s="127">
        <v>2.64042839772867</v>
      </c>
      <c r="G56" s="127">
        <f t="shared" si="0"/>
        <v>4.1999999999999984</v>
      </c>
      <c r="H56" s="127">
        <v>4.0307101727447199</v>
      </c>
      <c r="I56" s="127">
        <v>1243.5999999999999</v>
      </c>
      <c r="J56" s="127">
        <v>737.9</v>
      </c>
      <c r="K56" s="127">
        <v>1246.7</v>
      </c>
      <c r="L56" s="127">
        <v>64.3</v>
      </c>
      <c r="M56" s="127">
        <v>64.400000000000006</v>
      </c>
      <c r="N56" s="127">
        <v>64.099999999999994</v>
      </c>
      <c r="O56" s="127">
        <v>64.099999999999994</v>
      </c>
      <c r="P56" s="127">
        <v>64.224999999999994</v>
      </c>
      <c r="Q56" s="79">
        <v>15.93</v>
      </c>
      <c r="R56" s="79">
        <v>2.81</v>
      </c>
      <c r="S56" s="127">
        <f t="shared" si="3"/>
        <v>2.4441823899371062</v>
      </c>
      <c r="T56" s="127">
        <f t="shared" si="1"/>
        <v>2.4370942610062887</v>
      </c>
      <c r="U56" s="79">
        <f t="shared" si="4"/>
        <v>5.0606053367242438</v>
      </c>
      <c r="V56" s="127">
        <f t="shared" si="5"/>
        <v>11.42111421311597</v>
      </c>
      <c r="W56" s="127">
        <f t="shared" si="6"/>
        <v>55.690791263494575</v>
      </c>
      <c r="AC56" s="235">
        <v>161</v>
      </c>
      <c r="AD56" s="235">
        <v>91</v>
      </c>
      <c r="AE56" s="235">
        <v>44</v>
      </c>
      <c r="AF56" s="235">
        <v>15</v>
      </c>
    </row>
    <row r="57" spans="1:32">
      <c r="A57" s="1" t="s">
        <v>78</v>
      </c>
      <c r="B57" s="276"/>
      <c r="C57" s="1" t="s">
        <v>306</v>
      </c>
      <c r="D57" s="1" t="s">
        <v>309</v>
      </c>
      <c r="E57" s="130">
        <v>2.5670000000000002</v>
      </c>
      <c r="F57" s="127">
        <v>2.64042839772867</v>
      </c>
      <c r="G57" s="127">
        <f t="shared" si="0"/>
        <v>4.1999999999999984</v>
      </c>
      <c r="H57" s="127">
        <v>4.0307101727447199</v>
      </c>
      <c r="I57" s="127">
        <v>1240</v>
      </c>
      <c r="J57" s="127">
        <v>736.9</v>
      </c>
      <c r="K57" s="127">
        <v>1243.3</v>
      </c>
      <c r="L57" s="127">
        <v>63.8</v>
      </c>
      <c r="M57" s="127">
        <v>64</v>
      </c>
      <c r="N57" s="127">
        <v>64</v>
      </c>
      <c r="O57" s="127">
        <v>63.8</v>
      </c>
      <c r="P57" s="127">
        <v>63.9</v>
      </c>
      <c r="Q57" s="79">
        <v>15.17</v>
      </c>
      <c r="R57" s="79">
        <v>3.44</v>
      </c>
      <c r="S57" s="127">
        <f t="shared" si="3"/>
        <v>2.4486571879936809</v>
      </c>
      <c r="T57" s="127">
        <f t="shared" si="1"/>
        <v>2.4415560821484994</v>
      </c>
      <c r="U57" s="79">
        <f t="shared" si="4"/>
        <v>4.8867907226918916</v>
      </c>
      <c r="V57" s="127">
        <f t="shared" si="5"/>
        <v>11.258944389945412</v>
      </c>
      <c r="W57" s="127">
        <f t="shared" si="6"/>
        <v>56.596368598676548</v>
      </c>
      <c r="AC57" s="235">
        <v>161</v>
      </c>
      <c r="AD57" s="235">
        <v>91</v>
      </c>
      <c r="AE57" s="235">
        <v>44</v>
      </c>
      <c r="AF57" s="235">
        <v>15</v>
      </c>
    </row>
    <row r="58" spans="1:32">
      <c r="A58" s="1" t="s">
        <v>78</v>
      </c>
      <c r="B58" s="276"/>
      <c r="C58" s="1" t="s">
        <v>306</v>
      </c>
      <c r="D58" s="1" t="s">
        <v>310</v>
      </c>
      <c r="E58" s="130">
        <v>2.5670000000000002</v>
      </c>
      <c r="F58" s="127">
        <v>2.64042839772867</v>
      </c>
      <c r="G58" s="127">
        <f t="shared" si="0"/>
        <v>4.1999999999999984</v>
      </c>
      <c r="H58" s="127">
        <v>4.0307101727447199</v>
      </c>
      <c r="I58" s="127">
        <v>1232.9000000000001</v>
      </c>
      <c r="J58" s="127">
        <v>733.5</v>
      </c>
      <c r="K58" s="127">
        <v>1237</v>
      </c>
      <c r="L58" s="127">
        <v>63.9</v>
      </c>
      <c r="M58" s="127">
        <v>64</v>
      </c>
      <c r="N58" s="127">
        <v>64.2</v>
      </c>
      <c r="O58" s="127">
        <v>63.9</v>
      </c>
      <c r="P58" s="127">
        <v>64</v>
      </c>
      <c r="Q58" s="79">
        <v>15.81</v>
      </c>
      <c r="R58" s="79">
        <v>2.23</v>
      </c>
      <c r="S58" s="127">
        <f t="shared" si="3"/>
        <v>2.4486593843098312</v>
      </c>
      <c r="T58" s="127">
        <f t="shared" si="1"/>
        <v>2.4415582720953326</v>
      </c>
      <c r="U58" s="79">
        <f t="shared" si="4"/>
        <v>4.886705411167414</v>
      </c>
      <c r="V58" s="127">
        <f t="shared" si="5"/>
        <v>11.25886479390617</v>
      </c>
      <c r="W58" s="127">
        <f t="shared" si="6"/>
        <v>56.59681947852922</v>
      </c>
      <c r="AC58" s="235">
        <v>161</v>
      </c>
      <c r="AD58" s="235">
        <v>91</v>
      </c>
      <c r="AE58" s="235">
        <v>44</v>
      </c>
      <c r="AF58" s="235">
        <v>15</v>
      </c>
    </row>
    <row r="59" spans="1:32">
      <c r="A59" s="1" t="s">
        <v>78</v>
      </c>
      <c r="B59" s="276"/>
      <c r="C59" s="1" t="s">
        <v>306</v>
      </c>
      <c r="D59" s="1" t="s">
        <v>311</v>
      </c>
      <c r="E59" s="130">
        <v>2.5670000000000002</v>
      </c>
      <c r="F59" s="127">
        <v>2.64042839772867</v>
      </c>
      <c r="G59" s="127">
        <f t="shared" si="0"/>
        <v>4.1999999999999984</v>
      </c>
      <c r="H59" s="127">
        <v>4.0307101727447199</v>
      </c>
      <c r="I59" s="127">
        <v>1232.8</v>
      </c>
      <c r="J59" s="127">
        <v>733.6</v>
      </c>
      <c r="K59" s="127">
        <v>1236</v>
      </c>
      <c r="L59" s="127">
        <v>64.3</v>
      </c>
      <c r="M59" s="127">
        <v>64.27</v>
      </c>
      <c r="N59" s="127">
        <v>64.22</v>
      </c>
      <c r="O59" s="127">
        <v>64.16</v>
      </c>
      <c r="P59" s="127">
        <f>AVERAGE(L59:O59)</f>
        <v>64.237499999999997</v>
      </c>
      <c r="Q59" s="79">
        <v>14.83</v>
      </c>
      <c r="R59" s="79">
        <v>2.4300000000000002</v>
      </c>
      <c r="S59" s="127">
        <f t="shared" si="3"/>
        <v>2.4538216560509554</v>
      </c>
      <c r="T59" s="127">
        <f t="shared" si="1"/>
        <v>2.4467055732484075</v>
      </c>
      <c r="U59" s="79">
        <f t="shared" si="4"/>
        <v>4.6861872517176657</v>
      </c>
      <c r="V59" s="127">
        <f t="shared" si="5"/>
        <v>11.071780441756133</v>
      </c>
      <c r="W59" s="127">
        <f t="shared" si="6"/>
        <v>57.67449258617728</v>
      </c>
      <c r="AC59" s="235">
        <v>161</v>
      </c>
      <c r="AD59" s="235">
        <v>91</v>
      </c>
      <c r="AE59" s="235">
        <v>44</v>
      </c>
      <c r="AF59" s="235">
        <v>15</v>
      </c>
    </row>
    <row r="60" spans="1:32">
      <c r="A60" s="1" t="s">
        <v>78</v>
      </c>
      <c r="B60" s="276"/>
      <c r="C60" s="1" t="s">
        <v>312</v>
      </c>
      <c r="D60" s="1" t="s">
        <v>307</v>
      </c>
      <c r="E60" s="130">
        <v>2.5670000000000002</v>
      </c>
      <c r="F60" s="127">
        <v>2.64042839772867</v>
      </c>
      <c r="G60" s="127">
        <f t="shared" si="0"/>
        <v>4.1999999999999984</v>
      </c>
      <c r="H60" s="127">
        <v>4.0307101727447199</v>
      </c>
      <c r="I60" s="127">
        <v>1202.4000000000001</v>
      </c>
      <c r="J60" s="127">
        <v>720.4</v>
      </c>
      <c r="K60" s="127">
        <v>1204</v>
      </c>
      <c r="L60" s="127">
        <v>62.4</v>
      </c>
      <c r="M60" s="127">
        <v>62.6</v>
      </c>
      <c r="N60" s="127">
        <v>62.7</v>
      </c>
      <c r="O60" s="127">
        <v>62.5</v>
      </c>
      <c r="P60" s="127">
        <f>AVERAGE(L60:O60)</f>
        <v>62.55</v>
      </c>
      <c r="Q60" s="79">
        <v>13.9</v>
      </c>
      <c r="R60" s="79">
        <v>3.42</v>
      </c>
      <c r="S60" s="127">
        <f t="shared" si="3"/>
        <v>2.4863523573200994</v>
      </c>
      <c r="T60" s="127">
        <f t="shared" si="1"/>
        <v>2.4791419354838711</v>
      </c>
      <c r="U60" s="79">
        <f t="shared" si="4"/>
        <v>3.4225969815398938</v>
      </c>
      <c r="V60" s="127">
        <f t="shared" si="5"/>
        <v>9.8928449890868819</v>
      </c>
      <c r="W60" s="127">
        <f t="shared" si="6"/>
        <v>65.4033093077323</v>
      </c>
      <c r="X60" s="132">
        <f>AVERAGE(S60:S64)</f>
        <v>2.4775784623360644</v>
      </c>
      <c r="Y60" s="132">
        <f t="shared" ref="Y60" si="47">AVERAGE(T60:T64)</f>
        <v>2.4703934847952898</v>
      </c>
      <c r="Z60" s="133">
        <f t="shared" ref="Z60" si="48">AVERAGE(U60:U64)</f>
        <v>3.7634014493459427</v>
      </c>
      <c r="AA60" s="132">
        <f t="shared" ref="AA60" si="49">AVERAGE(V60:V64)</f>
        <v>10.210817103155231</v>
      </c>
      <c r="AB60" s="132">
        <f t="shared" ref="AB60" si="50">AVERAGE(W60:W64)</f>
        <v>63.180723592570416</v>
      </c>
      <c r="AC60" s="235">
        <v>161</v>
      </c>
      <c r="AD60" s="235">
        <v>91</v>
      </c>
      <c r="AE60" s="235">
        <v>44</v>
      </c>
      <c r="AF60" s="235">
        <v>15</v>
      </c>
    </row>
    <row r="61" spans="1:32">
      <c r="A61" s="1" t="s">
        <v>78</v>
      </c>
      <c r="B61" s="276"/>
      <c r="C61" s="1" t="s">
        <v>312</v>
      </c>
      <c r="D61" s="1" t="s">
        <v>308</v>
      </c>
      <c r="E61" s="130">
        <v>2.5670000000000002</v>
      </c>
      <c r="F61" s="127">
        <v>2.64042839772867</v>
      </c>
      <c r="G61" s="127">
        <f t="shared" si="0"/>
        <v>4.1999999999999984</v>
      </c>
      <c r="H61" s="127">
        <v>4.0307101727447199</v>
      </c>
      <c r="I61" s="127">
        <v>1243.3</v>
      </c>
      <c r="J61" s="127">
        <v>744.3</v>
      </c>
      <c r="K61" s="127">
        <v>1245</v>
      </c>
      <c r="L61" s="127">
        <v>64.3</v>
      </c>
      <c r="M61" s="127">
        <v>64.400000000000006</v>
      </c>
      <c r="N61" s="127">
        <v>64.099999999999994</v>
      </c>
      <c r="O61" s="127">
        <v>64.099999999999994</v>
      </c>
      <c r="P61" s="127">
        <f>AVERAGE(L61:O61)</f>
        <v>64.224999999999994</v>
      </c>
      <c r="Q61" s="79">
        <v>15.93</v>
      </c>
      <c r="R61" s="79">
        <v>2.81</v>
      </c>
      <c r="S61" s="127">
        <f t="shared" si="3"/>
        <v>2.4831236269223083</v>
      </c>
      <c r="T61" s="127">
        <f t="shared" si="1"/>
        <v>2.4759225684042336</v>
      </c>
      <c r="U61" s="79">
        <f t="shared" si="4"/>
        <v>3.5480105802791817</v>
      </c>
      <c r="V61" s="127">
        <f t="shared" si="5"/>
        <v>10.009856445482299</v>
      </c>
      <c r="W61" s="127">
        <f t="shared" si="6"/>
        <v>64.554830535252194</v>
      </c>
      <c r="AC61" s="235">
        <v>161</v>
      </c>
      <c r="AD61" s="235">
        <v>91</v>
      </c>
      <c r="AE61" s="235">
        <v>44</v>
      </c>
      <c r="AF61" s="235">
        <v>15</v>
      </c>
    </row>
    <row r="62" spans="1:32">
      <c r="A62" s="1" t="s">
        <v>78</v>
      </c>
      <c r="B62" s="276"/>
      <c r="C62" s="1" t="s">
        <v>312</v>
      </c>
      <c r="D62" s="1" t="s">
        <v>309</v>
      </c>
      <c r="E62" s="130">
        <v>2.5670000000000002</v>
      </c>
      <c r="F62" s="127">
        <v>2.64042839772867</v>
      </c>
      <c r="G62" s="127">
        <f t="shared" si="0"/>
        <v>4.1999999999999984</v>
      </c>
      <c r="H62" s="127">
        <v>4.0307101727447199</v>
      </c>
      <c r="I62" s="127">
        <v>1246.5999999999999</v>
      </c>
      <c r="J62" s="127">
        <v>743.4</v>
      </c>
      <c r="K62" s="127">
        <v>1248.5</v>
      </c>
      <c r="L62" s="127">
        <v>63.8</v>
      </c>
      <c r="M62" s="127">
        <v>64</v>
      </c>
      <c r="N62" s="127">
        <v>64</v>
      </c>
      <c r="O62" s="127">
        <v>63.8</v>
      </c>
      <c r="P62" s="127">
        <f>AVERAGE(L62:O62)</f>
        <v>63.900000000000006</v>
      </c>
      <c r="Q62" s="79">
        <v>15.17</v>
      </c>
      <c r="R62" s="79">
        <v>3.44</v>
      </c>
      <c r="S62" s="127">
        <f t="shared" si="3"/>
        <v>2.4680261334389226</v>
      </c>
      <c r="T62" s="127">
        <f t="shared" si="1"/>
        <v>2.4608688576519495</v>
      </c>
      <c r="U62" s="79">
        <f t="shared" si="4"/>
        <v>4.1344426314004927</v>
      </c>
      <c r="V62" s="127">
        <f t="shared" si="5"/>
        <v>10.55700020874599</v>
      </c>
      <c r="W62" s="127">
        <f t="shared" si="6"/>
        <v>60.836956051442556</v>
      </c>
      <c r="AC62" s="235">
        <v>161</v>
      </c>
      <c r="AD62" s="235">
        <v>91</v>
      </c>
      <c r="AE62" s="235">
        <v>44</v>
      </c>
      <c r="AF62" s="235">
        <v>15</v>
      </c>
    </row>
    <row r="63" spans="1:32">
      <c r="A63" s="1" t="s">
        <v>78</v>
      </c>
      <c r="B63" s="276"/>
      <c r="C63" s="1" t="s">
        <v>312</v>
      </c>
      <c r="D63" s="1" t="s">
        <v>310</v>
      </c>
      <c r="E63" s="130">
        <v>2.5670000000000002</v>
      </c>
      <c r="F63" s="127">
        <v>2.64042839772867</v>
      </c>
      <c r="G63" s="127">
        <f t="shared" si="0"/>
        <v>4.1999999999999984</v>
      </c>
      <c r="H63" s="127">
        <v>4.0307101727447199</v>
      </c>
      <c r="I63" s="127">
        <v>1248.4000000000001</v>
      </c>
      <c r="J63" s="127">
        <v>745.3</v>
      </c>
      <c r="K63" s="127">
        <v>1249.9000000000001</v>
      </c>
      <c r="L63" s="127">
        <v>63.9</v>
      </c>
      <c r="M63" s="127">
        <v>64</v>
      </c>
      <c r="N63" s="127">
        <v>64.2</v>
      </c>
      <c r="O63" s="127">
        <v>63.9</v>
      </c>
      <c r="P63" s="127">
        <f>AVERAGE(L63:O63)</f>
        <v>64</v>
      </c>
      <c r="Q63" s="79">
        <v>15.81</v>
      </c>
      <c r="R63" s="79">
        <v>2.23</v>
      </c>
      <c r="S63" s="127">
        <f t="shared" si="3"/>
        <v>2.4740388426476412</v>
      </c>
      <c r="T63" s="127">
        <f t="shared" si="1"/>
        <v>2.4668641300039629</v>
      </c>
      <c r="U63" s="79">
        <f t="shared" si="4"/>
        <v>3.9008909231023514</v>
      </c>
      <c r="V63" s="127">
        <f t="shared" si="5"/>
        <v>10.339095405707738</v>
      </c>
      <c r="W63" s="127">
        <f t="shared" si="6"/>
        <v>62.270481410309365</v>
      </c>
      <c r="AC63" s="235">
        <v>161</v>
      </c>
      <c r="AD63" s="235">
        <v>91</v>
      </c>
      <c r="AE63" s="235">
        <v>44</v>
      </c>
      <c r="AF63" s="235">
        <v>15</v>
      </c>
    </row>
    <row r="64" spans="1:32">
      <c r="A64" s="1" t="s">
        <v>78</v>
      </c>
      <c r="B64" s="276"/>
      <c r="C64" s="1" t="s">
        <v>312</v>
      </c>
      <c r="D64" s="1" t="s">
        <v>311</v>
      </c>
      <c r="E64" s="130">
        <v>2.5670000000000002</v>
      </c>
      <c r="F64" s="127">
        <v>2.64042839772867</v>
      </c>
      <c r="G64" s="127">
        <f t="shared" si="0"/>
        <v>4.1999999999999984</v>
      </c>
      <c r="H64" s="127">
        <v>4.0307101727447199</v>
      </c>
      <c r="I64" s="127">
        <v>1246.0999999999999</v>
      </c>
      <c r="J64" s="127">
        <v>744.5</v>
      </c>
      <c r="K64" s="127">
        <v>1247.7</v>
      </c>
      <c r="L64" s="127">
        <v>64.2</v>
      </c>
      <c r="M64" s="127">
        <v>64.599999999999994</v>
      </c>
      <c r="N64" s="127">
        <v>64.47</v>
      </c>
      <c r="O64" s="127">
        <v>64.34</v>
      </c>
      <c r="P64" s="127">
        <v>64.402500000000003</v>
      </c>
      <c r="Q64" s="79">
        <v>15.14</v>
      </c>
      <c r="R64" s="79">
        <v>2.29</v>
      </c>
      <c r="S64" s="127">
        <f t="shared" si="3"/>
        <v>2.4763513513513509</v>
      </c>
      <c r="T64" s="127">
        <f t="shared" si="1"/>
        <v>2.4691699324324321</v>
      </c>
      <c r="U64" s="79">
        <f t="shared" si="4"/>
        <v>3.811066130407792</v>
      </c>
      <c r="V64" s="127">
        <f t="shared" si="5"/>
        <v>10.255288466753242</v>
      </c>
      <c r="W64" s="127">
        <f t="shared" si="6"/>
        <v>62.838040658115688</v>
      </c>
      <c r="AC64" s="235">
        <v>161</v>
      </c>
      <c r="AD64" s="235">
        <v>91</v>
      </c>
      <c r="AE64" s="235">
        <v>44</v>
      </c>
      <c r="AF64" s="235">
        <v>15</v>
      </c>
    </row>
    <row r="65" spans="1:32">
      <c r="A65" s="1" t="s">
        <v>80</v>
      </c>
      <c r="B65" s="280" t="s">
        <v>197</v>
      </c>
      <c r="C65" s="1" t="s">
        <v>306</v>
      </c>
      <c r="D65" s="1" t="s">
        <v>307</v>
      </c>
      <c r="E65" s="127">
        <v>2.5670000000000002</v>
      </c>
      <c r="F65" s="127">
        <v>2.6999314840984998</v>
      </c>
      <c r="G65" s="127">
        <f t="shared" si="0"/>
        <v>4.3999999999999995</v>
      </c>
      <c r="H65" s="127">
        <v>4.2145593869731801</v>
      </c>
      <c r="I65" s="127">
        <v>1243.3</v>
      </c>
      <c r="J65" s="127">
        <v>747.9</v>
      </c>
      <c r="K65" s="127">
        <v>1244.5999999999999</v>
      </c>
      <c r="L65" s="127">
        <v>62.4</v>
      </c>
      <c r="M65" s="127">
        <v>62.6</v>
      </c>
      <c r="N65" s="127">
        <v>62.7</v>
      </c>
      <c r="O65" s="127">
        <v>62.5</v>
      </c>
      <c r="P65" s="127">
        <v>62.55</v>
      </c>
      <c r="Q65" s="79">
        <v>13.9</v>
      </c>
      <c r="R65" s="79">
        <v>3.42</v>
      </c>
      <c r="S65" s="127">
        <f t="shared" si="3"/>
        <v>2.5031205959331593</v>
      </c>
      <c r="T65" s="127">
        <f t="shared" si="1"/>
        <v>2.4958615462049529</v>
      </c>
      <c r="U65" s="79">
        <f t="shared" si="4"/>
        <v>2.7712681649804116</v>
      </c>
      <c r="V65" s="127">
        <f t="shared" si="5"/>
        <v>11.454346408284607</v>
      </c>
      <c r="W65" s="127">
        <f t="shared" si="6"/>
        <v>75.805968614882886</v>
      </c>
      <c r="X65" s="132">
        <f>AVERAGE(S65:S69)</f>
        <v>2.4953774287905697</v>
      </c>
      <c r="Y65" s="132">
        <f t="shared" ref="Y65" si="51">AVERAGE(T65:T69)</f>
        <v>2.4881408342470768</v>
      </c>
      <c r="Z65" s="133">
        <f t="shared" ref="Z65" si="52">AVERAGE(U65:U69)</f>
        <v>3.0720360636121224</v>
      </c>
      <c r="AA65" s="132">
        <f t="shared" ref="AA65" si="53">AVERAGE(V65:V69)</f>
        <v>11.728254024491516</v>
      </c>
      <c r="AB65" s="132">
        <f t="shared" ref="AB65" si="54">AVERAGE(W65:W69)</f>
        <v>73.825320222711866</v>
      </c>
      <c r="AC65" s="235">
        <v>161</v>
      </c>
      <c r="AD65" s="235">
        <v>91</v>
      </c>
      <c r="AE65" s="235">
        <v>44</v>
      </c>
      <c r="AF65" s="235">
        <v>15</v>
      </c>
    </row>
    <row r="66" spans="1:32">
      <c r="A66" s="1" t="s">
        <v>80</v>
      </c>
      <c r="B66" s="276"/>
      <c r="C66" s="1" t="s">
        <v>306</v>
      </c>
      <c r="D66" s="1" t="s">
        <v>308</v>
      </c>
      <c r="E66" s="127">
        <v>2.5670000000000002</v>
      </c>
      <c r="F66" s="127">
        <v>2.6999314840984998</v>
      </c>
      <c r="G66" s="127">
        <f t="shared" si="0"/>
        <v>4.3999999999999995</v>
      </c>
      <c r="H66" s="127">
        <v>4.2145593869731801</v>
      </c>
      <c r="I66" s="127">
        <v>1266</v>
      </c>
      <c r="J66" s="127">
        <v>759.2</v>
      </c>
      <c r="K66" s="127">
        <v>1267.0999999999999</v>
      </c>
      <c r="L66" s="127">
        <v>64.3</v>
      </c>
      <c r="M66" s="127">
        <v>64.400000000000006</v>
      </c>
      <c r="N66" s="127">
        <v>64.099999999999994</v>
      </c>
      <c r="O66" s="127">
        <v>64.099999999999994</v>
      </c>
      <c r="P66" s="127">
        <v>64.224999999999994</v>
      </c>
      <c r="Q66" s="79">
        <v>15.93</v>
      </c>
      <c r="R66" s="79">
        <v>2.81</v>
      </c>
      <c r="S66" s="127">
        <f t="shared" si="3"/>
        <v>2.4926166568222099</v>
      </c>
      <c r="T66" s="127">
        <f t="shared" si="1"/>
        <v>2.4853880685174254</v>
      </c>
      <c r="U66" s="79">
        <f t="shared" si="4"/>
        <v>3.1792727496133488</v>
      </c>
      <c r="V66" s="127">
        <f t="shared" si="5"/>
        <v>11.825913865073417</v>
      </c>
      <c r="W66" s="127">
        <f t="shared" si="6"/>
        <v>73.11605017686631</v>
      </c>
      <c r="AC66" s="235">
        <v>161</v>
      </c>
      <c r="AD66" s="235">
        <v>91</v>
      </c>
      <c r="AE66" s="235">
        <v>44</v>
      </c>
      <c r="AF66" s="235">
        <v>15</v>
      </c>
    </row>
    <row r="67" spans="1:32">
      <c r="A67" s="1" t="s">
        <v>80</v>
      </c>
      <c r="B67" s="276"/>
      <c r="C67" s="1" t="s">
        <v>306</v>
      </c>
      <c r="D67" s="1" t="s">
        <v>309</v>
      </c>
      <c r="E67" s="127">
        <v>2.5670000000000002</v>
      </c>
      <c r="F67" s="127">
        <v>2.6999314840984998</v>
      </c>
      <c r="G67" s="127">
        <f t="shared" ref="G67:G130" si="55">100*H67/(100-H67)</f>
        <v>4.3999999999999995</v>
      </c>
      <c r="H67" s="127">
        <v>4.2145593869731801</v>
      </c>
      <c r="I67" s="127">
        <v>1259.7</v>
      </c>
      <c r="J67" s="127">
        <v>755.5</v>
      </c>
      <c r="K67" s="127">
        <v>1261.5</v>
      </c>
      <c r="L67" s="127">
        <v>63.8</v>
      </c>
      <c r="M67" s="127">
        <v>64</v>
      </c>
      <c r="N67" s="127">
        <v>64</v>
      </c>
      <c r="O67" s="127">
        <v>63.8</v>
      </c>
      <c r="P67" s="127">
        <v>63.9</v>
      </c>
      <c r="Q67" s="79">
        <v>15.17</v>
      </c>
      <c r="R67" s="79">
        <v>3.44</v>
      </c>
      <c r="S67" s="127">
        <f t="shared" ref="S67:S130" si="56">I67/(K67-J67)</f>
        <v>2.4895256916996047</v>
      </c>
      <c r="T67" s="127">
        <f t="shared" ref="T67:T130" si="57">0.9971*S67</f>
        <v>2.4823060671936759</v>
      </c>
      <c r="U67" s="79">
        <f t="shared" ref="U67:U130" si="58">100*(1-T67/E67)</f>
        <v>3.2993351307489038</v>
      </c>
      <c r="V67" s="127">
        <f t="shared" ref="V67:V130" si="59">100-T67*(100-H67)/F67</f>
        <v>11.935253993333689</v>
      </c>
      <c r="W67" s="127">
        <f t="shared" ref="W67:W130" si="60">100*(V67-U67)/V67</f>
        <v>72.356389461072936</v>
      </c>
      <c r="AC67" s="235">
        <v>161</v>
      </c>
      <c r="AD67" s="235">
        <v>91</v>
      </c>
      <c r="AE67" s="235">
        <v>44</v>
      </c>
      <c r="AF67" s="235">
        <v>15</v>
      </c>
    </row>
    <row r="68" spans="1:32">
      <c r="A68" s="1" t="s">
        <v>80</v>
      </c>
      <c r="B68" s="276"/>
      <c r="C68" s="1" t="s">
        <v>306</v>
      </c>
      <c r="D68" s="1" t="s">
        <v>310</v>
      </c>
      <c r="E68" s="127">
        <v>2.5670000000000002</v>
      </c>
      <c r="F68" s="127">
        <v>2.6999314840984998</v>
      </c>
      <c r="G68" s="127">
        <f t="shared" si="55"/>
        <v>4.3999999999999995</v>
      </c>
      <c r="H68" s="127">
        <v>4.2145593869731801</v>
      </c>
      <c r="I68" s="127">
        <v>1259</v>
      </c>
      <c r="J68" s="127">
        <v>756.6</v>
      </c>
      <c r="K68" s="127">
        <v>1260.4000000000001</v>
      </c>
      <c r="L68" s="127">
        <v>63.9</v>
      </c>
      <c r="M68" s="127">
        <v>64</v>
      </c>
      <c r="N68" s="127">
        <v>64.2</v>
      </c>
      <c r="O68" s="127">
        <v>63.9</v>
      </c>
      <c r="P68" s="127">
        <v>64</v>
      </c>
      <c r="Q68" s="79">
        <v>15.81</v>
      </c>
      <c r="R68" s="79">
        <v>2.23</v>
      </c>
      <c r="S68" s="127">
        <f t="shared" si="56"/>
        <v>2.4990075426756646</v>
      </c>
      <c r="T68" s="127">
        <f t="shared" si="57"/>
        <v>2.4917604208019051</v>
      </c>
      <c r="U68" s="79">
        <f t="shared" si="58"/>
        <v>2.9310315231045991</v>
      </c>
      <c r="V68" s="127">
        <f t="shared" si="59"/>
        <v>11.599841990692454</v>
      </c>
      <c r="W68" s="127">
        <f t="shared" si="60"/>
        <v>74.73214268387089</v>
      </c>
      <c r="AC68" s="235">
        <v>161</v>
      </c>
      <c r="AD68" s="235">
        <v>91</v>
      </c>
      <c r="AE68" s="235">
        <v>44</v>
      </c>
      <c r="AF68" s="235">
        <v>15</v>
      </c>
    </row>
    <row r="69" spans="1:32">
      <c r="A69" s="1" t="s">
        <v>80</v>
      </c>
      <c r="B69" s="276"/>
      <c r="C69" s="1" t="s">
        <v>306</v>
      </c>
      <c r="D69" s="1" t="s">
        <v>311</v>
      </c>
      <c r="E69" s="127">
        <v>2.5670000000000002</v>
      </c>
      <c r="F69" s="127">
        <v>2.6999314840984998</v>
      </c>
      <c r="G69" s="127">
        <f t="shared" si="55"/>
        <v>4.3999999999999995</v>
      </c>
      <c r="H69" s="127">
        <v>4.2145593869731801</v>
      </c>
      <c r="I69" s="127">
        <v>1266</v>
      </c>
      <c r="J69" s="127">
        <v>759.2</v>
      </c>
      <c r="K69" s="127">
        <v>1267.0999999999999</v>
      </c>
      <c r="L69" s="127">
        <v>64.3</v>
      </c>
      <c r="M69" s="127">
        <v>64.400000000000006</v>
      </c>
      <c r="N69" s="127">
        <v>64.099999999999994</v>
      </c>
      <c r="O69" s="127">
        <v>64.099999999999994</v>
      </c>
      <c r="P69" s="127">
        <v>64.224999999999994</v>
      </c>
      <c r="Q69" s="79">
        <v>15.93</v>
      </c>
      <c r="R69" s="79">
        <v>2.81</v>
      </c>
      <c r="S69" s="127">
        <f t="shared" si="56"/>
        <v>2.4926166568222099</v>
      </c>
      <c r="T69" s="127">
        <f t="shared" si="57"/>
        <v>2.4853880685174254</v>
      </c>
      <c r="U69" s="79">
        <f t="shared" si="58"/>
        <v>3.1792727496133488</v>
      </c>
      <c r="V69" s="127">
        <f t="shared" si="59"/>
        <v>11.825913865073417</v>
      </c>
      <c r="W69" s="127">
        <f t="shared" si="60"/>
        <v>73.11605017686631</v>
      </c>
      <c r="AC69" s="235">
        <v>161</v>
      </c>
      <c r="AD69" s="235">
        <v>91</v>
      </c>
      <c r="AE69" s="235">
        <v>44</v>
      </c>
      <c r="AF69" s="235">
        <v>15</v>
      </c>
    </row>
    <row r="70" spans="1:32">
      <c r="A70" s="1" t="s">
        <v>80</v>
      </c>
      <c r="B70" s="276"/>
      <c r="C70" s="1" t="s">
        <v>312</v>
      </c>
      <c r="D70" s="1" t="s">
        <v>307</v>
      </c>
      <c r="E70" s="127">
        <v>2.5670000000000002</v>
      </c>
      <c r="F70" s="127">
        <v>2.6999314840984998</v>
      </c>
      <c r="G70" s="127">
        <f t="shared" si="55"/>
        <v>4.3999999999999995</v>
      </c>
      <c r="H70" s="127">
        <v>4.2145593869731801</v>
      </c>
      <c r="I70" s="127">
        <v>1226.7</v>
      </c>
      <c r="J70" s="127">
        <v>731.5</v>
      </c>
      <c r="K70" s="127">
        <v>1229</v>
      </c>
      <c r="L70" s="127">
        <v>63.1</v>
      </c>
      <c r="M70" s="127">
        <v>63.2</v>
      </c>
      <c r="N70" s="127">
        <v>63.1</v>
      </c>
      <c r="O70" s="127">
        <v>62.9</v>
      </c>
      <c r="P70" s="127">
        <v>63.075000000000003</v>
      </c>
      <c r="Q70" s="79">
        <v>14.26</v>
      </c>
      <c r="R70" s="79">
        <v>3.37</v>
      </c>
      <c r="S70" s="127">
        <f t="shared" si="56"/>
        <v>2.4657286432160803</v>
      </c>
      <c r="T70" s="127">
        <f t="shared" si="57"/>
        <v>2.4585780301507536</v>
      </c>
      <c r="U70" s="79">
        <f t="shared" si="58"/>
        <v>4.2236840611315385</v>
      </c>
      <c r="V70" s="127">
        <f t="shared" si="59"/>
        <v>12.777053311732843</v>
      </c>
      <c r="W70" s="127">
        <f t="shared" si="60"/>
        <v>66.943207028391768</v>
      </c>
      <c r="X70" s="132">
        <f>AVERAGE(S70:S74)</f>
        <v>2.4498726913178941</v>
      </c>
      <c r="Y70" s="132">
        <f t="shared" ref="Y70" si="61">AVERAGE(T70:T74)</f>
        <v>2.4427680605130724</v>
      </c>
      <c r="Z70" s="133">
        <f t="shared" ref="Z70" si="62">AVERAGE(U70:U74)</f>
        <v>4.8395769180727664</v>
      </c>
      <c r="AA70" s="132">
        <f t="shared" ref="AA70" si="63">AVERAGE(V70:V74)</f>
        <v>13.337943436813006</v>
      </c>
      <c r="AB70" s="132">
        <f t="shared" ref="AB70" si="64">AVERAGE(W70:W74)</f>
        <v>63.770728123627279</v>
      </c>
      <c r="AC70" s="235">
        <v>161</v>
      </c>
      <c r="AD70" s="235">
        <v>91</v>
      </c>
      <c r="AE70" s="235">
        <v>44</v>
      </c>
      <c r="AF70" s="235">
        <v>15</v>
      </c>
    </row>
    <row r="71" spans="1:32">
      <c r="A71" s="1" t="s">
        <v>80</v>
      </c>
      <c r="B71" s="276"/>
      <c r="C71" s="1" t="s">
        <v>312</v>
      </c>
      <c r="D71" s="1" t="s">
        <v>308</v>
      </c>
      <c r="E71" s="127">
        <v>2.5670000000000002</v>
      </c>
      <c r="F71" s="127">
        <v>2.6999314840984998</v>
      </c>
      <c r="G71" s="127">
        <f t="shared" si="55"/>
        <v>4.3999999999999995</v>
      </c>
      <c r="H71" s="127">
        <v>4.2145593869731801</v>
      </c>
      <c r="I71" s="127">
        <v>1263.7</v>
      </c>
      <c r="J71" s="127">
        <v>750.8</v>
      </c>
      <c r="K71" s="127">
        <v>1267</v>
      </c>
      <c r="L71" s="127">
        <v>66.5</v>
      </c>
      <c r="M71" s="127">
        <v>66.400000000000006</v>
      </c>
      <c r="N71" s="127">
        <v>65.8</v>
      </c>
      <c r="O71" s="127">
        <v>66.400000000000006</v>
      </c>
      <c r="P71" s="127">
        <v>66.275000000000006</v>
      </c>
      <c r="Q71" s="79">
        <v>16.39</v>
      </c>
      <c r="R71" s="79">
        <v>3.41</v>
      </c>
      <c r="S71" s="127">
        <f t="shared" si="56"/>
        <v>2.4480821387059279</v>
      </c>
      <c r="T71" s="127">
        <f t="shared" si="57"/>
        <v>2.4409827005036808</v>
      </c>
      <c r="U71" s="79">
        <f t="shared" si="58"/>
        <v>4.9091273664323865</v>
      </c>
      <c r="V71" s="127">
        <f t="shared" si="59"/>
        <v>13.401282634922154</v>
      </c>
      <c r="W71" s="127">
        <f t="shared" si="60"/>
        <v>63.368227503539231</v>
      </c>
      <c r="AC71" s="235">
        <v>161</v>
      </c>
      <c r="AD71" s="235">
        <v>91</v>
      </c>
      <c r="AE71" s="235">
        <v>44</v>
      </c>
      <c r="AF71" s="235">
        <v>15</v>
      </c>
    </row>
    <row r="72" spans="1:32">
      <c r="A72" s="1" t="s">
        <v>80</v>
      </c>
      <c r="B72" s="276"/>
      <c r="C72" s="1" t="s">
        <v>312</v>
      </c>
      <c r="D72" s="1" t="s">
        <v>309</v>
      </c>
      <c r="E72" s="127">
        <v>2.5670000000000002</v>
      </c>
      <c r="F72" s="127">
        <v>2.6999314840984998</v>
      </c>
      <c r="G72" s="127">
        <f t="shared" si="55"/>
        <v>4.3999999999999995</v>
      </c>
      <c r="H72" s="127">
        <v>4.2145593869731801</v>
      </c>
      <c r="I72" s="127">
        <v>1254</v>
      </c>
      <c r="J72" s="127">
        <v>744.8</v>
      </c>
      <c r="K72" s="127">
        <v>1255.9000000000001</v>
      </c>
      <c r="L72" s="127">
        <v>64.7</v>
      </c>
      <c r="M72" s="127">
        <v>64.8</v>
      </c>
      <c r="N72" s="127">
        <v>64.5</v>
      </c>
      <c r="O72" s="127">
        <v>64.599999999999994</v>
      </c>
      <c r="P72" s="127">
        <v>64.650000000000006</v>
      </c>
      <c r="Q72" s="79">
        <v>16.739999999999998</v>
      </c>
      <c r="R72" s="79">
        <v>2.71</v>
      </c>
      <c r="S72" s="127">
        <f t="shared" si="56"/>
        <v>2.4535315985130106</v>
      </c>
      <c r="T72" s="127">
        <f t="shared" si="57"/>
        <v>2.446416356877323</v>
      </c>
      <c r="U72" s="79">
        <f t="shared" si="58"/>
        <v>4.6974539588109598</v>
      </c>
      <c r="V72" s="127">
        <f t="shared" si="59"/>
        <v>13.208512865409688</v>
      </c>
      <c r="W72" s="127">
        <f t="shared" si="60"/>
        <v>64.436163202652409</v>
      </c>
      <c r="AC72" s="235">
        <v>161</v>
      </c>
      <c r="AD72" s="235">
        <v>91</v>
      </c>
      <c r="AE72" s="235">
        <v>44</v>
      </c>
      <c r="AF72" s="235">
        <v>15</v>
      </c>
    </row>
    <row r="73" spans="1:32">
      <c r="A73" s="1" t="s">
        <v>80</v>
      </c>
      <c r="B73" s="276"/>
      <c r="C73" s="1" t="s">
        <v>312</v>
      </c>
      <c r="D73" s="1" t="s">
        <v>310</v>
      </c>
      <c r="E73" s="127">
        <v>2.5670000000000002</v>
      </c>
      <c r="F73" s="127">
        <v>2.6999314840984998</v>
      </c>
      <c r="G73" s="127">
        <f t="shared" si="55"/>
        <v>4.3999999999999995</v>
      </c>
      <c r="H73" s="127">
        <v>4.2145593869731801</v>
      </c>
      <c r="I73" s="127">
        <v>1247.9000000000001</v>
      </c>
      <c r="J73" s="127">
        <v>741.1</v>
      </c>
      <c r="K73" s="127">
        <v>1250.8</v>
      </c>
      <c r="L73" s="127">
        <v>65.3</v>
      </c>
      <c r="M73" s="127">
        <v>64.8</v>
      </c>
      <c r="N73" s="127">
        <v>65.2</v>
      </c>
      <c r="O73" s="127">
        <v>64.8</v>
      </c>
      <c r="P73" s="127">
        <v>65.025000000000006</v>
      </c>
      <c r="Q73" s="79">
        <v>15.21</v>
      </c>
      <c r="R73" s="79">
        <v>3.39</v>
      </c>
      <c r="S73" s="127">
        <f t="shared" si="56"/>
        <v>2.4483029232882094</v>
      </c>
      <c r="T73" s="127">
        <f t="shared" si="57"/>
        <v>2.4412028448106735</v>
      </c>
      <c r="U73" s="79">
        <f t="shared" si="58"/>
        <v>4.9005514292686625</v>
      </c>
      <c r="V73" s="127">
        <f t="shared" si="59"/>
        <v>13.393472577678878</v>
      </c>
      <c r="W73" s="127">
        <f t="shared" si="60"/>
        <v>63.410897354314507</v>
      </c>
      <c r="AC73" s="235">
        <v>161</v>
      </c>
      <c r="AD73" s="235">
        <v>91</v>
      </c>
      <c r="AE73" s="235">
        <v>44</v>
      </c>
      <c r="AF73" s="235">
        <v>15</v>
      </c>
    </row>
    <row r="74" spans="1:32">
      <c r="A74" s="1" t="s">
        <v>80</v>
      </c>
      <c r="B74" s="276"/>
      <c r="C74" s="1" t="s">
        <v>312</v>
      </c>
      <c r="D74" s="1" t="s">
        <v>311</v>
      </c>
      <c r="E74" s="127">
        <v>2.5670000000000002</v>
      </c>
      <c r="F74" s="127">
        <v>2.6999314840984998</v>
      </c>
      <c r="G74" s="127">
        <f t="shared" si="55"/>
        <v>4.3999999999999995</v>
      </c>
      <c r="H74" s="127">
        <v>4.2145593869731801</v>
      </c>
      <c r="I74" s="127">
        <v>1222.7</v>
      </c>
      <c r="J74" s="127">
        <v>724.2</v>
      </c>
      <c r="K74" s="127">
        <v>1226.5999999999999</v>
      </c>
      <c r="L74" s="127">
        <v>64.599999999999994</v>
      </c>
      <c r="M74" s="127">
        <v>64.5</v>
      </c>
      <c r="N74" s="127">
        <v>64.7</v>
      </c>
      <c r="O74" s="127">
        <v>64.2</v>
      </c>
      <c r="P74" s="127">
        <v>64.5</v>
      </c>
      <c r="Q74" s="79">
        <v>14.89</v>
      </c>
      <c r="R74" s="79">
        <v>3.42</v>
      </c>
      <c r="S74" s="127">
        <f t="shared" si="56"/>
        <v>2.4337181528662426</v>
      </c>
      <c r="T74" s="127">
        <f t="shared" si="57"/>
        <v>2.4266603702229306</v>
      </c>
      <c r="U74" s="79">
        <f t="shared" si="58"/>
        <v>5.46706777472028</v>
      </c>
      <c r="V74" s="127">
        <f t="shared" si="59"/>
        <v>13.909395794321469</v>
      </c>
      <c r="W74" s="127">
        <f t="shared" si="60"/>
        <v>60.695145529238445</v>
      </c>
      <c r="AC74" s="235">
        <v>161</v>
      </c>
      <c r="AD74" s="235">
        <v>91</v>
      </c>
      <c r="AE74" s="235">
        <v>44</v>
      </c>
      <c r="AF74" s="235">
        <v>15</v>
      </c>
    </row>
    <row r="75" spans="1:32">
      <c r="A75" s="1" t="s">
        <v>80</v>
      </c>
      <c r="B75" s="276"/>
      <c r="C75" s="1" t="s">
        <v>324</v>
      </c>
      <c r="D75" s="1" t="s">
        <v>307</v>
      </c>
      <c r="E75" s="127">
        <v>2.5670000000000002</v>
      </c>
      <c r="F75" s="127">
        <v>2.6999314840984998</v>
      </c>
      <c r="G75" s="127">
        <f t="shared" si="55"/>
        <v>4.3999999999999995</v>
      </c>
      <c r="H75" s="127">
        <v>4.2145593869731801</v>
      </c>
      <c r="I75" s="127">
        <v>1220.4000000000001</v>
      </c>
      <c r="J75" s="127">
        <v>724.6</v>
      </c>
      <c r="K75" s="127">
        <v>1221.3</v>
      </c>
      <c r="L75" s="127">
        <v>63.1</v>
      </c>
      <c r="M75" s="127">
        <v>63.2</v>
      </c>
      <c r="N75" s="127">
        <v>63.1</v>
      </c>
      <c r="O75" s="127">
        <v>62.9</v>
      </c>
      <c r="P75" s="127">
        <v>63.075000000000003</v>
      </c>
      <c r="Q75" s="79">
        <v>15.25</v>
      </c>
      <c r="R75" s="79">
        <v>2.68</v>
      </c>
      <c r="S75" s="127">
        <f t="shared" si="56"/>
        <v>2.4570163076303611</v>
      </c>
      <c r="T75" s="127">
        <f t="shared" si="57"/>
        <v>2.4498909603382328</v>
      </c>
      <c r="U75" s="79">
        <f t="shared" si="58"/>
        <v>4.562097376773167</v>
      </c>
      <c r="V75" s="127">
        <f t="shared" si="59"/>
        <v>13.085244395295192</v>
      </c>
      <c r="W75" s="127">
        <f t="shared" si="60"/>
        <v>65.135558504253297</v>
      </c>
      <c r="X75" s="132">
        <f>AVERAGE(S75:S79)</f>
        <v>2.45706513546051</v>
      </c>
      <c r="Y75" s="132">
        <f t="shared" ref="Y75" si="65">AVERAGE(T75:T79)</f>
        <v>2.4499396465676746</v>
      </c>
      <c r="Z75" s="133">
        <f t="shared" ref="Z75" si="66">AVERAGE(U75:U79)</f>
        <v>4.5602007570052852</v>
      </c>
      <c r="AA75" s="132">
        <f t="shared" ref="AA75" si="67">AVERAGE(V75:V79)</f>
        <v>13.083517154449893</v>
      </c>
      <c r="AB75" s="132">
        <f t="shared" ref="AB75" si="68">AVERAGE(W75:W79)</f>
        <v>65.146302167111784</v>
      </c>
      <c r="AC75" s="235">
        <v>161</v>
      </c>
      <c r="AD75" s="235">
        <v>91</v>
      </c>
      <c r="AE75" s="235">
        <v>44</v>
      </c>
      <c r="AF75" s="235">
        <v>15</v>
      </c>
    </row>
    <row r="76" spans="1:32">
      <c r="A76" s="1" t="s">
        <v>80</v>
      </c>
      <c r="B76" s="276"/>
      <c r="C76" s="1" t="s">
        <v>324</v>
      </c>
      <c r="D76" s="1" t="s">
        <v>308</v>
      </c>
      <c r="E76" s="127">
        <v>2.5670000000000002</v>
      </c>
      <c r="F76" s="127">
        <v>2.6999314840984998</v>
      </c>
      <c r="G76" s="127">
        <f t="shared" si="55"/>
        <v>4.3999999999999995</v>
      </c>
      <c r="H76" s="127">
        <v>4.2145593869731801</v>
      </c>
      <c r="I76" s="127">
        <v>1223.5999999999999</v>
      </c>
      <c r="J76" s="127">
        <v>728.5</v>
      </c>
      <c r="K76" s="127">
        <v>1226.2</v>
      </c>
      <c r="L76" s="127">
        <v>66.5</v>
      </c>
      <c r="M76" s="127">
        <v>66.400000000000006</v>
      </c>
      <c r="N76" s="127">
        <v>65.8</v>
      </c>
      <c r="O76" s="127">
        <v>66.400000000000006</v>
      </c>
      <c r="P76" s="127">
        <v>66.275000000000006</v>
      </c>
      <c r="Q76" s="79">
        <v>15.06</v>
      </c>
      <c r="R76" s="79">
        <v>5.53</v>
      </c>
      <c r="S76" s="127">
        <f t="shared" si="56"/>
        <v>2.4585091420534453</v>
      </c>
      <c r="T76" s="127">
        <f t="shared" si="57"/>
        <v>2.4513794655414904</v>
      </c>
      <c r="U76" s="79">
        <f t="shared" si="58"/>
        <v>4.5041111982278785</v>
      </c>
      <c r="V76" s="127">
        <f t="shared" si="59"/>
        <v>13.032436711993398</v>
      </c>
      <c r="W76" s="127">
        <f t="shared" si="60"/>
        <v>65.439224469182591</v>
      </c>
      <c r="AC76" s="235">
        <v>161</v>
      </c>
      <c r="AD76" s="235">
        <v>91</v>
      </c>
      <c r="AE76" s="235">
        <v>44</v>
      </c>
      <c r="AF76" s="235">
        <v>15</v>
      </c>
    </row>
    <row r="77" spans="1:32">
      <c r="A77" s="1" t="s">
        <v>80</v>
      </c>
      <c r="B77" s="276"/>
      <c r="C77" s="1" t="s">
        <v>324</v>
      </c>
      <c r="D77" s="1" t="s">
        <v>309</v>
      </c>
      <c r="E77" s="127">
        <v>2.5670000000000002</v>
      </c>
      <c r="F77" s="127">
        <v>2.6999314840984998</v>
      </c>
      <c r="G77" s="127">
        <f t="shared" si="55"/>
        <v>4.3999999999999995</v>
      </c>
      <c r="H77" s="127">
        <v>4.2145593869731801</v>
      </c>
      <c r="I77" s="127">
        <v>1234.4000000000001</v>
      </c>
      <c r="J77" s="127">
        <v>733.1</v>
      </c>
      <c r="K77" s="127">
        <v>1235.7</v>
      </c>
      <c r="L77" s="127">
        <v>64.7</v>
      </c>
      <c r="M77" s="127">
        <v>64.8</v>
      </c>
      <c r="N77" s="127">
        <v>64.5</v>
      </c>
      <c r="O77" s="127">
        <v>64.599999999999994</v>
      </c>
      <c r="P77" s="127">
        <v>64.650000000000006</v>
      </c>
      <c r="Q77" s="79">
        <v>15.36</v>
      </c>
      <c r="R77" s="79">
        <v>2.96</v>
      </c>
      <c r="S77" s="127">
        <f t="shared" si="56"/>
        <v>2.4560286510147233</v>
      </c>
      <c r="T77" s="127">
        <f t="shared" si="57"/>
        <v>2.4489061679267805</v>
      </c>
      <c r="U77" s="79">
        <f t="shared" si="58"/>
        <v>4.6004609300046573</v>
      </c>
      <c r="V77" s="127">
        <f t="shared" si="59"/>
        <v>13.120181865226897</v>
      </c>
      <c r="W77" s="127">
        <f t="shared" si="60"/>
        <v>64.935997250179128</v>
      </c>
      <c r="AC77" s="235">
        <v>161</v>
      </c>
      <c r="AD77" s="235">
        <v>91</v>
      </c>
      <c r="AE77" s="235">
        <v>44</v>
      </c>
      <c r="AF77" s="235">
        <v>15</v>
      </c>
    </row>
    <row r="78" spans="1:32">
      <c r="A78" s="1" t="s">
        <v>80</v>
      </c>
      <c r="B78" s="276"/>
      <c r="C78" s="1" t="s">
        <v>324</v>
      </c>
      <c r="D78" s="1" t="s">
        <v>310</v>
      </c>
      <c r="E78" s="127">
        <v>2.5670000000000002</v>
      </c>
      <c r="F78" s="127">
        <v>2.6999314840984998</v>
      </c>
      <c r="G78" s="127">
        <f t="shared" si="55"/>
        <v>4.3999999999999995</v>
      </c>
      <c r="H78" s="127">
        <v>4.2145593869731801</v>
      </c>
      <c r="I78" s="127">
        <v>1237.8</v>
      </c>
      <c r="J78" s="127">
        <v>736.3</v>
      </c>
      <c r="K78" s="127">
        <v>1239.8</v>
      </c>
      <c r="L78" s="127">
        <v>65.3</v>
      </c>
      <c r="M78" s="127">
        <v>64.8</v>
      </c>
      <c r="N78" s="127">
        <v>65.2</v>
      </c>
      <c r="O78" s="127">
        <v>64.8</v>
      </c>
      <c r="P78" s="127">
        <v>65.025000000000006</v>
      </c>
      <c r="Q78" s="79">
        <v>14.79</v>
      </c>
      <c r="R78" s="79">
        <v>3.07</v>
      </c>
      <c r="S78" s="127">
        <f t="shared" si="56"/>
        <v>2.4583912611717973</v>
      </c>
      <c r="T78" s="127">
        <f t="shared" si="57"/>
        <v>2.4512619265143991</v>
      </c>
      <c r="U78" s="79">
        <f t="shared" si="58"/>
        <v>4.5086900461862474</v>
      </c>
      <c r="V78" s="127">
        <f t="shared" si="59"/>
        <v>13.036606642810341</v>
      </c>
      <c r="W78" s="127">
        <f t="shared" si="60"/>
        <v>65.415156185043131</v>
      </c>
      <c r="AC78" s="235">
        <v>161</v>
      </c>
      <c r="AD78" s="235">
        <v>91</v>
      </c>
      <c r="AE78" s="235">
        <v>44</v>
      </c>
      <c r="AF78" s="235">
        <v>15</v>
      </c>
    </row>
    <row r="79" spans="1:32">
      <c r="A79" s="1" t="s">
        <v>80</v>
      </c>
      <c r="B79" s="276"/>
      <c r="C79" s="1" t="s">
        <v>324</v>
      </c>
      <c r="D79" s="1" t="s">
        <v>311</v>
      </c>
      <c r="E79" s="127">
        <v>2.5670000000000002</v>
      </c>
      <c r="F79" s="127">
        <v>2.6999314840984998</v>
      </c>
      <c r="G79" s="127">
        <f t="shared" si="55"/>
        <v>4.3999999999999995</v>
      </c>
      <c r="H79" s="127">
        <v>4.2145593869731801</v>
      </c>
      <c r="I79" s="127">
        <v>1229.9000000000001</v>
      </c>
      <c r="J79" s="127">
        <v>731.2</v>
      </c>
      <c r="K79" s="127">
        <v>1232.0999999999999</v>
      </c>
      <c r="L79" s="127">
        <v>64.599999999999994</v>
      </c>
      <c r="M79" s="127">
        <v>64.5</v>
      </c>
      <c r="N79" s="127">
        <v>64.7</v>
      </c>
      <c r="O79" s="127">
        <v>64.2</v>
      </c>
      <c r="P79" s="127">
        <v>64.5</v>
      </c>
      <c r="Q79" s="79">
        <v>16.5</v>
      </c>
      <c r="R79" s="79">
        <v>5.21</v>
      </c>
      <c r="S79" s="127">
        <f t="shared" si="56"/>
        <v>2.4553803154322229</v>
      </c>
      <c r="T79" s="127">
        <f t="shared" si="57"/>
        <v>2.4482597125174692</v>
      </c>
      <c r="U79" s="79">
        <f t="shared" si="58"/>
        <v>4.6256442338344694</v>
      </c>
      <c r="V79" s="127">
        <f t="shared" si="59"/>
        <v>13.143116156923639</v>
      </c>
      <c r="W79" s="127">
        <f t="shared" si="60"/>
        <v>64.805574426900776</v>
      </c>
      <c r="AC79" s="235">
        <v>161</v>
      </c>
      <c r="AD79" s="235">
        <v>91</v>
      </c>
      <c r="AE79" s="235">
        <v>44</v>
      </c>
      <c r="AF79" s="235">
        <v>15</v>
      </c>
    </row>
    <row r="80" spans="1:32">
      <c r="A80" s="1" t="s">
        <v>80</v>
      </c>
      <c r="B80" s="276"/>
      <c r="C80" s="1" t="s">
        <v>523</v>
      </c>
      <c r="D80" s="1" t="s">
        <v>307</v>
      </c>
      <c r="E80" s="127">
        <v>2.5670000000000002</v>
      </c>
      <c r="F80" s="127">
        <v>2.6999314840984998</v>
      </c>
      <c r="G80" s="127">
        <f t="shared" si="55"/>
        <v>4.3999999999999995</v>
      </c>
      <c r="H80" s="127">
        <v>4.2145593869731801</v>
      </c>
      <c r="I80" s="127">
        <v>1236.5999999999999</v>
      </c>
      <c r="J80" s="127">
        <v>733.8</v>
      </c>
      <c r="K80" s="127">
        <v>1237.5</v>
      </c>
      <c r="L80" s="127">
        <v>63.1</v>
      </c>
      <c r="M80" s="127">
        <v>63.2</v>
      </c>
      <c r="N80" s="127">
        <v>63.1</v>
      </c>
      <c r="O80" s="127">
        <v>62.9</v>
      </c>
      <c r="P80" s="127">
        <v>63.075000000000003</v>
      </c>
      <c r="Q80" s="79">
        <v>15.45</v>
      </c>
      <c r="R80" s="79">
        <v>4.29</v>
      </c>
      <c r="S80" s="127">
        <f t="shared" si="56"/>
        <v>2.4550327575938056</v>
      </c>
      <c r="T80" s="127">
        <f t="shared" si="57"/>
        <v>2.4479131625967834</v>
      </c>
      <c r="U80" s="79">
        <f t="shared" si="58"/>
        <v>4.639144425524611</v>
      </c>
      <c r="V80" s="127">
        <f t="shared" si="59"/>
        <v>13.155410704782653</v>
      </c>
      <c r="W80" s="127">
        <f t="shared" si="60"/>
        <v>64.735844971848351</v>
      </c>
      <c r="X80" s="132">
        <f>AVERAGE(S80:S84)</f>
        <v>2.4595968728245827</v>
      </c>
      <c r="Y80" s="132">
        <f t="shared" ref="Y80" si="69">AVERAGE(T80:T84)</f>
        <v>2.4524640418933918</v>
      </c>
      <c r="Z80" s="133">
        <f t="shared" ref="Z80" si="70">AVERAGE(U80:U84)</f>
        <v>4.4618604638335935</v>
      </c>
      <c r="AA80" s="132">
        <f t="shared" ref="AA80" si="71">AVERAGE(V80:V84)</f>
        <v>12.993959208265181</v>
      </c>
      <c r="AB80" s="132">
        <f t="shared" ref="AB80" si="72">AVERAGE(W80:W84)</f>
        <v>65.673957567554822</v>
      </c>
      <c r="AC80" s="235">
        <v>161</v>
      </c>
      <c r="AD80" s="235">
        <v>91</v>
      </c>
      <c r="AE80" s="235">
        <v>44</v>
      </c>
      <c r="AF80" s="235">
        <v>15</v>
      </c>
    </row>
    <row r="81" spans="1:32">
      <c r="A81" s="1" t="s">
        <v>80</v>
      </c>
      <c r="B81" s="276"/>
      <c r="C81" s="1" t="s">
        <v>523</v>
      </c>
      <c r="D81" s="1" t="s">
        <v>308</v>
      </c>
      <c r="E81" s="127">
        <v>2.5670000000000002</v>
      </c>
      <c r="F81" s="127">
        <v>2.6999314840984998</v>
      </c>
      <c r="G81" s="127">
        <f t="shared" si="55"/>
        <v>4.3999999999999995</v>
      </c>
      <c r="H81" s="127">
        <v>4.2145593869731801</v>
      </c>
      <c r="I81" s="127">
        <v>1239.7</v>
      </c>
      <c r="J81" s="127">
        <v>738.4</v>
      </c>
      <c r="K81" s="127">
        <v>1240.9000000000001</v>
      </c>
      <c r="L81" s="127">
        <v>66.5</v>
      </c>
      <c r="M81" s="127">
        <v>66.400000000000006</v>
      </c>
      <c r="N81" s="127">
        <v>65.8</v>
      </c>
      <c r="O81" s="127">
        <v>66.400000000000006</v>
      </c>
      <c r="P81" s="127">
        <v>66.275000000000006</v>
      </c>
      <c r="Q81" s="79">
        <v>16.86</v>
      </c>
      <c r="R81" s="79">
        <v>3.6</v>
      </c>
      <c r="S81" s="127">
        <f t="shared" si="56"/>
        <v>2.4670646766169151</v>
      </c>
      <c r="T81" s="127">
        <f t="shared" si="57"/>
        <v>2.4599101890547259</v>
      </c>
      <c r="U81" s="79">
        <f t="shared" si="58"/>
        <v>4.1717885058540798</v>
      </c>
      <c r="V81" s="127">
        <f t="shared" si="59"/>
        <v>12.729792324431841</v>
      </c>
      <c r="W81" s="127">
        <f t="shared" si="60"/>
        <v>67.228149528823707</v>
      </c>
      <c r="AC81" s="235">
        <v>161</v>
      </c>
      <c r="AD81" s="235">
        <v>91</v>
      </c>
      <c r="AE81" s="235">
        <v>44</v>
      </c>
      <c r="AF81" s="235">
        <v>15</v>
      </c>
    </row>
    <row r="82" spans="1:32">
      <c r="A82" s="1" t="s">
        <v>80</v>
      </c>
      <c r="B82" s="276"/>
      <c r="C82" s="1" t="s">
        <v>523</v>
      </c>
      <c r="D82" s="1" t="s">
        <v>309</v>
      </c>
      <c r="E82" s="127">
        <v>2.5670000000000002</v>
      </c>
      <c r="F82" s="127">
        <v>2.6999314840984998</v>
      </c>
      <c r="G82" s="127">
        <f t="shared" si="55"/>
        <v>4.3999999999999995</v>
      </c>
      <c r="H82" s="127">
        <v>4.2145593869731801</v>
      </c>
      <c r="I82" s="127">
        <v>1244.5999999999999</v>
      </c>
      <c r="J82" s="127">
        <v>740.6</v>
      </c>
      <c r="K82" s="127">
        <v>1246</v>
      </c>
      <c r="L82" s="127">
        <v>64.7</v>
      </c>
      <c r="M82" s="127">
        <v>64.8</v>
      </c>
      <c r="N82" s="127">
        <v>64.5</v>
      </c>
      <c r="O82" s="127">
        <v>64.599999999999994</v>
      </c>
      <c r="P82" s="127">
        <v>64.650000000000006</v>
      </c>
      <c r="Q82" s="79">
        <v>18.5</v>
      </c>
      <c r="R82" s="79">
        <v>4.59</v>
      </c>
      <c r="S82" s="127">
        <f t="shared" si="56"/>
        <v>2.4626038781163433</v>
      </c>
      <c r="T82" s="127">
        <f t="shared" si="57"/>
        <v>2.4554623268698057</v>
      </c>
      <c r="U82" s="79">
        <f t="shared" si="58"/>
        <v>4.3450593350290001</v>
      </c>
      <c r="V82" s="127">
        <f t="shared" si="59"/>
        <v>12.887589083971037</v>
      </c>
      <c r="W82" s="127">
        <f t="shared" si="60"/>
        <v>66.284932684320495</v>
      </c>
      <c r="AC82" s="235">
        <v>161</v>
      </c>
      <c r="AD82" s="235">
        <v>91</v>
      </c>
      <c r="AE82" s="235">
        <v>44</v>
      </c>
      <c r="AF82" s="235">
        <v>15</v>
      </c>
    </row>
    <row r="83" spans="1:32">
      <c r="A83" s="1" t="s">
        <v>80</v>
      </c>
      <c r="B83" s="276"/>
      <c r="C83" s="1" t="s">
        <v>523</v>
      </c>
      <c r="D83" s="1" t="s">
        <v>310</v>
      </c>
      <c r="E83" s="127">
        <v>2.5670000000000002</v>
      </c>
      <c r="F83" s="127">
        <v>2.6999314840984998</v>
      </c>
      <c r="G83" s="127">
        <f t="shared" si="55"/>
        <v>4.3999999999999995</v>
      </c>
      <c r="H83" s="127">
        <v>4.2145593869731801</v>
      </c>
      <c r="I83" s="127">
        <v>1252.3</v>
      </c>
      <c r="J83" s="127">
        <v>744.3</v>
      </c>
      <c r="K83" s="127">
        <v>1254.3</v>
      </c>
      <c r="L83" s="127">
        <v>65.3</v>
      </c>
      <c r="M83" s="127">
        <v>64.8</v>
      </c>
      <c r="N83" s="127">
        <v>65.2</v>
      </c>
      <c r="O83" s="127">
        <v>64.8</v>
      </c>
      <c r="P83" s="127">
        <v>65.025000000000006</v>
      </c>
      <c r="Q83" s="79">
        <v>17.27</v>
      </c>
      <c r="R83" s="79">
        <v>2.87</v>
      </c>
      <c r="S83" s="127">
        <f t="shared" si="56"/>
        <v>2.4554901960784314</v>
      </c>
      <c r="T83" s="127">
        <f t="shared" si="57"/>
        <v>2.4483692745098038</v>
      </c>
      <c r="U83" s="79">
        <f t="shared" si="58"/>
        <v>4.6213761390805015</v>
      </c>
      <c r="V83" s="127">
        <f t="shared" si="59"/>
        <v>13.139229227284133</v>
      </c>
      <c r="W83" s="127">
        <f t="shared" si="60"/>
        <v>64.827646590684111</v>
      </c>
      <c r="AC83" s="235">
        <v>161</v>
      </c>
      <c r="AD83" s="235">
        <v>91</v>
      </c>
      <c r="AE83" s="235">
        <v>44</v>
      </c>
      <c r="AF83" s="235">
        <v>15</v>
      </c>
    </row>
    <row r="84" spans="1:32">
      <c r="A84" s="1" t="s">
        <v>80</v>
      </c>
      <c r="B84" s="276"/>
      <c r="C84" s="1" t="s">
        <v>523</v>
      </c>
      <c r="D84" s="1" t="s">
        <v>311</v>
      </c>
      <c r="E84" s="127">
        <v>2.5670000000000002</v>
      </c>
      <c r="F84" s="127">
        <v>2.6999314840984998</v>
      </c>
      <c r="G84" s="127">
        <f t="shared" si="55"/>
        <v>4.3999999999999995</v>
      </c>
      <c r="H84" s="127">
        <v>4.2145593869731801</v>
      </c>
      <c r="I84" s="127">
        <v>1231.5999999999999</v>
      </c>
      <c r="J84" s="127">
        <v>732.3</v>
      </c>
      <c r="K84" s="127">
        <v>1233.4000000000001</v>
      </c>
      <c r="L84" s="127">
        <v>64.599999999999994</v>
      </c>
      <c r="M84" s="127">
        <v>64.5</v>
      </c>
      <c r="N84" s="127">
        <v>64.7</v>
      </c>
      <c r="O84" s="127">
        <v>64.2</v>
      </c>
      <c r="P84" s="127">
        <v>64.5</v>
      </c>
      <c r="Q84" s="79">
        <v>14.89</v>
      </c>
      <c r="R84" s="79">
        <v>3.69</v>
      </c>
      <c r="S84" s="127">
        <f t="shared" si="56"/>
        <v>2.4577928557174209</v>
      </c>
      <c r="T84" s="127">
        <f t="shared" si="57"/>
        <v>2.4506652564358404</v>
      </c>
      <c r="U84" s="79">
        <f t="shared" si="58"/>
        <v>4.5319339136797758</v>
      </c>
      <c r="V84" s="127">
        <f t="shared" si="59"/>
        <v>13.057774700856243</v>
      </c>
      <c r="W84" s="127">
        <f t="shared" si="60"/>
        <v>65.29321406209742</v>
      </c>
      <c r="AC84" s="235">
        <v>161</v>
      </c>
      <c r="AD84" s="235">
        <v>91</v>
      </c>
      <c r="AE84" s="235">
        <v>44</v>
      </c>
      <c r="AF84" s="235">
        <v>15</v>
      </c>
    </row>
    <row r="85" spans="1:32">
      <c r="A85" s="1" t="s">
        <v>80</v>
      </c>
      <c r="B85" s="276"/>
      <c r="C85" s="1" t="s">
        <v>313</v>
      </c>
      <c r="D85" s="1" t="s">
        <v>307</v>
      </c>
      <c r="E85" s="127">
        <v>2.5670000000000002</v>
      </c>
      <c r="F85" s="127">
        <v>2.6999314840984998</v>
      </c>
      <c r="G85" s="127">
        <f t="shared" si="55"/>
        <v>4.3999999999999995</v>
      </c>
      <c r="H85" s="127">
        <v>4.2145593869731801</v>
      </c>
      <c r="I85" s="127">
        <v>1239.7</v>
      </c>
      <c r="J85" s="127">
        <v>737.8</v>
      </c>
      <c r="K85" s="127">
        <v>1236.5999999999999</v>
      </c>
      <c r="L85" s="127">
        <v>744.8</v>
      </c>
      <c r="M85" s="127">
        <v>1237.5</v>
      </c>
      <c r="N85" s="127">
        <v>63.1</v>
      </c>
      <c r="O85" s="127">
        <v>62.9</v>
      </c>
      <c r="P85" s="127">
        <v>63.075000000000003</v>
      </c>
      <c r="Q85" s="79">
        <v>16.75</v>
      </c>
      <c r="R85" s="79">
        <v>4.24</v>
      </c>
      <c r="S85" s="127">
        <f t="shared" si="56"/>
        <v>2.4853648757016842</v>
      </c>
      <c r="T85" s="127">
        <f t="shared" si="57"/>
        <v>2.4781573175621494</v>
      </c>
      <c r="U85" s="79">
        <f t="shared" si="58"/>
        <v>3.4609537373529675</v>
      </c>
      <c r="V85" s="127">
        <f t="shared" si="59"/>
        <v>12.082439139989944</v>
      </c>
      <c r="W85" s="127">
        <f t="shared" si="60"/>
        <v>71.355504486688858</v>
      </c>
      <c r="X85" s="132">
        <f>AVERAGE(S85:S89)</f>
        <v>2.4465787797413134</v>
      </c>
      <c r="Y85" s="132">
        <f t="shared" ref="Y85" si="73">AVERAGE(T85:T89)</f>
        <v>2.4394837012800634</v>
      </c>
      <c r="Z85" s="133">
        <f t="shared" ref="Z85" si="74">AVERAGE(U85:U89)</f>
        <v>4.9675223498222225</v>
      </c>
      <c r="AA85" s="132">
        <f t="shared" ref="AA85" si="75">AVERAGE(V85:V89)</f>
        <v>13.454462614472892</v>
      </c>
      <c r="AB85" s="132">
        <f t="shared" ref="AB85" si="76">AVERAGE(W85:W89)</f>
        <v>63.547490239864047</v>
      </c>
      <c r="AC85" s="235">
        <v>161</v>
      </c>
      <c r="AD85" s="235">
        <v>91</v>
      </c>
      <c r="AE85" s="235">
        <v>44</v>
      </c>
      <c r="AF85" s="235">
        <v>15</v>
      </c>
    </row>
    <row r="86" spans="1:32">
      <c r="A86" s="1" t="s">
        <v>80</v>
      </c>
      <c r="B86" s="276"/>
      <c r="C86" s="1" t="s">
        <v>313</v>
      </c>
      <c r="D86" s="1" t="s">
        <v>308</v>
      </c>
      <c r="E86" s="127">
        <v>2.5670000000000002</v>
      </c>
      <c r="F86" s="127">
        <v>2.6999314840984998</v>
      </c>
      <c r="G86" s="127">
        <f t="shared" si="55"/>
        <v>4.3999999999999995</v>
      </c>
      <c r="H86" s="127">
        <v>4.2145593869731801</v>
      </c>
      <c r="I86" s="127">
        <v>1234.2</v>
      </c>
      <c r="J86" s="127">
        <v>733.7</v>
      </c>
      <c r="K86" s="127">
        <v>1239.7</v>
      </c>
      <c r="L86" s="127">
        <v>748.4</v>
      </c>
      <c r="M86" s="127">
        <v>1240.9000000000001</v>
      </c>
      <c r="N86" s="127">
        <v>65.8</v>
      </c>
      <c r="O86" s="127">
        <v>66.400000000000006</v>
      </c>
      <c r="P86" s="127">
        <v>66.275000000000006</v>
      </c>
      <c r="Q86" s="79">
        <v>16.8</v>
      </c>
      <c r="R86" s="79">
        <v>5.58</v>
      </c>
      <c r="S86" s="127">
        <f t="shared" si="56"/>
        <v>2.4391304347826086</v>
      </c>
      <c r="T86" s="127">
        <f t="shared" si="57"/>
        <v>2.4320569565217389</v>
      </c>
      <c r="U86" s="79">
        <f t="shared" si="58"/>
        <v>5.2568384681831448</v>
      </c>
      <c r="V86" s="127">
        <f t="shared" si="59"/>
        <v>13.717941159460537</v>
      </c>
      <c r="W86" s="127">
        <f t="shared" si="60"/>
        <v>61.67910033235723</v>
      </c>
      <c r="AC86" s="235">
        <v>161</v>
      </c>
      <c r="AD86" s="235">
        <v>91</v>
      </c>
      <c r="AE86" s="235">
        <v>44</v>
      </c>
      <c r="AF86" s="235">
        <v>15</v>
      </c>
    </row>
    <row r="87" spans="1:32">
      <c r="A87" s="1" t="s">
        <v>80</v>
      </c>
      <c r="B87" s="276"/>
      <c r="C87" s="1" t="s">
        <v>313</v>
      </c>
      <c r="D87" s="1" t="s">
        <v>309</v>
      </c>
      <c r="E87" s="127">
        <v>2.5670000000000002</v>
      </c>
      <c r="F87" s="127">
        <v>2.6999314840984998</v>
      </c>
      <c r="G87" s="127">
        <f t="shared" si="55"/>
        <v>4.3999999999999995</v>
      </c>
      <c r="H87" s="127">
        <v>4.2145593869731801</v>
      </c>
      <c r="I87" s="127">
        <v>1237.7</v>
      </c>
      <c r="J87" s="127">
        <v>736.3</v>
      </c>
      <c r="K87" s="127">
        <v>1244.5999999999999</v>
      </c>
      <c r="L87" s="127">
        <v>750.6</v>
      </c>
      <c r="M87" s="127">
        <v>1246</v>
      </c>
      <c r="N87" s="127">
        <v>64.5</v>
      </c>
      <c r="O87" s="127">
        <v>64.599999999999994</v>
      </c>
      <c r="P87" s="127">
        <v>64.650000000000006</v>
      </c>
      <c r="Q87" s="79">
        <v>17.66</v>
      </c>
      <c r="R87" s="79">
        <v>3.22</v>
      </c>
      <c r="S87" s="127">
        <f t="shared" si="56"/>
        <v>2.4349793429077318</v>
      </c>
      <c r="T87" s="127">
        <f t="shared" si="57"/>
        <v>2.4279179028132991</v>
      </c>
      <c r="U87" s="79">
        <f t="shared" si="58"/>
        <v>5.4180793606038558</v>
      </c>
      <c r="V87" s="127">
        <f t="shared" si="59"/>
        <v>13.864782323956348</v>
      </c>
      <c r="W87" s="127">
        <f t="shared" si="60"/>
        <v>60.922001990307528</v>
      </c>
      <c r="AC87" s="235">
        <v>161</v>
      </c>
      <c r="AD87" s="235">
        <v>91</v>
      </c>
      <c r="AE87" s="235">
        <v>44</v>
      </c>
      <c r="AF87" s="235">
        <v>15</v>
      </c>
    </row>
    <row r="88" spans="1:32">
      <c r="A88" s="1" t="s">
        <v>80</v>
      </c>
      <c r="B88" s="276"/>
      <c r="C88" s="1" t="s">
        <v>313</v>
      </c>
      <c r="D88" s="1" t="s">
        <v>310</v>
      </c>
      <c r="E88" s="127">
        <v>2.5670000000000002</v>
      </c>
      <c r="F88" s="127">
        <v>2.6999314840984998</v>
      </c>
      <c r="G88" s="127">
        <f t="shared" si="55"/>
        <v>4.3999999999999995</v>
      </c>
      <c r="H88" s="127">
        <v>4.2145593869731801</v>
      </c>
      <c r="I88" s="127">
        <v>1236.9000000000001</v>
      </c>
      <c r="J88" s="127">
        <v>736.8</v>
      </c>
      <c r="K88" s="127">
        <v>1252.3</v>
      </c>
      <c r="L88" s="127">
        <v>754.3</v>
      </c>
      <c r="M88" s="127">
        <v>1254.3</v>
      </c>
      <c r="N88" s="127">
        <v>65.2</v>
      </c>
      <c r="O88" s="127">
        <v>64.8</v>
      </c>
      <c r="P88" s="127">
        <v>65.025000000000006</v>
      </c>
      <c r="Q88" s="79">
        <v>16.010000000000002</v>
      </c>
      <c r="R88" s="79">
        <v>5.37</v>
      </c>
      <c r="S88" s="127">
        <f t="shared" si="56"/>
        <v>2.3994180407371486</v>
      </c>
      <c r="T88" s="127">
        <f t="shared" si="57"/>
        <v>2.392459728419011</v>
      </c>
      <c r="U88" s="79">
        <f t="shared" si="58"/>
        <v>6.7993872840276248</v>
      </c>
      <c r="V88" s="127">
        <f t="shared" si="59"/>
        <v>15.122731600704185</v>
      </c>
      <c r="W88" s="127">
        <f t="shared" si="60"/>
        <v>55.038630165789542</v>
      </c>
      <c r="AC88" s="235">
        <v>161</v>
      </c>
      <c r="AD88" s="235">
        <v>91</v>
      </c>
      <c r="AE88" s="235">
        <v>44</v>
      </c>
      <c r="AF88" s="235">
        <v>15</v>
      </c>
    </row>
    <row r="89" spans="1:32">
      <c r="A89" s="1" t="s">
        <v>80</v>
      </c>
      <c r="B89" s="276"/>
      <c r="C89" s="1" t="s">
        <v>313</v>
      </c>
      <c r="D89" s="1" t="s">
        <v>311</v>
      </c>
      <c r="E89" s="127">
        <v>2.5670000000000002</v>
      </c>
      <c r="F89" s="127">
        <v>2.6999314840984998</v>
      </c>
      <c r="G89" s="127">
        <f t="shared" si="55"/>
        <v>4.3999999999999995</v>
      </c>
      <c r="H89" s="127">
        <v>4.2145593869731801</v>
      </c>
      <c r="I89" s="127">
        <v>1232.3</v>
      </c>
      <c r="J89" s="127">
        <v>733.5</v>
      </c>
      <c r="K89" s="127">
        <v>1231.5999999999999</v>
      </c>
      <c r="L89" s="127">
        <v>740.3</v>
      </c>
      <c r="M89" s="127">
        <v>1233.4000000000001</v>
      </c>
      <c r="N89" s="127">
        <v>64.7</v>
      </c>
      <c r="O89" s="127">
        <v>64.2</v>
      </c>
      <c r="P89" s="127">
        <v>64.5</v>
      </c>
      <c r="Q89" s="79">
        <v>16.98</v>
      </c>
      <c r="R89" s="79">
        <v>4.59</v>
      </c>
      <c r="S89" s="127">
        <f t="shared" si="56"/>
        <v>2.4740012045773945</v>
      </c>
      <c r="T89" s="127">
        <f t="shared" si="57"/>
        <v>2.46682660108412</v>
      </c>
      <c r="U89" s="79">
        <f t="shared" si="58"/>
        <v>3.9023528989435174</v>
      </c>
      <c r="V89" s="127">
        <f t="shared" si="59"/>
        <v>12.484418848253441</v>
      </c>
      <c r="W89" s="127">
        <f t="shared" si="60"/>
        <v>68.74221422417709</v>
      </c>
      <c r="AC89" s="235">
        <v>161</v>
      </c>
      <c r="AD89" s="235">
        <v>91</v>
      </c>
      <c r="AE89" s="235">
        <v>44</v>
      </c>
      <c r="AF89" s="235">
        <v>15</v>
      </c>
    </row>
    <row r="90" spans="1:32">
      <c r="A90" s="1" t="s">
        <v>80</v>
      </c>
      <c r="B90" s="276"/>
      <c r="C90" s="1" t="s">
        <v>314</v>
      </c>
      <c r="D90" s="1" t="s">
        <v>307</v>
      </c>
      <c r="E90" s="127">
        <v>2.5670000000000002</v>
      </c>
      <c r="F90" s="127">
        <v>2.6999314840984998</v>
      </c>
      <c r="G90" s="127">
        <f t="shared" si="55"/>
        <v>4.3999999999999995</v>
      </c>
      <c r="H90" s="127">
        <v>4.2145593869731801</v>
      </c>
      <c r="I90" s="127">
        <v>1226.5999999999999</v>
      </c>
      <c r="J90" s="127">
        <v>728.6</v>
      </c>
      <c r="K90" s="127">
        <v>1228.5999999999999</v>
      </c>
      <c r="L90" s="127">
        <v>63.74</v>
      </c>
      <c r="M90" s="127">
        <v>63.75</v>
      </c>
      <c r="N90" s="127">
        <v>64</v>
      </c>
      <c r="O90" s="127">
        <v>63.9</v>
      </c>
      <c r="P90" s="127">
        <v>63.847499999999997</v>
      </c>
      <c r="Q90" s="79">
        <v>15.45</v>
      </c>
      <c r="R90" s="79">
        <v>4.29</v>
      </c>
      <c r="S90" s="127">
        <f t="shared" si="56"/>
        <v>2.4532000000000003</v>
      </c>
      <c r="T90" s="127">
        <f t="shared" si="57"/>
        <v>2.4460857200000001</v>
      </c>
      <c r="U90" s="79">
        <f t="shared" si="58"/>
        <v>4.7103342423061907</v>
      </c>
      <c r="V90" s="127">
        <f t="shared" si="59"/>
        <v>13.220242866398166</v>
      </c>
      <c r="W90" s="127">
        <f t="shared" si="60"/>
        <v>64.37028963909259</v>
      </c>
      <c r="X90" s="132">
        <f>AVERAGE(S90:S94)</f>
        <v>2.4523509546617142</v>
      </c>
      <c r="Y90" s="132">
        <f t="shared" ref="Y90" si="77">AVERAGE(T90:T94)</f>
        <v>2.4452391368931949</v>
      </c>
      <c r="Z90" s="133">
        <f t="shared" ref="Z90" si="78">AVERAGE(U90:U94)</f>
        <v>4.743313716665563</v>
      </c>
      <c r="AA90" s="132">
        <f t="shared" ref="AA90" si="79">AVERAGE(V90:V94)</f>
        <v>13.250277086295394</v>
      </c>
      <c r="AB90" s="132">
        <f t="shared" ref="AB90" si="80">AVERAGE(W90:W94)</f>
        <v>64.208623291562802</v>
      </c>
      <c r="AC90" s="236">
        <v>258</v>
      </c>
      <c r="AD90" s="235">
        <v>72.2</v>
      </c>
      <c r="AE90" s="235">
        <v>47.6</v>
      </c>
      <c r="AF90" s="235">
        <v>8.1999999999999993</v>
      </c>
    </row>
    <row r="91" spans="1:32">
      <c r="A91" s="1" t="s">
        <v>80</v>
      </c>
      <c r="B91" s="276"/>
      <c r="C91" s="1" t="s">
        <v>314</v>
      </c>
      <c r="D91" s="1" t="s">
        <v>308</v>
      </c>
      <c r="E91" s="127">
        <v>2.5670000000000002</v>
      </c>
      <c r="F91" s="127">
        <v>2.6999314840984998</v>
      </c>
      <c r="G91" s="127">
        <f t="shared" si="55"/>
        <v>4.3999999999999995</v>
      </c>
      <c r="H91" s="127">
        <v>4.2145593869731801</v>
      </c>
      <c r="I91" s="127">
        <v>1224.2</v>
      </c>
      <c r="J91" s="127">
        <v>726.2</v>
      </c>
      <c r="K91" s="127">
        <v>1226.0999999999999</v>
      </c>
      <c r="L91" s="127">
        <v>63.58</v>
      </c>
      <c r="M91" s="127">
        <v>63.75</v>
      </c>
      <c r="N91" s="127">
        <v>63.76</v>
      </c>
      <c r="O91" s="127">
        <v>63.77</v>
      </c>
      <c r="P91" s="127">
        <v>63.715000000000003</v>
      </c>
      <c r="Q91" s="79">
        <v>16.86</v>
      </c>
      <c r="R91" s="79">
        <v>3.6</v>
      </c>
      <c r="S91" s="127">
        <f t="shared" si="56"/>
        <v>2.4488897779555918</v>
      </c>
      <c r="T91" s="127">
        <f t="shared" si="57"/>
        <v>2.4417879975995205</v>
      </c>
      <c r="U91" s="79">
        <f t="shared" si="58"/>
        <v>4.8777562290798437</v>
      </c>
      <c r="V91" s="127">
        <f t="shared" si="59"/>
        <v>13.372713118397868</v>
      </c>
      <c r="W91" s="127">
        <f t="shared" si="60"/>
        <v>63.524557912117778</v>
      </c>
      <c r="AC91" s="236">
        <v>258</v>
      </c>
      <c r="AD91" s="235">
        <v>72.2</v>
      </c>
      <c r="AE91" s="235">
        <v>47.6</v>
      </c>
      <c r="AF91" s="235">
        <v>8.1999999999999993</v>
      </c>
    </row>
    <row r="92" spans="1:32">
      <c r="A92" s="1" t="s">
        <v>80</v>
      </c>
      <c r="B92" s="276"/>
      <c r="C92" s="1" t="s">
        <v>314</v>
      </c>
      <c r="D92" s="1" t="s">
        <v>309</v>
      </c>
      <c r="E92" s="127">
        <v>2.5670000000000002</v>
      </c>
      <c r="F92" s="127">
        <v>2.6999314840984998</v>
      </c>
      <c r="G92" s="127">
        <f t="shared" si="55"/>
        <v>4.3999999999999995</v>
      </c>
      <c r="H92" s="127">
        <v>4.2145593869731801</v>
      </c>
      <c r="I92" s="127">
        <v>1229</v>
      </c>
      <c r="J92" s="127">
        <v>729</v>
      </c>
      <c r="K92" s="127">
        <v>1230.9000000000001</v>
      </c>
      <c r="L92" s="127">
        <v>64.12</v>
      </c>
      <c r="M92" s="127">
        <v>64.42</v>
      </c>
      <c r="N92" s="127">
        <v>64.239999999999995</v>
      </c>
      <c r="O92" s="127">
        <v>64.239999999999995</v>
      </c>
      <c r="P92" s="127">
        <v>64.254999999999995</v>
      </c>
      <c r="Q92" s="79">
        <v>18.5</v>
      </c>
      <c r="R92" s="79">
        <v>4.59</v>
      </c>
      <c r="S92" s="127">
        <f t="shared" si="56"/>
        <v>2.4486949591552096</v>
      </c>
      <c r="T92" s="127">
        <f t="shared" si="57"/>
        <v>2.4415937437736597</v>
      </c>
      <c r="U92" s="79">
        <f t="shared" si="58"/>
        <v>4.8853235771850638</v>
      </c>
      <c r="V92" s="127">
        <f t="shared" si="59"/>
        <v>13.379604659316755</v>
      </c>
      <c r="W92" s="127">
        <f t="shared" si="60"/>
        <v>63.486786780480706</v>
      </c>
      <c r="AC92" s="236">
        <v>258</v>
      </c>
      <c r="AD92" s="235">
        <v>72.2</v>
      </c>
      <c r="AE92" s="235">
        <v>47.6</v>
      </c>
      <c r="AF92" s="235">
        <v>8.1999999999999993</v>
      </c>
    </row>
    <row r="93" spans="1:32">
      <c r="A93" s="1" t="s">
        <v>80</v>
      </c>
      <c r="B93" s="276"/>
      <c r="C93" s="1" t="s">
        <v>314</v>
      </c>
      <c r="D93" s="1" t="s">
        <v>310</v>
      </c>
      <c r="E93" s="127">
        <v>2.5670000000000002</v>
      </c>
      <c r="F93" s="127">
        <v>2.6999314840984998</v>
      </c>
      <c r="G93" s="127">
        <f t="shared" si="55"/>
        <v>4.3999999999999995</v>
      </c>
      <c r="H93" s="127">
        <v>4.2145593869731801</v>
      </c>
      <c r="I93" s="127">
        <v>1224.7</v>
      </c>
      <c r="J93" s="127">
        <v>728.4</v>
      </c>
      <c r="K93" s="127">
        <v>1226.5999999999999</v>
      </c>
      <c r="L93" s="127">
        <v>64.38</v>
      </c>
      <c r="M93" s="127">
        <v>64.459999999999994</v>
      </c>
      <c r="N93" s="127">
        <v>64.61</v>
      </c>
      <c r="O93" s="127">
        <v>64.42</v>
      </c>
      <c r="P93" s="127">
        <v>64.467500000000001</v>
      </c>
      <c r="Q93" s="79">
        <v>17.27</v>
      </c>
      <c r="R93" s="79">
        <v>2.87</v>
      </c>
      <c r="S93" s="127">
        <f t="shared" si="56"/>
        <v>2.4582496989160982</v>
      </c>
      <c r="T93" s="127">
        <f t="shared" si="57"/>
        <v>2.4511207747892416</v>
      </c>
      <c r="U93" s="79">
        <f t="shared" si="58"/>
        <v>4.514188749932158</v>
      </c>
      <c r="V93" s="127">
        <f t="shared" si="59"/>
        <v>13.041614281066018</v>
      </c>
      <c r="W93" s="127">
        <f t="shared" si="60"/>
        <v>65.386273105117709</v>
      </c>
      <c r="AC93" s="236">
        <v>258</v>
      </c>
      <c r="AD93" s="235">
        <v>72.2</v>
      </c>
      <c r="AE93" s="235">
        <v>47.6</v>
      </c>
      <c r="AF93" s="235">
        <v>8.1999999999999993</v>
      </c>
    </row>
    <row r="94" spans="1:32">
      <c r="A94" s="1" t="s">
        <v>80</v>
      </c>
      <c r="B94" s="276"/>
      <c r="C94" s="1" t="s">
        <v>314</v>
      </c>
      <c r="D94" s="1" t="s">
        <v>311</v>
      </c>
      <c r="E94" s="127">
        <v>2.5670000000000002</v>
      </c>
      <c r="F94" s="127">
        <v>2.6999314840984998</v>
      </c>
      <c r="G94" s="127">
        <f t="shared" si="55"/>
        <v>4.3999999999999995</v>
      </c>
      <c r="H94" s="127">
        <v>4.2145593869731801</v>
      </c>
      <c r="I94" s="127">
        <v>1221.7</v>
      </c>
      <c r="J94" s="127">
        <v>726.1</v>
      </c>
      <c r="K94" s="127">
        <v>1224.2</v>
      </c>
      <c r="L94" s="127">
        <v>64.010000000000005</v>
      </c>
      <c r="M94" s="127">
        <v>63.94</v>
      </c>
      <c r="N94" s="127">
        <v>64.209999999999994</v>
      </c>
      <c r="O94" s="127">
        <v>64.33</v>
      </c>
      <c r="P94" s="127">
        <v>64.122500000000002</v>
      </c>
      <c r="Q94" s="79">
        <v>14.89</v>
      </c>
      <c r="R94" s="79">
        <v>3.69</v>
      </c>
      <c r="S94" s="127">
        <f t="shared" si="56"/>
        <v>2.4527203372816704</v>
      </c>
      <c r="T94" s="127">
        <f t="shared" si="57"/>
        <v>2.4456074483035537</v>
      </c>
      <c r="U94" s="79">
        <f t="shared" si="58"/>
        <v>4.728965784824557</v>
      </c>
      <c r="V94" s="127">
        <f t="shared" si="59"/>
        <v>13.237210506298169</v>
      </c>
      <c r="W94" s="127">
        <f t="shared" si="60"/>
        <v>64.275209021005224</v>
      </c>
      <c r="AC94" s="236">
        <v>258</v>
      </c>
      <c r="AD94" s="235">
        <v>72.2</v>
      </c>
      <c r="AE94" s="235">
        <v>47.6</v>
      </c>
      <c r="AF94" s="235">
        <v>8.1999999999999993</v>
      </c>
    </row>
    <row r="95" spans="1:32" ht="14.4">
      <c r="A95" s="1" t="s">
        <v>83</v>
      </c>
      <c r="B95" s="280" t="s">
        <v>197</v>
      </c>
      <c r="C95" s="1" t="s">
        <v>315</v>
      </c>
      <c r="D95" s="1" t="s">
        <v>307</v>
      </c>
      <c r="E95" s="127">
        <v>2.544</v>
      </c>
      <c r="F95" s="127">
        <v>2.6500567442748202</v>
      </c>
      <c r="G95" s="127">
        <f t="shared" si="55"/>
        <v>4.5041279130525647</v>
      </c>
      <c r="H95" s="127">
        <v>4.3099999999999996</v>
      </c>
      <c r="I95" s="127">
        <v>1231.3</v>
      </c>
      <c r="J95" s="127">
        <v>729.2</v>
      </c>
      <c r="K95" s="127">
        <v>1232.0999999999999</v>
      </c>
      <c r="L95" s="127">
        <v>63.42</v>
      </c>
      <c r="M95" s="127">
        <v>63.34</v>
      </c>
      <c r="N95" s="127">
        <v>63.35</v>
      </c>
      <c r="O95" s="127">
        <v>63.44</v>
      </c>
      <c r="P95" s="127">
        <v>63.387500000000003</v>
      </c>
      <c r="Q95" s="79">
        <v>11.6</v>
      </c>
      <c r="R95" s="79">
        <v>1.9</v>
      </c>
      <c r="S95" s="127">
        <f t="shared" si="56"/>
        <v>2.4483992841519195</v>
      </c>
      <c r="T95" s="127">
        <f t="shared" si="57"/>
        <v>2.441298926227879</v>
      </c>
      <c r="U95" s="79">
        <f t="shared" si="58"/>
        <v>4.0369918935582172</v>
      </c>
      <c r="V95" s="127">
        <f t="shared" si="59"/>
        <v>11.847965234921105</v>
      </c>
      <c r="W95" s="127">
        <f t="shared" si="60"/>
        <v>65.926707130609671</v>
      </c>
      <c r="X95" s="132">
        <f>AVERAGE(S95:S99)</f>
        <v>2.4357851836317428</v>
      </c>
      <c r="Y95" s="132">
        <f t="shared" ref="Y95" si="81">AVERAGE(T95:T99)</f>
        <v>2.4287214065992111</v>
      </c>
      <c r="Z95" s="133">
        <f t="shared" ref="Z95" si="82">AVERAGE(U95:U99)</f>
        <v>4.5313912500310227</v>
      </c>
      <c r="AA95" s="132">
        <f t="shared" ref="AA95" si="83">AVERAGE(V95:V99)</f>
        <v>12.302122624519418</v>
      </c>
      <c r="AB95" s="132">
        <f t="shared" ref="AB95" si="84">AVERAGE(W95:W99)</f>
        <v>63.264012510841859</v>
      </c>
      <c r="AC95" s="235">
        <v>161</v>
      </c>
      <c r="AD95" s="235">
        <v>91</v>
      </c>
      <c r="AE95" s="235">
        <v>44</v>
      </c>
      <c r="AF95" s="235">
        <v>15</v>
      </c>
    </row>
    <row r="96" spans="1:32" ht="14.4">
      <c r="A96" s="1" t="s">
        <v>83</v>
      </c>
      <c r="B96" s="276"/>
      <c r="C96" s="1" t="s">
        <v>315</v>
      </c>
      <c r="D96" s="1" t="s">
        <v>308</v>
      </c>
      <c r="E96" s="127">
        <v>2.544</v>
      </c>
      <c r="F96" s="127">
        <v>2.6500567442748202</v>
      </c>
      <c r="G96" s="127">
        <f t="shared" si="55"/>
        <v>4.5041279130525647</v>
      </c>
      <c r="H96" s="127">
        <v>4.3099999999999996</v>
      </c>
      <c r="I96" s="127">
        <v>1229.8</v>
      </c>
      <c r="J96" s="127">
        <v>729.9</v>
      </c>
      <c r="K96" s="127">
        <v>1231.7</v>
      </c>
      <c r="L96" s="127">
        <v>63.78</v>
      </c>
      <c r="M96" s="127">
        <v>64.16</v>
      </c>
      <c r="N96" s="127">
        <v>63.99</v>
      </c>
      <c r="O96" s="127">
        <v>63.77</v>
      </c>
      <c r="P96" s="127">
        <v>63.924999999999997</v>
      </c>
      <c r="Q96" s="79">
        <v>12.79</v>
      </c>
      <c r="R96" s="79">
        <v>2.62</v>
      </c>
      <c r="S96" s="127">
        <f t="shared" si="56"/>
        <v>2.4507772020725382</v>
      </c>
      <c r="T96" s="127">
        <f t="shared" si="57"/>
        <v>2.4436699481865278</v>
      </c>
      <c r="U96" s="79">
        <f t="shared" si="58"/>
        <v>3.9437913448691853</v>
      </c>
      <c r="V96" s="127">
        <f t="shared" si="59"/>
        <v>11.762350807338279</v>
      </c>
      <c r="W96" s="127">
        <f t="shared" si="60"/>
        <v>66.471061699598877</v>
      </c>
      <c r="AC96" s="235">
        <v>161</v>
      </c>
      <c r="AD96" s="235">
        <v>91</v>
      </c>
      <c r="AE96" s="235">
        <v>44</v>
      </c>
      <c r="AF96" s="235">
        <v>15</v>
      </c>
    </row>
    <row r="97" spans="1:32" ht="14.4">
      <c r="A97" s="1" t="s">
        <v>83</v>
      </c>
      <c r="B97" s="276"/>
      <c r="C97" s="1" t="s">
        <v>315</v>
      </c>
      <c r="D97" s="1" t="s">
        <v>309</v>
      </c>
      <c r="E97" s="127">
        <v>2.544</v>
      </c>
      <c r="F97" s="127">
        <v>2.6500567442748202</v>
      </c>
      <c r="G97" s="127">
        <f t="shared" si="55"/>
        <v>4.5041279130525647</v>
      </c>
      <c r="H97" s="127">
        <v>4.3099999999999996</v>
      </c>
      <c r="I97" s="127">
        <v>1228.8</v>
      </c>
      <c r="J97" s="127">
        <v>725.1</v>
      </c>
      <c r="K97" s="127">
        <v>1229.7</v>
      </c>
      <c r="L97" s="127">
        <v>64.41</v>
      </c>
      <c r="M97" s="127">
        <v>64.239999999999995</v>
      </c>
      <c r="N97" s="127">
        <v>64.25</v>
      </c>
      <c r="O97" s="127">
        <v>64.34</v>
      </c>
      <c r="P97" s="127">
        <v>64.31</v>
      </c>
      <c r="Q97" s="79">
        <v>11.56</v>
      </c>
      <c r="R97" s="79">
        <v>2.0499999999999998</v>
      </c>
      <c r="S97" s="127">
        <f t="shared" si="56"/>
        <v>2.4351961950059451</v>
      </c>
      <c r="T97" s="127">
        <f t="shared" si="57"/>
        <v>2.4281341260404279</v>
      </c>
      <c r="U97" s="79">
        <f t="shared" si="58"/>
        <v>4.5544761776561415</v>
      </c>
      <c r="V97" s="127">
        <f t="shared" si="59"/>
        <v>12.323328538993266</v>
      </c>
      <c r="W97" s="127">
        <f t="shared" si="60"/>
        <v>63.041834328729074</v>
      </c>
      <c r="AC97" s="235">
        <v>161</v>
      </c>
      <c r="AD97" s="235">
        <v>91</v>
      </c>
      <c r="AE97" s="235">
        <v>44</v>
      </c>
      <c r="AF97" s="235">
        <v>15</v>
      </c>
    </row>
    <row r="98" spans="1:32" ht="14.4">
      <c r="A98" s="1" t="s">
        <v>83</v>
      </c>
      <c r="B98" s="276"/>
      <c r="C98" s="1" t="s">
        <v>315</v>
      </c>
      <c r="D98" s="1" t="s">
        <v>310</v>
      </c>
      <c r="E98" s="127">
        <v>2.544</v>
      </c>
      <c r="F98" s="127">
        <v>2.6500567442748202</v>
      </c>
      <c r="G98" s="127">
        <f t="shared" si="55"/>
        <v>4.5041279130525647</v>
      </c>
      <c r="H98" s="127">
        <v>4.3099999999999996</v>
      </c>
      <c r="I98" s="127">
        <v>1228.2</v>
      </c>
      <c r="J98" s="127">
        <v>724</v>
      </c>
      <c r="K98" s="127">
        <v>1230</v>
      </c>
      <c r="L98" s="127">
        <v>64.63</v>
      </c>
      <c r="M98" s="127">
        <v>64.84</v>
      </c>
      <c r="N98" s="127">
        <v>64.8</v>
      </c>
      <c r="O98" s="127">
        <v>64.62</v>
      </c>
      <c r="P98" s="127">
        <v>64.722499999999997</v>
      </c>
      <c r="Q98" s="79">
        <v>10.6</v>
      </c>
      <c r="R98" s="79">
        <v>1.96</v>
      </c>
      <c r="S98" s="127">
        <f t="shared" si="56"/>
        <v>2.4272727272727272</v>
      </c>
      <c r="T98" s="127">
        <f t="shared" si="57"/>
        <v>2.4202336363636361</v>
      </c>
      <c r="U98" s="79">
        <f t="shared" si="58"/>
        <v>4.8650300171526712</v>
      </c>
      <c r="V98" s="127">
        <f t="shared" si="59"/>
        <v>12.608604640648622</v>
      </c>
      <c r="W98" s="127">
        <f t="shared" si="60"/>
        <v>61.415000661782976</v>
      </c>
      <c r="AC98" s="235">
        <v>161</v>
      </c>
      <c r="AD98" s="235">
        <v>91</v>
      </c>
      <c r="AE98" s="235">
        <v>44</v>
      </c>
      <c r="AF98" s="235">
        <v>15</v>
      </c>
    </row>
    <row r="99" spans="1:32" ht="14.4">
      <c r="A99" s="1" t="s">
        <v>83</v>
      </c>
      <c r="B99" s="276"/>
      <c r="C99" s="1" t="s">
        <v>315</v>
      </c>
      <c r="D99" s="1" t="s">
        <v>311</v>
      </c>
      <c r="E99" s="127">
        <v>2.544</v>
      </c>
      <c r="F99" s="127">
        <v>2.6500567442748202</v>
      </c>
      <c r="G99" s="127">
        <f t="shared" si="55"/>
        <v>4.5041279130525647</v>
      </c>
      <c r="H99" s="127">
        <v>4.3099999999999996</v>
      </c>
      <c r="I99" s="127">
        <v>1214.2</v>
      </c>
      <c r="J99" s="127">
        <v>716.5</v>
      </c>
      <c r="K99" s="127">
        <v>1218.8</v>
      </c>
      <c r="L99" s="127">
        <v>64.8</v>
      </c>
      <c r="M99" s="127">
        <v>64.849999999999994</v>
      </c>
      <c r="N99" s="127">
        <v>65.12</v>
      </c>
      <c r="O99" s="127">
        <v>64.81</v>
      </c>
      <c r="P99" s="127">
        <v>64.894999999999996</v>
      </c>
      <c r="Q99" s="79">
        <v>10.72</v>
      </c>
      <c r="R99" s="79">
        <v>2.66</v>
      </c>
      <c r="S99" s="127">
        <f t="shared" si="56"/>
        <v>2.4172805096555847</v>
      </c>
      <c r="T99" s="127">
        <f t="shared" si="57"/>
        <v>2.4102703961775833</v>
      </c>
      <c r="U99" s="79">
        <f t="shared" si="58"/>
        <v>5.2566668169188979</v>
      </c>
      <c r="V99" s="127">
        <f t="shared" si="59"/>
        <v>12.96836390069582</v>
      </c>
      <c r="W99" s="127">
        <f t="shared" si="60"/>
        <v>59.465458733488731</v>
      </c>
      <c r="AC99" s="235">
        <v>161</v>
      </c>
      <c r="AD99" s="235">
        <v>91</v>
      </c>
      <c r="AE99" s="235">
        <v>44</v>
      </c>
      <c r="AF99" s="235">
        <v>15</v>
      </c>
    </row>
    <row r="100" spans="1:32" ht="14.4">
      <c r="A100" s="1" t="s">
        <v>83</v>
      </c>
      <c r="B100" s="276"/>
      <c r="C100" s="1" t="s">
        <v>316</v>
      </c>
      <c r="D100" s="1" t="s">
        <v>307</v>
      </c>
      <c r="E100" s="127">
        <v>2.544</v>
      </c>
      <c r="F100" s="127">
        <v>2.6500567442748202</v>
      </c>
      <c r="G100" s="127">
        <f t="shared" si="55"/>
        <v>4.5041279130525647</v>
      </c>
      <c r="H100" s="127">
        <v>4.3099999999999996</v>
      </c>
      <c r="I100" s="127">
        <v>1202.4000000000001</v>
      </c>
      <c r="J100" s="127">
        <v>709.1</v>
      </c>
      <c r="K100" s="127">
        <v>1204.3</v>
      </c>
      <c r="L100" s="127">
        <v>63.34</v>
      </c>
      <c r="M100" s="127">
        <v>63.38</v>
      </c>
      <c r="N100" s="127">
        <v>63.32</v>
      </c>
      <c r="O100" s="127">
        <v>63.42</v>
      </c>
      <c r="P100" s="127">
        <v>63.365000000000002</v>
      </c>
      <c r="Q100" s="79">
        <v>9.75</v>
      </c>
      <c r="R100" s="79">
        <v>2.4300000000000002</v>
      </c>
      <c r="S100" s="127">
        <f t="shared" si="56"/>
        <v>2.4281098546042008</v>
      </c>
      <c r="T100" s="127">
        <f t="shared" si="57"/>
        <v>2.4210683360258485</v>
      </c>
      <c r="U100" s="79">
        <f t="shared" si="58"/>
        <v>4.8322194958392961</v>
      </c>
      <c r="V100" s="127">
        <f t="shared" si="59"/>
        <v>12.578464753701056</v>
      </c>
      <c r="W100" s="127">
        <f t="shared" si="60"/>
        <v>61.583392008015316</v>
      </c>
      <c r="X100" s="132">
        <f>AVERAGE(S100:S104)</f>
        <v>2.4267134677342339</v>
      </c>
      <c r="Y100" s="132">
        <f t="shared" ref="Y100" si="85">AVERAGE(T100:T104)</f>
        <v>2.4196759986778043</v>
      </c>
      <c r="Z100" s="133">
        <f t="shared" ref="Z100" si="86">AVERAGE(U100:U104)</f>
        <v>4.88694973750769</v>
      </c>
      <c r="AA100" s="132">
        <f t="shared" ref="AA100" si="87">AVERAGE(V100:V104)</f>
        <v>12.628740190678835</v>
      </c>
      <c r="AB100" s="132">
        <f t="shared" ref="AB100" si="88">AVERAGE(W100:W104)</f>
        <v>61.312363365631924</v>
      </c>
      <c r="AC100" s="235">
        <v>161</v>
      </c>
      <c r="AD100" s="235">
        <v>91</v>
      </c>
      <c r="AE100" s="235">
        <v>44</v>
      </c>
      <c r="AF100" s="235">
        <v>15</v>
      </c>
    </row>
    <row r="101" spans="1:32" ht="14.4">
      <c r="A101" s="1" t="s">
        <v>83</v>
      </c>
      <c r="B101" s="276"/>
      <c r="C101" s="1" t="s">
        <v>316</v>
      </c>
      <c r="D101" s="1" t="s">
        <v>308</v>
      </c>
      <c r="E101" s="127">
        <v>2.544</v>
      </c>
      <c r="F101" s="127">
        <v>2.6500567442748202</v>
      </c>
      <c r="G101" s="127">
        <f t="shared" si="55"/>
        <v>4.5041279130525647</v>
      </c>
      <c r="H101" s="127">
        <v>4.3099999999999996</v>
      </c>
      <c r="I101" s="127">
        <v>1202.2</v>
      </c>
      <c r="J101" s="127">
        <v>710.2</v>
      </c>
      <c r="K101" s="127">
        <v>1204.4000000000001</v>
      </c>
      <c r="L101" s="127">
        <v>63.36</v>
      </c>
      <c r="M101" s="127">
        <v>63.45</v>
      </c>
      <c r="N101" s="127">
        <v>63</v>
      </c>
      <c r="O101" s="127">
        <v>63.73</v>
      </c>
      <c r="P101" s="127">
        <v>63.384999999999998</v>
      </c>
      <c r="Q101" s="79">
        <v>11.27</v>
      </c>
      <c r="R101" s="79">
        <v>1.82</v>
      </c>
      <c r="S101" s="127">
        <f t="shared" si="56"/>
        <v>2.432618373128288</v>
      </c>
      <c r="T101" s="127">
        <f t="shared" si="57"/>
        <v>2.425563779846216</v>
      </c>
      <c r="U101" s="79">
        <f t="shared" si="58"/>
        <v>4.6555117984978018</v>
      </c>
      <c r="V101" s="127">
        <f t="shared" si="59"/>
        <v>12.416140297781268</v>
      </c>
      <c r="W101" s="127">
        <f t="shared" si="60"/>
        <v>62.504355726958643</v>
      </c>
      <c r="AC101" s="235">
        <v>161</v>
      </c>
      <c r="AD101" s="235">
        <v>91</v>
      </c>
      <c r="AE101" s="235">
        <v>44</v>
      </c>
      <c r="AF101" s="235">
        <v>15</v>
      </c>
    </row>
    <row r="102" spans="1:32" ht="14.4">
      <c r="A102" s="1" t="s">
        <v>83</v>
      </c>
      <c r="B102" s="276"/>
      <c r="C102" s="1" t="s">
        <v>316</v>
      </c>
      <c r="D102" s="1" t="s">
        <v>309</v>
      </c>
      <c r="E102" s="127">
        <v>2.544</v>
      </c>
      <c r="F102" s="127">
        <v>2.6500567442748202</v>
      </c>
      <c r="G102" s="127">
        <f t="shared" si="55"/>
        <v>4.5041279130525647</v>
      </c>
      <c r="H102" s="127">
        <v>4.3099999999999996</v>
      </c>
      <c r="I102" s="127">
        <v>1203.9000000000001</v>
      </c>
      <c r="J102" s="127">
        <v>710.5</v>
      </c>
      <c r="K102" s="127">
        <v>1206.4000000000001</v>
      </c>
      <c r="L102" s="127">
        <v>63.33</v>
      </c>
      <c r="M102" s="127">
        <v>63.34</v>
      </c>
      <c r="N102" s="127">
        <v>63.43</v>
      </c>
      <c r="O102" s="127">
        <v>63.16</v>
      </c>
      <c r="P102" s="127">
        <v>63.314999999999998</v>
      </c>
      <c r="Q102" s="79">
        <v>11.76</v>
      </c>
      <c r="R102" s="79">
        <v>2.4500000000000002</v>
      </c>
      <c r="S102" s="127">
        <f t="shared" si="56"/>
        <v>2.4277071990320627</v>
      </c>
      <c r="T102" s="127">
        <f t="shared" si="57"/>
        <v>2.4206668481548697</v>
      </c>
      <c r="U102" s="79">
        <f t="shared" si="58"/>
        <v>4.8480012517739919</v>
      </c>
      <c r="V102" s="127">
        <f t="shared" si="59"/>
        <v>12.592961943037452</v>
      </c>
      <c r="W102" s="127">
        <f t="shared" si="60"/>
        <v>61.50229569736441</v>
      </c>
      <c r="AC102" s="235">
        <v>161</v>
      </c>
      <c r="AD102" s="235">
        <v>91</v>
      </c>
      <c r="AE102" s="235">
        <v>44</v>
      </c>
      <c r="AF102" s="235">
        <v>15</v>
      </c>
    </row>
    <row r="103" spans="1:32" ht="14.4">
      <c r="A103" s="1" t="s">
        <v>83</v>
      </c>
      <c r="B103" s="276"/>
      <c r="C103" s="1" t="s">
        <v>316</v>
      </c>
      <c r="D103" s="1" t="s">
        <v>310</v>
      </c>
      <c r="E103" s="127">
        <v>2.544</v>
      </c>
      <c r="F103" s="127">
        <v>2.6500567442748202</v>
      </c>
      <c r="G103" s="127">
        <f t="shared" si="55"/>
        <v>4.5041279130525647</v>
      </c>
      <c r="H103" s="127">
        <v>4.3099999999999996</v>
      </c>
      <c r="I103" s="127">
        <v>1200.7</v>
      </c>
      <c r="J103" s="127">
        <v>706.3</v>
      </c>
      <c r="K103" s="127">
        <v>1202.4000000000001</v>
      </c>
      <c r="L103" s="127">
        <v>63.17</v>
      </c>
      <c r="M103" s="127">
        <v>63.09</v>
      </c>
      <c r="N103" s="127">
        <v>62.98</v>
      </c>
      <c r="O103" s="127">
        <v>63.23</v>
      </c>
      <c r="P103" s="127">
        <v>63.1175</v>
      </c>
      <c r="Q103" s="79">
        <v>11.03</v>
      </c>
      <c r="R103" s="79">
        <v>2.85</v>
      </c>
      <c r="S103" s="127">
        <f t="shared" si="56"/>
        <v>2.4202781697238454</v>
      </c>
      <c r="T103" s="127">
        <f t="shared" si="57"/>
        <v>2.4132593630316461</v>
      </c>
      <c r="U103" s="79">
        <f t="shared" si="58"/>
        <v>5.1391759814604532</v>
      </c>
      <c r="V103" s="127">
        <f t="shared" si="59"/>
        <v>12.860436310509996</v>
      </c>
      <c r="W103" s="127">
        <f t="shared" si="60"/>
        <v>60.038867598445783</v>
      </c>
      <c r="AC103" s="235">
        <v>161</v>
      </c>
      <c r="AD103" s="235">
        <v>91</v>
      </c>
      <c r="AE103" s="235">
        <v>44</v>
      </c>
      <c r="AF103" s="235">
        <v>15</v>
      </c>
    </row>
    <row r="104" spans="1:32" ht="14.4">
      <c r="A104" s="1" t="s">
        <v>83</v>
      </c>
      <c r="B104" s="276"/>
      <c r="C104" s="1" t="s">
        <v>316</v>
      </c>
      <c r="D104" s="1" t="s">
        <v>311</v>
      </c>
      <c r="E104" s="127">
        <v>2.544</v>
      </c>
      <c r="F104" s="127">
        <v>2.6500567442748202</v>
      </c>
      <c r="G104" s="127">
        <f t="shared" si="55"/>
        <v>4.5041279130525647</v>
      </c>
      <c r="H104" s="127">
        <v>4.3099999999999996</v>
      </c>
      <c r="I104" s="127">
        <v>1202</v>
      </c>
      <c r="J104" s="127">
        <v>709.5</v>
      </c>
      <c r="K104" s="127">
        <v>1205.2</v>
      </c>
      <c r="L104" s="127">
        <v>62.89</v>
      </c>
      <c r="M104" s="127">
        <v>63.05</v>
      </c>
      <c r="N104" s="127">
        <v>63.19</v>
      </c>
      <c r="O104" s="127">
        <v>62.91</v>
      </c>
      <c r="P104" s="127">
        <v>63.01</v>
      </c>
      <c r="Q104" s="79">
        <v>11.98</v>
      </c>
      <c r="R104" s="79">
        <v>2.52</v>
      </c>
      <c r="S104" s="127">
        <f t="shared" si="56"/>
        <v>2.4248537421827718</v>
      </c>
      <c r="T104" s="127">
        <f t="shared" si="57"/>
        <v>2.4178216663304419</v>
      </c>
      <c r="U104" s="79">
        <f t="shared" si="58"/>
        <v>4.9598401599669106</v>
      </c>
      <c r="V104" s="127">
        <f t="shared" si="59"/>
        <v>12.695697648364401</v>
      </c>
      <c r="W104" s="127">
        <f t="shared" si="60"/>
        <v>60.932905797375447</v>
      </c>
      <c r="AC104" s="235">
        <v>161</v>
      </c>
      <c r="AD104" s="235">
        <v>91</v>
      </c>
      <c r="AE104" s="235">
        <v>44</v>
      </c>
      <c r="AF104" s="235">
        <v>15</v>
      </c>
    </row>
    <row r="105" spans="1:32" ht="14.4">
      <c r="A105" s="1" t="s">
        <v>83</v>
      </c>
      <c r="B105" s="276"/>
      <c r="C105" s="1" t="s">
        <v>317</v>
      </c>
      <c r="D105" s="1" t="s">
        <v>307</v>
      </c>
      <c r="E105" s="127">
        <v>2.544</v>
      </c>
      <c r="F105" s="127">
        <v>2.6500567442748202</v>
      </c>
      <c r="G105" s="127">
        <f t="shared" si="55"/>
        <v>4.5041279130525647</v>
      </c>
      <c r="H105" s="127">
        <v>4.3099999999999996</v>
      </c>
      <c r="I105" s="127">
        <v>1215.7</v>
      </c>
      <c r="J105" s="127">
        <v>715.7</v>
      </c>
      <c r="K105" s="127">
        <v>1217.4000000000001</v>
      </c>
      <c r="L105" s="127">
        <v>64.33</v>
      </c>
      <c r="M105" s="127">
        <v>64.23</v>
      </c>
      <c r="N105" s="127">
        <v>64.2</v>
      </c>
      <c r="O105" s="127">
        <v>64.38</v>
      </c>
      <c r="P105" s="127">
        <v>64.284999999999997</v>
      </c>
      <c r="Q105" s="79">
        <v>10.95</v>
      </c>
      <c r="R105" s="79">
        <v>2.62</v>
      </c>
      <c r="S105" s="127">
        <f t="shared" si="56"/>
        <v>2.4231612517440699</v>
      </c>
      <c r="T105" s="127">
        <f t="shared" si="57"/>
        <v>2.4161340841140122</v>
      </c>
      <c r="U105" s="79">
        <f t="shared" si="58"/>
        <v>5.0261759389146121</v>
      </c>
      <c r="V105" s="127">
        <f t="shared" si="59"/>
        <v>12.756633982138766</v>
      </c>
      <c r="W105" s="127">
        <f t="shared" si="60"/>
        <v>60.599512802891226</v>
      </c>
      <c r="X105" s="132">
        <f>AVERAGE(S105:S109)</f>
        <v>2.4203479469844402</v>
      </c>
      <c r="Y105" s="132">
        <f t="shared" ref="Y105" si="89">AVERAGE(T105:T109)</f>
        <v>2.4133289379381848</v>
      </c>
      <c r="Z105" s="133">
        <f t="shared" ref="Z105" si="90">AVERAGE(U105:U109)</f>
        <v>5.1364411187820336</v>
      </c>
      <c r="AA105" s="132">
        <f t="shared" ref="AA105" si="91">AVERAGE(V105:V109)</f>
        <v>12.857924053811683</v>
      </c>
      <c r="AB105" s="132">
        <f t="shared" ref="AB105" si="92">AVERAGE(W105:W109)</f>
        <v>60.066140059241903</v>
      </c>
      <c r="AC105" s="235">
        <v>161</v>
      </c>
      <c r="AD105" s="235">
        <v>91</v>
      </c>
      <c r="AE105" s="235">
        <v>44</v>
      </c>
      <c r="AF105" s="235">
        <v>15</v>
      </c>
    </row>
    <row r="106" spans="1:32" ht="14.4">
      <c r="A106" s="1" t="s">
        <v>83</v>
      </c>
      <c r="B106" s="276"/>
      <c r="C106" s="1" t="s">
        <v>317</v>
      </c>
      <c r="D106" s="1" t="s">
        <v>308</v>
      </c>
      <c r="E106" s="127">
        <v>2.544</v>
      </c>
      <c r="F106" s="127">
        <v>2.6500567442748202</v>
      </c>
      <c r="G106" s="127">
        <f t="shared" si="55"/>
        <v>4.5041279130525647</v>
      </c>
      <c r="H106" s="127">
        <v>4.3099999999999996</v>
      </c>
      <c r="I106" s="127">
        <v>1210.7</v>
      </c>
      <c r="J106" s="127">
        <v>710.6</v>
      </c>
      <c r="K106" s="127">
        <v>1212.8</v>
      </c>
      <c r="L106" s="127">
        <v>64.489999999999995</v>
      </c>
      <c r="M106" s="127">
        <v>64.73</v>
      </c>
      <c r="N106" s="127">
        <v>64.78</v>
      </c>
      <c r="O106" s="127">
        <v>64.5</v>
      </c>
      <c r="P106" s="127">
        <v>64.625</v>
      </c>
      <c r="Q106" s="79">
        <v>11.78</v>
      </c>
      <c r="R106" s="79">
        <v>1.88</v>
      </c>
      <c r="S106" s="127">
        <f t="shared" si="56"/>
        <v>2.410792512943051</v>
      </c>
      <c r="T106" s="127">
        <f t="shared" si="57"/>
        <v>2.4038012146555161</v>
      </c>
      <c r="U106" s="79">
        <f t="shared" si="58"/>
        <v>5.5109585434152457</v>
      </c>
      <c r="V106" s="127">
        <f t="shared" si="59"/>
        <v>13.201957381735042</v>
      </c>
      <c r="W106" s="127">
        <f t="shared" si="60"/>
        <v>58.25650406174104</v>
      </c>
      <c r="AC106" s="235">
        <v>161</v>
      </c>
      <c r="AD106" s="235">
        <v>91</v>
      </c>
      <c r="AE106" s="235">
        <v>44</v>
      </c>
      <c r="AF106" s="235">
        <v>15</v>
      </c>
    </row>
    <row r="107" spans="1:32" ht="14.4">
      <c r="A107" s="1" t="s">
        <v>83</v>
      </c>
      <c r="B107" s="276"/>
      <c r="C107" s="1" t="s">
        <v>317</v>
      </c>
      <c r="D107" s="1" t="s">
        <v>309</v>
      </c>
      <c r="E107" s="127">
        <v>2.544</v>
      </c>
      <c r="F107" s="127">
        <v>2.6500567442748202</v>
      </c>
      <c r="G107" s="127">
        <f t="shared" si="55"/>
        <v>4.5041279130525647</v>
      </c>
      <c r="H107" s="127">
        <v>4.3099999999999996</v>
      </c>
      <c r="I107" s="127">
        <v>1201.8</v>
      </c>
      <c r="J107" s="127">
        <v>706.5</v>
      </c>
      <c r="K107" s="127">
        <v>1202.9000000000001</v>
      </c>
      <c r="L107" s="127">
        <v>63.97</v>
      </c>
      <c r="M107" s="127">
        <v>64.239999999999995</v>
      </c>
      <c r="N107" s="127">
        <v>63.87</v>
      </c>
      <c r="O107" s="127">
        <v>63.92</v>
      </c>
      <c r="P107" s="127">
        <v>64</v>
      </c>
      <c r="Q107" s="79">
        <v>10.8</v>
      </c>
      <c r="R107" s="79">
        <v>2.2200000000000002</v>
      </c>
      <c r="S107" s="127">
        <f t="shared" si="56"/>
        <v>2.4210314262691375</v>
      </c>
      <c r="T107" s="127">
        <f t="shared" si="57"/>
        <v>2.414010435132957</v>
      </c>
      <c r="U107" s="79">
        <f t="shared" si="58"/>
        <v>5.1096527070378599</v>
      </c>
      <c r="V107" s="127">
        <f t="shared" si="59"/>
        <v>12.833316102790022</v>
      </c>
      <c r="W107" s="127">
        <f t="shared" si="60"/>
        <v>60.184470902832373</v>
      </c>
      <c r="AC107" s="235">
        <v>161</v>
      </c>
      <c r="AD107" s="235">
        <v>91</v>
      </c>
      <c r="AE107" s="235">
        <v>44</v>
      </c>
      <c r="AF107" s="235">
        <v>15</v>
      </c>
    </row>
    <row r="108" spans="1:32" ht="14.4">
      <c r="A108" s="1" t="s">
        <v>83</v>
      </c>
      <c r="B108" s="276"/>
      <c r="C108" s="1" t="s">
        <v>317</v>
      </c>
      <c r="D108" s="1" t="s">
        <v>310</v>
      </c>
      <c r="E108" s="127">
        <v>2.544</v>
      </c>
      <c r="F108" s="127">
        <v>2.6500567442748202</v>
      </c>
      <c r="G108" s="127">
        <f t="shared" si="55"/>
        <v>4.5041279130525647</v>
      </c>
      <c r="H108" s="127">
        <v>4.3099999999999996</v>
      </c>
      <c r="I108" s="127">
        <v>1200.8</v>
      </c>
      <c r="J108" s="127">
        <v>707.3</v>
      </c>
      <c r="K108" s="127">
        <v>1203.3</v>
      </c>
      <c r="L108" s="127">
        <v>63.99</v>
      </c>
      <c r="M108" s="127">
        <v>63.17</v>
      </c>
      <c r="N108" s="127">
        <v>64.14</v>
      </c>
      <c r="O108" s="127">
        <v>64.02</v>
      </c>
      <c r="P108" s="127">
        <v>63.83</v>
      </c>
      <c r="Q108" s="79">
        <v>11.39</v>
      </c>
      <c r="R108" s="79">
        <v>2.62</v>
      </c>
      <c r="S108" s="127">
        <f t="shared" si="56"/>
        <v>2.4209677419354838</v>
      </c>
      <c r="T108" s="127">
        <f t="shared" si="57"/>
        <v>2.413946935483871</v>
      </c>
      <c r="U108" s="79">
        <f t="shared" si="58"/>
        <v>5.112148762426461</v>
      </c>
      <c r="V108" s="127">
        <f t="shared" si="59"/>
        <v>12.835608990077887</v>
      </c>
      <c r="W108" s="127">
        <f t="shared" si="60"/>
        <v>60.172137010575604</v>
      </c>
      <c r="AC108" s="235">
        <v>161</v>
      </c>
      <c r="AD108" s="235">
        <v>91</v>
      </c>
      <c r="AE108" s="235">
        <v>44</v>
      </c>
      <c r="AF108" s="235">
        <v>15</v>
      </c>
    </row>
    <row r="109" spans="1:32" ht="14.4">
      <c r="A109" s="1" t="s">
        <v>83</v>
      </c>
      <c r="B109" s="276"/>
      <c r="C109" s="1" t="s">
        <v>317</v>
      </c>
      <c r="D109" s="1" t="s">
        <v>311</v>
      </c>
      <c r="E109" s="127">
        <v>2.544</v>
      </c>
      <c r="F109" s="127">
        <v>2.6500567442748202</v>
      </c>
      <c r="G109" s="127">
        <f t="shared" si="55"/>
        <v>4.5041279130525647</v>
      </c>
      <c r="H109" s="127">
        <v>4.3099999999999996</v>
      </c>
      <c r="I109" s="127">
        <v>1194.7</v>
      </c>
      <c r="J109" s="127">
        <v>705.6</v>
      </c>
      <c r="K109" s="127">
        <v>1198.0999999999999</v>
      </c>
      <c r="L109" s="127">
        <v>63.61</v>
      </c>
      <c r="M109" s="127">
        <v>63.06</v>
      </c>
      <c r="N109" s="127">
        <v>63.31</v>
      </c>
      <c r="O109" s="127">
        <v>63.29</v>
      </c>
      <c r="P109" s="127">
        <v>63.317500000000003</v>
      </c>
      <c r="Q109" s="79">
        <v>10.38</v>
      </c>
      <c r="R109" s="79">
        <v>3.14</v>
      </c>
      <c r="S109" s="127">
        <f t="shared" si="56"/>
        <v>2.4257868020304576</v>
      </c>
      <c r="T109" s="127">
        <f t="shared" si="57"/>
        <v>2.4187520203045692</v>
      </c>
      <c r="U109" s="79">
        <f t="shared" si="58"/>
        <v>4.9232696421159901</v>
      </c>
      <c r="V109" s="127">
        <f t="shared" si="59"/>
        <v>12.662103812316701</v>
      </c>
      <c r="W109" s="127">
        <f t="shared" si="60"/>
        <v>61.118075518169263</v>
      </c>
      <c r="AC109" s="235">
        <v>161</v>
      </c>
      <c r="AD109" s="235">
        <v>91</v>
      </c>
      <c r="AE109" s="235">
        <v>44</v>
      </c>
      <c r="AF109" s="235">
        <v>15</v>
      </c>
    </row>
    <row r="110" spans="1:32" ht="14.4">
      <c r="A110" s="1" t="s">
        <v>83</v>
      </c>
      <c r="B110" s="276"/>
      <c r="C110" s="1" t="s">
        <v>318</v>
      </c>
      <c r="D110" s="1" t="s">
        <v>307</v>
      </c>
      <c r="E110" s="127">
        <v>2.544</v>
      </c>
      <c r="F110" s="127">
        <v>2.6500567442748202</v>
      </c>
      <c r="G110" s="127">
        <f t="shared" si="55"/>
        <v>4.5041279130525647</v>
      </c>
      <c r="H110" s="127">
        <v>4.3099999999999996</v>
      </c>
      <c r="I110" s="127">
        <v>1229.9000000000001</v>
      </c>
      <c r="J110" s="127">
        <v>726.3</v>
      </c>
      <c r="K110" s="127">
        <v>1231.8</v>
      </c>
      <c r="L110" s="127">
        <v>64.33</v>
      </c>
      <c r="M110" s="127">
        <v>64.38</v>
      </c>
      <c r="N110" s="127">
        <v>64.39</v>
      </c>
      <c r="O110" s="127">
        <v>64.430000000000007</v>
      </c>
      <c r="P110" s="127">
        <v>64.382499999999993</v>
      </c>
      <c r="Q110" s="79">
        <v>11.6</v>
      </c>
      <c r="R110" s="79">
        <v>1.9</v>
      </c>
      <c r="S110" s="127">
        <f t="shared" si="56"/>
        <v>2.433036597428289</v>
      </c>
      <c r="T110" s="127">
        <f t="shared" si="57"/>
        <v>2.4259807912957472</v>
      </c>
      <c r="U110" s="79">
        <f t="shared" si="58"/>
        <v>4.639119839003647</v>
      </c>
      <c r="V110" s="127">
        <f t="shared" si="59"/>
        <v>12.401082572812982</v>
      </c>
      <c r="W110" s="127">
        <f t="shared" si="60"/>
        <v>62.591009198067624</v>
      </c>
      <c r="X110" s="132">
        <f>AVERAGE(S110:S114)</f>
        <v>2.4257848942958442</v>
      </c>
      <c r="Y110" s="132">
        <f t="shared" ref="Y110" si="93">AVERAGE(T110:T114)</f>
        <v>2.4187501181023863</v>
      </c>
      <c r="Z110" s="133">
        <f t="shared" ref="Z110" si="94">AVERAGE(U110:U114)</f>
        <v>4.9233444142143794</v>
      </c>
      <c r="AA110" s="132">
        <f t="shared" ref="AA110" si="95">AVERAGE(V110:V114)</f>
        <v>12.662172498290051</v>
      </c>
      <c r="AB110" s="132">
        <f t="shared" ref="AB110" si="96">AVERAGE(W110:W114)</f>
        <v>61.135007935624415</v>
      </c>
      <c r="AC110" s="235">
        <v>161</v>
      </c>
      <c r="AD110" s="235">
        <v>91</v>
      </c>
      <c r="AE110" s="235">
        <v>44</v>
      </c>
      <c r="AF110" s="235">
        <v>15</v>
      </c>
    </row>
    <row r="111" spans="1:32" ht="14.4">
      <c r="A111" s="1" t="s">
        <v>83</v>
      </c>
      <c r="B111" s="276"/>
      <c r="C111" s="1" t="s">
        <v>318</v>
      </c>
      <c r="D111" s="1" t="s">
        <v>308</v>
      </c>
      <c r="E111" s="127">
        <v>2.544</v>
      </c>
      <c r="F111" s="127">
        <v>2.6500567442748202</v>
      </c>
      <c r="G111" s="127">
        <f t="shared" si="55"/>
        <v>4.5041279130525647</v>
      </c>
      <c r="H111" s="127">
        <v>4.3099999999999996</v>
      </c>
      <c r="I111" s="127">
        <v>1225.5999999999999</v>
      </c>
      <c r="J111" s="127">
        <v>723.3</v>
      </c>
      <c r="K111" s="127">
        <v>1227.5</v>
      </c>
      <c r="L111" s="127">
        <v>64.84</v>
      </c>
      <c r="M111" s="127">
        <v>65.42</v>
      </c>
      <c r="N111" s="127">
        <v>65.13</v>
      </c>
      <c r="O111" s="127">
        <v>64.87</v>
      </c>
      <c r="P111" s="127">
        <v>65.064999999999998</v>
      </c>
      <c r="Q111" s="79">
        <v>12.79</v>
      </c>
      <c r="R111" s="79">
        <v>2.62</v>
      </c>
      <c r="S111" s="127">
        <f t="shared" si="56"/>
        <v>2.4307814359381195</v>
      </c>
      <c r="T111" s="127">
        <f t="shared" si="57"/>
        <v>2.4237321697738987</v>
      </c>
      <c r="U111" s="79">
        <f t="shared" si="58"/>
        <v>4.7275090497681305</v>
      </c>
      <c r="V111" s="127">
        <f t="shared" si="59"/>
        <v>12.482277284545304</v>
      </c>
      <c r="W111" s="127">
        <f t="shared" si="60"/>
        <v>62.12622951725799</v>
      </c>
      <c r="AC111" s="235">
        <v>161</v>
      </c>
      <c r="AD111" s="235">
        <v>91</v>
      </c>
      <c r="AE111" s="235">
        <v>44</v>
      </c>
      <c r="AF111" s="235">
        <v>15</v>
      </c>
    </row>
    <row r="112" spans="1:32" ht="14.4">
      <c r="A112" s="1" t="s">
        <v>83</v>
      </c>
      <c r="B112" s="276"/>
      <c r="C112" s="1" t="s">
        <v>318</v>
      </c>
      <c r="D112" s="1" t="s">
        <v>309</v>
      </c>
      <c r="E112" s="127">
        <v>2.544</v>
      </c>
      <c r="F112" s="127">
        <v>2.6500567442748202</v>
      </c>
      <c r="G112" s="127">
        <f t="shared" si="55"/>
        <v>4.5041279130525647</v>
      </c>
      <c r="H112" s="127">
        <v>4.3099999999999996</v>
      </c>
      <c r="I112" s="127">
        <v>1219.9000000000001</v>
      </c>
      <c r="J112" s="127">
        <v>719.3</v>
      </c>
      <c r="K112" s="127">
        <v>1222.3</v>
      </c>
      <c r="L112" s="127">
        <v>64.040000000000006</v>
      </c>
      <c r="M112" s="127">
        <v>63.85</v>
      </c>
      <c r="N112" s="127">
        <v>63.96</v>
      </c>
      <c r="O112" s="127">
        <v>63.99</v>
      </c>
      <c r="P112" s="127">
        <v>63.96</v>
      </c>
      <c r="Q112" s="79">
        <v>11.56</v>
      </c>
      <c r="R112" s="79">
        <v>2.0499999999999998</v>
      </c>
      <c r="S112" s="127">
        <f t="shared" si="56"/>
        <v>2.4252485089463223</v>
      </c>
      <c r="T112" s="127">
        <f t="shared" si="57"/>
        <v>2.4182152882703778</v>
      </c>
      <c r="U112" s="79">
        <f t="shared" si="58"/>
        <v>4.9443675994348402</v>
      </c>
      <c r="V112" s="127">
        <f t="shared" si="59"/>
        <v>12.68148448726366</v>
      </c>
      <c r="W112" s="127">
        <f t="shared" si="60"/>
        <v>61.011129222287856</v>
      </c>
      <c r="AC112" s="235">
        <v>161</v>
      </c>
      <c r="AD112" s="235">
        <v>91</v>
      </c>
      <c r="AE112" s="235">
        <v>44</v>
      </c>
      <c r="AF112" s="235">
        <v>15</v>
      </c>
    </row>
    <row r="113" spans="1:32" ht="14.4">
      <c r="A113" s="1" t="s">
        <v>83</v>
      </c>
      <c r="B113" s="276"/>
      <c r="C113" s="1" t="s">
        <v>318</v>
      </c>
      <c r="D113" s="1" t="s">
        <v>310</v>
      </c>
      <c r="E113" s="127">
        <v>2.544</v>
      </c>
      <c r="F113" s="127">
        <v>2.6500567442748202</v>
      </c>
      <c r="G113" s="127">
        <f t="shared" si="55"/>
        <v>4.5041279130525647</v>
      </c>
      <c r="H113" s="127">
        <v>4.3099999999999996</v>
      </c>
      <c r="I113" s="127">
        <v>1219.7</v>
      </c>
      <c r="J113" s="127">
        <v>719.4</v>
      </c>
      <c r="K113" s="127">
        <v>1223.8</v>
      </c>
      <c r="L113" s="127">
        <v>65.180000000000007</v>
      </c>
      <c r="M113" s="127">
        <v>65.41</v>
      </c>
      <c r="N113" s="127">
        <v>65.31</v>
      </c>
      <c r="O113" s="127">
        <v>65.03</v>
      </c>
      <c r="P113" s="127">
        <v>65.232500000000002</v>
      </c>
      <c r="Q113" s="79">
        <v>10.6</v>
      </c>
      <c r="R113" s="79">
        <v>1.96</v>
      </c>
      <c r="S113" s="127">
        <f t="shared" si="56"/>
        <v>2.4181205392545602</v>
      </c>
      <c r="T113" s="127">
        <f t="shared" si="57"/>
        <v>2.4111079896907217</v>
      </c>
      <c r="U113" s="79">
        <f t="shared" si="58"/>
        <v>5.2237425436037039</v>
      </c>
      <c r="V113" s="127">
        <f t="shared" si="59"/>
        <v>12.938119520666845</v>
      </c>
      <c r="W113" s="127">
        <f t="shared" si="60"/>
        <v>59.625179414523863</v>
      </c>
      <c r="AC113" s="235">
        <v>161</v>
      </c>
      <c r="AD113" s="235">
        <v>91</v>
      </c>
      <c r="AE113" s="235">
        <v>44</v>
      </c>
      <c r="AF113" s="235">
        <v>15</v>
      </c>
    </row>
    <row r="114" spans="1:32" ht="14.4">
      <c r="A114" s="1" t="s">
        <v>83</v>
      </c>
      <c r="B114" s="276"/>
      <c r="C114" s="1" t="s">
        <v>318</v>
      </c>
      <c r="D114" s="1" t="s">
        <v>311</v>
      </c>
      <c r="E114" s="127">
        <v>2.544</v>
      </c>
      <c r="F114" s="127">
        <v>2.6500567442748202</v>
      </c>
      <c r="G114" s="127">
        <f t="shared" si="55"/>
        <v>4.5041279130525647</v>
      </c>
      <c r="H114" s="127">
        <v>4.3099999999999996</v>
      </c>
      <c r="I114" s="127">
        <v>1209.9000000000001</v>
      </c>
      <c r="J114" s="127">
        <v>714</v>
      </c>
      <c r="K114" s="127">
        <v>1213.5999999999999</v>
      </c>
      <c r="L114" s="127">
        <v>64.62</v>
      </c>
      <c r="M114" s="127">
        <v>64.180000000000007</v>
      </c>
      <c r="N114" s="127">
        <v>64.319999999999993</v>
      </c>
      <c r="O114" s="127">
        <v>64.53</v>
      </c>
      <c r="P114" s="127">
        <v>64.412499999999994</v>
      </c>
      <c r="Q114" s="79">
        <v>10.72</v>
      </c>
      <c r="R114" s="79">
        <v>2.66</v>
      </c>
      <c r="S114" s="127">
        <f t="shared" si="56"/>
        <v>2.4217373899119301</v>
      </c>
      <c r="T114" s="127">
        <f t="shared" si="57"/>
        <v>2.4147143514811855</v>
      </c>
      <c r="U114" s="79">
        <f t="shared" si="58"/>
        <v>5.0819830392615728</v>
      </c>
      <c r="V114" s="127">
        <f t="shared" si="59"/>
        <v>12.80789862616146</v>
      </c>
      <c r="W114" s="127">
        <f t="shared" si="60"/>
        <v>60.321492325984714</v>
      </c>
      <c r="AC114" s="235">
        <v>161</v>
      </c>
      <c r="AD114" s="235">
        <v>91</v>
      </c>
      <c r="AE114" s="235">
        <v>44</v>
      </c>
      <c r="AF114" s="235">
        <v>15</v>
      </c>
    </row>
    <row r="115" spans="1:32" ht="14.4">
      <c r="A115" s="1" t="s">
        <v>83</v>
      </c>
      <c r="B115" s="276"/>
      <c r="C115" s="1" t="s">
        <v>319</v>
      </c>
      <c r="D115" s="1" t="s">
        <v>307</v>
      </c>
      <c r="E115" s="127">
        <v>2.544</v>
      </c>
      <c r="F115" s="127">
        <v>2.6500567442748202</v>
      </c>
      <c r="G115" s="127">
        <f t="shared" si="55"/>
        <v>4.5041279130525647</v>
      </c>
      <c r="H115" s="127">
        <v>4.3099999999999996</v>
      </c>
      <c r="I115" s="127">
        <v>1215.5999999999999</v>
      </c>
      <c r="J115" s="127">
        <v>716.4</v>
      </c>
      <c r="K115" s="127">
        <v>1217.7</v>
      </c>
      <c r="L115" s="127">
        <v>63.76</v>
      </c>
      <c r="M115" s="127">
        <v>64.08</v>
      </c>
      <c r="N115" s="127">
        <v>63.89</v>
      </c>
      <c r="O115" s="127">
        <v>63.79</v>
      </c>
      <c r="P115" s="127">
        <v>63.88</v>
      </c>
      <c r="Q115" s="79">
        <v>13.58</v>
      </c>
      <c r="R115" s="79">
        <v>2.95</v>
      </c>
      <c r="S115" s="127">
        <f t="shared" si="56"/>
        <v>2.4248952722920403</v>
      </c>
      <c r="T115" s="127">
        <f t="shared" si="57"/>
        <v>2.4178630760023934</v>
      </c>
      <c r="U115" s="79">
        <f t="shared" si="58"/>
        <v>4.9582124212895646</v>
      </c>
      <c r="V115" s="127">
        <f t="shared" si="59"/>
        <v>12.694202400567306</v>
      </c>
      <c r="W115" s="127">
        <f t="shared" si="60"/>
        <v>60.941126785027613</v>
      </c>
      <c r="X115" s="132">
        <f>AVERAGE(S115:S119)</f>
        <v>2.4141661762653217</v>
      </c>
      <c r="Y115" s="132">
        <f t="shared" ref="Y115" si="97">AVERAGE(T115:T119)</f>
        <v>2.4071650943541516</v>
      </c>
      <c r="Z115" s="133">
        <f t="shared" ref="Z115" si="98">AVERAGE(U115:U119)</f>
        <v>5.3787305678399422</v>
      </c>
      <c r="AA115" s="132">
        <f t="shared" ref="AA115" si="99">AVERAGE(V115:V119)</f>
        <v>13.080492190826249</v>
      </c>
      <c r="AB115" s="132">
        <f t="shared" ref="AB115" si="100">AVERAGE(W115:W119)</f>
        <v>58.897283751603581</v>
      </c>
      <c r="AC115" s="235">
        <v>161</v>
      </c>
      <c r="AD115" s="235">
        <v>91</v>
      </c>
      <c r="AE115" s="235">
        <v>44</v>
      </c>
      <c r="AF115" s="235">
        <v>15</v>
      </c>
    </row>
    <row r="116" spans="1:32" ht="14.4">
      <c r="A116" s="1" t="s">
        <v>83</v>
      </c>
      <c r="B116" s="276"/>
      <c r="C116" s="1" t="s">
        <v>319</v>
      </c>
      <c r="D116" s="1" t="s">
        <v>308</v>
      </c>
      <c r="E116" s="127">
        <v>2.544</v>
      </c>
      <c r="F116" s="127">
        <v>2.6500567442748202</v>
      </c>
      <c r="G116" s="127">
        <f t="shared" si="55"/>
        <v>4.5041279130525647</v>
      </c>
      <c r="H116" s="127">
        <v>4.3099999999999996</v>
      </c>
      <c r="I116" s="127">
        <v>1214.8</v>
      </c>
      <c r="J116" s="127">
        <v>714.3</v>
      </c>
      <c r="K116" s="127">
        <v>1217.2</v>
      </c>
      <c r="L116" s="127">
        <v>63.69</v>
      </c>
      <c r="M116" s="127">
        <v>64</v>
      </c>
      <c r="N116" s="127">
        <v>63.89</v>
      </c>
      <c r="O116" s="127">
        <v>63.65</v>
      </c>
      <c r="P116" s="127">
        <v>63.807499999999997</v>
      </c>
      <c r="Q116" s="79">
        <v>12.37</v>
      </c>
      <c r="R116" s="79">
        <v>3.27</v>
      </c>
      <c r="S116" s="127">
        <f t="shared" si="56"/>
        <v>2.415589580433485</v>
      </c>
      <c r="T116" s="127">
        <f t="shared" si="57"/>
        <v>2.4085843706502277</v>
      </c>
      <c r="U116" s="79">
        <f t="shared" si="58"/>
        <v>5.3229414052583524</v>
      </c>
      <c r="V116" s="127">
        <f t="shared" si="59"/>
        <v>13.029244024512494</v>
      </c>
      <c r="W116" s="127">
        <f t="shared" si="60"/>
        <v>59.146199155959728</v>
      </c>
      <c r="AC116" s="235">
        <v>161</v>
      </c>
      <c r="AD116" s="235">
        <v>91</v>
      </c>
      <c r="AE116" s="235">
        <v>44</v>
      </c>
      <c r="AF116" s="235">
        <v>15</v>
      </c>
    </row>
    <row r="117" spans="1:32" ht="14.4">
      <c r="A117" s="1" t="s">
        <v>83</v>
      </c>
      <c r="B117" s="276"/>
      <c r="C117" s="1" t="s">
        <v>319</v>
      </c>
      <c r="D117" s="1" t="s">
        <v>309</v>
      </c>
      <c r="E117" s="127">
        <v>2.544</v>
      </c>
      <c r="F117" s="127">
        <v>2.6500567442748202</v>
      </c>
      <c r="G117" s="127">
        <f t="shared" si="55"/>
        <v>4.5041279130525647</v>
      </c>
      <c r="H117" s="127">
        <v>4.3099999999999996</v>
      </c>
      <c r="I117" s="127">
        <v>1212.3</v>
      </c>
      <c r="J117" s="127">
        <v>712.1</v>
      </c>
      <c r="K117" s="127">
        <v>1214.9000000000001</v>
      </c>
      <c r="L117" s="127">
        <v>64.19</v>
      </c>
      <c r="M117" s="127">
        <v>63.98</v>
      </c>
      <c r="N117" s="127">
        <v>64.34</v>
      </c>
      <c r="O117" s="127">
        <v>64.05</v>
      </c>
      <c r="P117" s="127">
        <v>64.14</v>
      </c>
      <c r="Q117" s="79">
        <v>13.52</v>
      </c>
      <c r="R117" s="79">
        <v>3.03</v>
      </c>
      <c r="S117" s="127">
        <f t="shared" si="56"/>
        <v>2.411097852028639</v>
      </c>
      <c r="T117" s="127">
        <f t="shared" si="57"/>
        <v>2.4041056682577557</v>
      </c>
      <c r="U117" s="79">
        <f t="shared" si="58"/>
        <v>5.4989910276039389</v>
      </c>
      <c r="V117" s="127">
        <f t="shared" si="59"/>
        <v>13.190963969891584</v>
      </c>
      <c r="W117" s="127">
        <f t="shared" si="60"/>
        <v>58.312439938768662</v>
      </c>
      <c r="AC117" s="235">
        <v>161</v>
      </c>
      <c r="AD117" s="235">
        <v>91</v>
      </c>
      <c r="AE117" s="235">
        <v>44</v>
      </c>
      <c r="AF117" s="235">
        <v>15</v>
      </c>
    </row>
    <row r="118" spans="1:32" ht="14.4">
      <c r="A118" s="1" t="s">
        <v>83</v>
      </c>
      <c r="B118" s="276"/>
      <c r="C118" s="1" t="s">
        <v>319</v>
      </c>
      <c r="D118" s="1" t="s">
        <v>310</v>
      </c>
      <c r="E118" s="127">
        <v>2.544</v>
      </c>
      <c r="F118" s="127">
        <v>2.6500567442748202</v>
      </c>
      <c r="G118" s="127">
        <f t="shared" si="55"/>
        <v>4.5041279130525647</v>
      </c>
      <c r="H118" s="127">
        <v>4.3099999999999996</v>
      </c>
      <c r="I118" s="127">
        <v>1212.5999999999999</v>
      </c>
      <c r="J118" s="127">
        <v>710.8</v>
      </c>
      <c r="K118" s="127">
        <v>1214</v>
      </c>
      <c r="L118" s="127">
        <v>64.239999999999995</v>
      </c>
      <c r="M118" s="127">
        <v>63.94</v>
      </c>
      <c r="N118" s="127">
        <v>64.09</v>
      </c>
      <c r="O118" s="127">
        <v>64.16</v>
      </c>
      <c r="P118" s="127">
        <v>64.107500000000002</v>
      </c>
      <c r="Q118" s="79">
        <v>12.86</v>
      </c>
      <c r="R118" s="79">
        <v>2.4500000000000002</v>
      </c>
      <c r="S118" s="127">
        <f t="shared" si="56"/>
        <v>2.4097774244833063</v>
      </c>
      <c r="T118" s="127">
        <f t="shared" si="57"/>
        <v>2.4027890699523047</v>
      </c>
      <c r="U118" s="79">
        <f t="shared" si="58"/>
        <v>5.5507441056483975</v>
      </c>
      <c r="V118" s="127">
        <f t="shared" si="59"/>
        <v>13.238504571473342</v>
      </c>
      <c r="W118" s="127">
        <f t="shared" si="60"/>
        <v>58.071215100765393</v>
      </c>
      <c r="AC118" s="235">
        <v>161</v>
      </c>
      <c r="AD118" s="235">
        <v>91</v>
      </c>
      <c r="AE118" s="235">
        <v>44</v>
      </c>
      <c r="AF118" s="235">
        <v>15</v>
      </c>
    </row>
    <row r="119" spans="1:32" ht="14.4">
      <c r="A119" s="1" t="s">
        <v>83</v>
      </c>
      <c r="B119" s="276"/>
      <c r="C119" s="1" t="s">
        <v>319</v>
      </c>
      <c r="D119" s="1" t="s">
        <v>311</v>
      </c>
      <c r="E119" s="127">
        <v>2.544</v>
      </c>
      <c r="F119" s="127">
        <v>2.6500567442748202</v>
      </c>
      <c r="G119" s="127">
        <f t="shared" si="55"/>
        <v>4.5041279130525647</v>
      </c>
      <c r="H119" s="127">
        <v>4.3099999999999996</v>
      </c>
      <c r="I119" s="127">
        <v>1211</v>
      </c>
      <c r="J119" s="127">
        <v>710.9</v>
      </c>
      <c r="K119" s="127">
        <v>1213.5</v>
      </c>
      <c r="L119" s="127">
        <v>64.69</v>
      </c>
      <c r="M119" s="127">
        <v>65.239999999999995</v>
      </c>
      <c r="N119" s="127">
        <v>65.19</v>
      </c>
      <c r="O119" s="127">
        <v>64.94</v>
      </c>
      <c r="P119" s="127">
        <v>65.015000000000001</v>
      </c>
      <c r="Q119" s="79">
        <v>14.6</v>
      </c>
      <c r="R119" s="79">
        <v>3.24</v>
      </c>
      <c r="S119" s="127">
        <f t="shared" si="56"/>
        <v>2.4094707520891365</v>
      </c>
      <c r="T119" s="127">
        <f t="shared" si="57"/>
        <v>2.4024832869080779</v>
      </c>
      <c r="U119" s="79">
        <f t="shared" si="58"/>
        <v>5.5627638793994567</v>
      </c>
      <c r="V119" s="127">
        <f t="shared" si="59"/>
        <v>13.249545987686517</v>
      </c>
      <c r="W119" s="127">
        <f t="shared" si="60"/>
        <v>58.015437777496537</v>
      </c>
      <c r="AC119" s="235">
        <v>161</v>
      </c>
      <c r="AD119" s="235">
        <v>91</v>
      </c>
      <c r="AE119" s="235">
        <v>44</v>
      </c>
      <c r="AF119" s="235">
        <v>15</v>
      </c>
    </row>
    <row r="120" spans="1:32" ht="14.4">
      <c r="A120" s="1" t="s">
        <v>83</v>
      </c>
      <c r="B120" s="276"/>
      <c r="C120" s="1" t="s">
        <v>320</v>
      </c>
      <c r="D120" s="1" t="s">
        <v>307</v>
      </c>
      <c r="E120" s="127">
        <v>2.544</v>
      </c>
      <c r="F120" s="127">
        <v>2.6500567442748202</v>
      </c>
      <c r="G120" s="127">
        <f t="shared" si="55"/>
        <v>4.5041279130525647</v>
      </c>
      <c r="H120" s="127">
        <v>4.3099999999999996</v>
      </c>
      <c r="I120" s="127">
        <v>1212.5999999999999</v>
      </c>
      <c r="J120" s="127">
        <v>715.3</v>
      </c>
      <c r="K120" s="127">
        <v>1213.5</v>
      </c>
      <c r="L120" s="127">
        <v>63.58</v>
      </c>
      <c r="M120" s="127">
        <v>63.33</v>
      </c>
      <c r="N120" s="127">
        <v>63.76</v>
      </c>
      <c r="O120" s="127">
        <v>63.65</v>
      </c>
      <c r="P120" s="127">
        <v>63.58</v>
      </c>
      <c r="Q120" s="79">
        <v>15.47</v>
      </c>
      <c r="R120" s="79">
        <v>3.12</v>
      </c>
      <c r="S120" s="127">
        <f t="shared" si="56"/>
        <v>2.4339622641509431</v>
      </c>
      <c r="T120" s="127">
        <f t="shared" si="57"/>
        <v>2.4269037735849053</v>
      </c>
      <c r="U120" s="79">
        <f t="shared" si="58"/>
        <v>4.6028390886436625</v>
      </c>
      <c r="V120" s="127">
        <f t="shared" si="59"/>
        <v>12.367754918437143</v>
      </c>
      <c r="W120" s="127">
        <f t="shared" si="60"/>
        <v>62.783551913839979</v>
      </c>
      <c r="X120" s="132">
        <f>AVERAGE(S120:S124)</f>
        <v>2.4184113959728535</v>
      </c>
      <c r="Y120" s="132">
        <f t="shared" ref="Y120" si="101">AVERAGE(T120:T124)</f>
        <v>2.4113980029245319</v>
      </c>
      <c r="Z120" s="133">
        <f t="shared" ref="Z120" si="102">AVERAGE(U120:U124)</f>
        <v>5.2123426523375782</v>
      </c>
      <c r="AA120" s="132">
        <f t="shared" ref="AA120" si="103">AVERAGE(V120:V124)</f>
        <v>12.927647531188404</v>
      </c>
      <c r="AB120" s="132">
        <f t="shared" ref="AB120" si="104">AVERAGE(W120:W124)</f>
        <v>59.803642849929396</v>
      </c>
      <c r="AC120" s="235">
        <v>161</v>
      </c>
      <c r="AD120" s="235">
        <v>91</v>
      </c>
      <c r="AE120" s="235">
        <v>44</v>
      </c>
      <c r="AF120" s="235">
        <v>15</v>
      </c>
    </row>
    <row r="121" spans="1:32" ht="14.4">
      <c r="A121" s="1" t="s">
        <v>83</v>
      </c>
      <c r="B121" s="276"/>
      <c r="C121" s="1" t="s">
        <v>320</v>
      </c>
      <c r="D121" s="1" t="s">
        <v>308</v>
      </c>
      <c r="E121" s="127">
        <v>2.544</v>
      </c>
      <c r="F121" s="127">
        <v>2.6500567442748202</v>
      </c>
      <c r="G121" s="127">
        <f t="shared" si="55"/>
        <v>4.5041279130525647</v>
      </c>
      <c r="H121" s="127">
        <v>4.3099999999999996</v>
      </c>
      <c r="I121" s="127">
        <v>1209.5999999999999</v>
      </c>
      <c r="J121" s="127">
        <v>715</v>
      </c>
      <c r="K121" s="127">
        <v>1211.3</v>
      </c>
      <c r="L121" s="127">
        <v>63.8</v>
      </c>
      <c r="M121" s="127">
        <v>63.4</v>
      </c>
      <c r="N121" s="127">
        <v>63.37</v>
      </c>
      <c r="O121" s="127">
        <v>63.48</v>
      </c>
      <c r="P121" s="127">
        <v>63.512500000000003</v>
      </c>
      <c r="Q121" s="79">
        <v>13.93</v>
      </c>
      <c r="R121" s="79">
        <v>2.84</v>
      </c>
      <c r="S121" s="127">
        <f t="shared" si="56"/>
        <v>2.4372355430183359</v>
      </c>
      <c r="T121" s="127">
        <f t="shared" si="57"/>
        <v>2.4301675599435826</v>
      </c>
      <c r="U121" s="79">
        <f t="shared" si="58"/>
        <v>4.4745455997019405</v>
      </c>
      <c r="V121" s="127">
        <f t="shared" si="59"/>
        <v>12.249903963986256</v>
      </c>
      <c r="W121" s="127">
        <f t="shared" si="60"/>
        <v>63.472810784013099</v>
      </c>
      <c r="AC121" s="235">
        <v>161</v>
      </c>
      <c r="AD121" s="235">
        <v>91</v>
      </c>
      <c r="AE121" s="235">
        <v>44</v>
      </c>
      <c r="AF121" s="235">
        <v>15</v>
      </c>
    </row>
    <row r="122" spans="1:32" ht="14.4">
      <c r="A122" s="1" t="s">
        <v>83</v>
      </c>
      <c r="B122" s="276"/>
      <c r="C122" s="1" t="s">
        <v>320</v>
      </c>
      <c r="D122" s="1" t="s">
        <v>309</v>
      </c>
      <c r="E122" s="127">
        <v>2.544</v>
      </c>
      <c r="F122" s="127">
        <v>2.6500567442748202</v>
      </c>
      <c r="G122" s="127">
        <f t="shared" si="55"/>
        <v>4.5041279130525647</v>
      </c>
      <c r="H122" s="127">
        <v>4.3099999999999996</v>
      </c>
      <c r="I122" s="127">
        <v>1201.0999999999999</v>
      </c>
      <c r="J122" s="127">
        <v>706.5</v>
      </c>
      <c r="K122" s="127">
        <v>1203.4000000000001</v>
      </c>
      <c r="L122" s="127">
        <v>63.33</v>
      </c>
      <c r="M122" s="127">
        <v>63.38</v>
      </c>
      <c r="N122" s="127">
        <v>63.91</v>
      </c>
      <c r="O122" s="127">
        <v>63.65</v>
      </c>
      <c r="P122" s="127">
        <v>63.567500000000003</v>
      </c>
      <c r="Q122" s="79">
        <v>14.26</v>
      </c>
      <c r="R122" s="79">
        <v>2.4900000000000002</v>
      </c>
      <c r="S122" s="127">
        <f t="shared" si="56"/>
        <v>2.4171865566512372</v>
      </c>
      <c r="T122" s="127">
        <f t="shared" si="57"/>
        <v>2.4101767156369487</v>
      </c>
      <c r="U122" s="79">
        <f t="shared" si="58"/>
        <v>5.2603492281073638</v>
      </c>
      <c r="V122" s="127">
        <f t="shared" si="59"/>
        <v>12.971746579558342</v>
      </c>
      <c r="W122" s="127">
        <f t="shared" si="60"/>
        <v>59.447641103342718</v>
      </c>
      <c r="AC122" s="235">
        <v>161</v>
      </c>
      <c r="AD122" s="235">
        <v>91</v>
      </c>
      <c r="AE122" s="235">
        <v>44</v>
      </c>
      <c r="AF122" s="235">
        <v>15</v>
      </c>
    </row>
    <row r="123" spans="1:32" ht="14.4">
      <c r="A123" s="1" t="s">
        <v>83</v>
      </c>
      <c r="B123" s="276"/>
      <c r="C123" s="1" t="s">
        <v>320</v>
      </c>
      <c r="D123" s="1" t="s">
        <v>310</v>
      </c>
      <c r="E123" s="127">
        <v>2.544</v>
      </c>
      <c r="F123" s="127">
        <v>2.6500567442748202</v>
      </c>
      <c r="G123" s="127">
        <f t="shared" si="55"/>
        <v>4.5041279130525647</v>
      </c>
      <c r="H123" s="127">
        <v>4.3099999999999996</v>
      </c>
      <c r="I123" s="127">
        <v>1202.8</v>
      </c>
      <c r="J123" s="127">
        <v>705.1</v>
      </c>
      <c r="K123" s="127">
        <v>1205.5999999999999</v>
      </c>
      <c r="L123" s="127">
        <v>64.08</v>
      </c>
      <c r="M123" s="127">
        <v>63.71</v>
      </c>
      <c r="N123" s="127">
        <v>64.22</v>
      </c>
      <c r="O123" s="127">
        <v>63.99</v>
      </c>
      <c r="P123" s="127">
        <v>64</v>
      </c>
      <c r="Q123" s="79">
        <v>14.01</v>
      </c>
      <c r="R123" s="79">
        <v>2.17</v>
      </c>
      <c r="S123" s="127">
        <f t="shared" si="56"/>
        <v>2.4031968031968036</v>
      </c>
      <c r="T123" s="127">
        <f t="shared" si="57"/>
        <v>2.3962275324675328</v>
      </c>
      <c r="U123" s="79">
        <f t="shared" si="58"/>
        <v>5.8086661765906928</v>
      </c>
      <c r="V123" s="127">
        <f t="shared" si="59"/>
        <v>13.475432902639952</v>
      </c>
      <c r="W123" s="127">
        <f t="shared" si="60"/>
        <v>56.894400212903541</v>
      </c>
      <c r="AC123" s="235">
        <v>161</v>
      </c>
      <c r="AD123" s="235">
        <v>91</v>
      </c>
      <c r="AE123" s="235">
        <v>44</v>
      </c>
      <c r="AF123" s="235">
        <v>15</v>
      </c>
    </row>
    <row r="124" spans="1:32" ht="14.4">
      <c r="A124" s="1" t="s">
        <v>83</v>
      </c>
      <c r="B124" s="276"/>
      <c r="C124" s="1" t="s">
        <v>320</v>
      </c>
      <c r="D124" s="1" t="s">
        <v>311</v>
      </c>
      <c r="E124" s="127">
        <v>2.544</v>
      </c>
      <c r="F124" s="127">
        <v>2.6500567442748202</v>
      </c>
      <c r="G124" s="127">
        <f t="shared" si="55"/>
        <v>4.5041279130525647</v>
      </c>
      <c r="H124" s="127">
        <v>4.3099999999999996</v>
      </c>
      <c r="I124" s="127">
        <v>1210.8</v>
      </c>
      <c r="J124" s="127">
        <v>710.2</v>
      </c>
      <c r="K124" s="127">
        <v>1214.5999999999999</v>
      </c>
      <c r="L124" s="127">
        <v>65.510000000000005</v>
      </c>
      <c r="M124" s="127">
        <v>65.42</v>
      </c>
      <c r="N124" s="127">
        <v>65.23</v>
      </c>
      <c r="O124" s="127">
        <v>65.349999999999994</v>
      </c>
      <c r="P124" s="127">
        <v>65.377499999999998</v>
      </c>
      <c r="Q124" s="79">
        <v>13.92</v>
      </c>
      <c r="R124" s="79">
        <v>2.68</v>
      </c>
      <c r="S124" s="127">
        <f t="shared" si="56"/>
        <v>2.4004758128469472</v>
      </c>
      <c r="T124" s="127">
        <f t="shared" si="57"/>
        <v>2.3935144329896909</v>
      </c>
      <c r="U124" s="79">
        <f t="shared" si="58"/>
        <v>5.9153131686442322</v>
      </c>
      <c r="V124" s="127">
        <f t="shared" si="59"/>
        <v>13.573399291320328</v>
      </c>
      <c r="W124" s="127">
        <f t="shared" si="60"/>
        <v>56.419810235547622</v>
      </c>
      <c r="AC124" s="235">
        <v>161</v>
      </c>
      <c r="AD124" s="235">
        <v>91</v>
      </c>
      <c r="AE124" s="235">
        <v>44</v>
      </c>
      <c r="AF124" s="235">
        <v>15</v>
      </c>
    </row>
    <row r="125" spans="1:32" ht="14.4">
      <c r="A125" s="1" t="s">
        <v>83</v>
      </c>
      <c r="B125" s="276"/>
      <c r="C125" s="1" t="s">
        <v>321</v>
      </c>
      <c r="D125" s="1" t="s">
        <v>307</v>
      </c>
      <c r="E125" s="127">
        <v>2.544</v>
      </c>
      <c r="F125" s="127">
        <v>2.6500567442748202</v>
      </c>
      <c r="G125" s="127">
        <f t="shared" si="55"/>
        <v>4.5041279130525647</v>
      </c>
      <c r="H125" s="127">
        <v>4.3099999999999996</v>
      </c>
      <c r="I125" s="127">
        <v>1214.2</v>
      </c>
      <c r="J125" s="127">
        <v>716.7</v>
      </c>
      <c r="K125" s="127">
        <v>1215.5</v>
      </c>
      <c r="L125" s="127">
        <v>63.77</v>
      </c>
      <c r="M125" s="127">
        <v>63.86</v>
      </c>
      <c r="N125" s="127">
        <v>64.12</v>
      </c>
      <c r="O125" s="127">
        <v>63.79</v>
      </c>
      <c r="P125" s="127">
        <v>63.884999999999998</v>
      </c>
      <c r="Q125" s="79">
        <v>13.84</v>
      </c>
      <c r="R125" s="79">
        <v>1.9</v>
      </c>
      <c r="S125" s="127">
        <f t="shared" si="56"/>
        <v>2.4342421812349642</v>
      </c>
      <c r="T125" s="127">
        <f t="shared" si="57"/>
        <v>2.4271828789093828</v>
      </c>
      <c r="U125" s="79">
        <f t="shared" si="58"/>
        <v>4.5918679673984775</v>
      </c>
      <c r="V125" s="127">
        <f t="shared" si="59"/>
        <v>12.357676798956518</v>
      </c>
      <c r="W125" s="127">
        <f t="shared" si="60"/>
        <v>62.841980397268408</v>
      </c>
      <c r="X125" s="132">
        <f>AVERAGE(S125:S129)</f>
        <v>2.4203441552173031</v>
      </c>
      <c r="Y125" s="132">
        <f t="shared" ref="Y125" si="105">AVERAGE(T125:T129)</f>
        <v>2.413325157167173</v>
      </c>
      <c r="Z125" s="133">
        <f t="shared" ref="Z125" si="106">AVERAGE(U125:U129)</f>
        <v>5.1365897339947715</v>
      </c>
      <c r="AA125" s="132">
        <f t="shared" ref="AA125" si="107">AVERAGE(V125:V129)</f>
        <v>12.85806057238961</v>
      </c>
      <c r="AB125" s="132">
        <f t="shared" ref="AB125" si="108">AVERAGE(W125:W129)</f>
        <v>60.157426130725035</v>
      </c>
      <c r="AC125" s="235">
        <v>161</v>
      </c>
      <c r="AD125" s="235">
        <v>91</v>
      </c>
      <c r="AE125" s="235">
        <v>44</v>
      </c>
      <c r="AF125" s="235">
        <v>15</v>
      </c>
    </row>
    <row r="126" spans="1:32" ht="14.4">
      <c r="A126" s="1" t="s">
        <v>83</v>
      </c>
      <c r="B126" s="276"/>
      <c r="C126" s="1" t="s">
        <v>321</v>
      </c>
      <c r="D126" s="1" t="s">
        <v>308</v>
      </c>
      <c r="E126" s="127">
        <v>2.544</v>
      </c>
      <c r="F126" s="127">
        <v>2.6500567442748202</v>
      </c>
      <c r="G126" s="127">
        <f t="shared" si="55"/>
        <v>4.5041279130525647</v>
      </c>
      <c r="H126" s="127">
        <v>4.3099999999999996</v>
      </c>
      <c r="I126" s="127">
        <v>1209.8</v>
      </c>
      <c r="J126" s="127">
        <v>714.7</v>
      </c>
      <c r="K126" s="127">
        <v>1211</v>
      </c>
      <c r="L126" s="127">
        <v>62.56</v>
      </c>
      <c r="M126" s="127">
        <v>62.95</v>
      </c>
      <c r="N126" s="127">
        <v>62.91</v>
      </c>
      <c r="O126" s="127">
        <v>62.68</v>
      </c>
      <c r="P126" s="127">
        <v>62.774999999999999</v>
      </c>
      <c r="Q126" s="79">
        <v>14.79</v>
      </c>
      <c r="R126" s="79">
        <v>2.62</v>
      </c>
      <c r="S126" s="127">
        <f t="shared" si="56"/>
        <v>2.4376385250856338</v>
      </c>
      <c r="T126" s="127">
        <f t="shared" si="57"/>
        <v>2.4305693733628853</v>
      </c>
      <c r="U126" s="79">
        <f t="shared" si="58"/>
        <v>4.4587510470563974</v>
      </c>
      <c r="V126" s="127">
        <f t="shared" si="59"/>
        <v>12.235395019535858</v>
      </c>
      <c r="W126" s="127">
        <f t="shared" si="60"/>
        <v>63.558585236216281</v>
      </c>
      <c r="AC126" s="235">
        <v>161</v>
      </c>
      <c r="AD126" s="235">
        <v>91</v>
      </c>
      <c r="AE126" s="235">
        <v>44</v>
      </c>
      <c r="AF126" s="235">
        <v>15</v>
      </c>
    </row>
    <row r="127" spans="1:32" ht="14.4">
      <c r="A127" s="1" t="s">
        <v>83</v>
      </c>
      <c r="B127" s="276"/>
      <c r="C127" s="1" t="s">
        <v>321</v>
      </c>
      <c r="D127" s="1" t="s">
        <v>309</v>
      </c>
      <c r="E127" s="127">
        <v>2.544</v>
      </c>
      <c r="F127" s="127">
        <v>2.6500567442748202</v>
      </c>
      <c r="G127" s="127">
        <f t="shared" si="55"/>
        <v>4.5041279130525647</v>
      </c>
      <c r="H127" s="127">
        <v>4.3099999999999996</v>
      </c>
      <c r="I127" s="127">
        <v>1210.9000000000001</v>
      </c>
      <c r="J127" s="127">
        <v>713.1</v>
      </c>
      <c r="K127" s="127">
        <v>1214.4000000000001</v>
      </c>
      <c r="L127" s="127">
        <v>64.03</v>
      </c>
      <c r="M127" s="127">
        <v>64.260000000000005</v>
      </c>
      <c r="N127" s="127">
        <v>64.040000000000006</v>
      </c>
      <c r="O127" s="127">
        <v>64.150000000000006</v>
      </c>
      <c r="P127" s="127">
        <v>64.12</v>
      </c>
      <c r="Q127" s="79">
        <v>14.19</v>
      </c>
      <c r="R127" s="79">
        <v>2.0499999999999998</v>
      </c>
      <c r="S127" s="127">
        <f t="shared" si="56"/>
        <v>2.4155196489128263</v>
      </c>
      <c r="T127" s="127">
        <f t="shared" si="57"/>
        <v>2.4085146419309793</v>
      </c>
      <c r="U127" s="79">
        <f t="shared" si="58"/>
        <v>5.3256823140338305</v>
      </c>
      <c r="V127" s="127">
        <f t="shared" si="59"/>
        <v>13.031761835181754</v>
      </c>
      <c r="W127" s="127">
        <f t="shared" si="60"/>
        <v>59.133059816546648</v>
      </c>
      <c r="AC127" s="235">
        <v>161</v>
      </c>
      <c r="AD127" s="235">
        <v>91</v>
      </c>
      <c r="AE127" s="235">
        <v>44</v>
      </c>
      <c r="AF127" s="235">
        <v>15</v>
      </c>
    </row>
    <row r="128" spans="1:32" ht="14.4">
      <c r="A128" s="1" t="s">
        <v>83</v>
      </c>
      <c r="B128" s="276"/>
      <c r="C128" s="1" t="s">
        <v>321</v>
      </c>
      <c r="D128" s="1" t="s">
        <v>310</v>
      </c>
      <c r="E128" s="127">
        <v>2.544</v>
      </c>
      <c r="F128" s="127">
        <v>2.6500567442748202</v>
      </c>
      <c r="G128" s="127">
        <f t="shared" si="55"/>
        <v>4.5041279130525647</v>
      </c>
      <c r="H128" s="127">
        <v>4.3099999999999996</v>
      </c>
      <c r="I128" s="127">
        <v>1204.3</v>
      </c>
      <c r="J128" s="127">
        <v>711.2</v>
      </c>
      <c r="K128" s="127">
        <v>1213.0999999999999</v>
      </c>
      <c r="L128" s="127">
        <v>64.25</v>
      </c>
      <c r="M128" s="127">
        <v>64.260000000000005</v>
      </c>
      <c r="N128" s="127">
        <v>63.94</v>
      </c>
      <c r="O128" s="127">
        <v>64.45</v>
      </c>
      <c r="P128" s="127">
        <v>64.224999999999994</v>
      </c>
      <c r="Q128" s="79">
        <v>14.47</v>
      </c>
      <c r="R128" s="79">
        <v>1.96</v>
      </c>
      <c r="S128" s="127">
        <f t="shared" si="56"/>
        <v>2.399481968519626</v>
      </c>
      <c r="T128" s="127">
        <f t="shared" si="57"/>
        <v>2.3925234708109189</v>
      </c>
      <c r="U128" s="79">
        <f t="shared" si="58"/>
        <v>5.9542660844764566</v>
      </c>
      <c r="V128" s="127">
        <f t="shared" si="59"/>
        <v>13.609181608469399</v>
      </c>
      <c r="W128" s="127">
        <f t="shared" si="60"/>
        <v>56.248169391971821</v>
      </c>
      <c r="AC128" s="235">
        <v>161</v>
      </c>
      <c r="AD128" s="235">
        <v>91</v>
      </c>
      <c r="AE128" s="235">
        <v>44</v>
      </c>
      <c r="AF128" s="235">
        <v>15</v>
      </c>
    </row>
    <row r="129" spans="1:32" ht="14.4">
      <c r="A129" s="1" t="s">
        <v>83</v>
      </c>
      <c r="B129" s="276"/>
      <c r="C129" s="1" t="s">
        <v>321</v>
      </c>
      <c r="D129" s="1" t="s">
        <v>311</v>
      </c>
      <c r="E129" s="127">
        <v>2.544</v>
      </c>
      <c r="F129" s="127">
        <v>2.6500567442748202</v>
      </c>
      <c r="G129" s="127">
        <f t="shared" si="55"/>
        <v>4.5041279130525647</v>
      </c>
      <c r="H129" s="127">
        <v>4.3099999999999996</v>
      </c>
      <c r="I129" s="127">
        <v>1210.8</v>
      </c>
      <c r="J129" s="127">
        <v>705.8</v>
      </c>
      <c r="K129" s="127">
        <v>1207.2</v>
      </c>
      <c r="L129" s="127">
        <v>64.239999999999995</v>
      </c>
      <c r="M129" s="127">
        <v>64.239999999999995</v>
      </c>
      <c r="N129" s="127">
        <v>64.23</v>
      </c>
      <c r="O129" s="127">
        <v>64.099999999999994</v>
      </c>
      <c r="P129" s="127">
        <v>64.202500000000001</v>
      </c>
      <c r="Q129" s="79">
        <v>13.59</v>
      </c>
      <c r="R129" s="79">
        <v>2.66</v>
      </c>
      <c r="S129" s="127">
        <f t="shared" si="56"/>
        <v>2.4148384523334658</v>
      </c>
      <c r="T129" s="127">
        <f t="shared" si="57"/>
        <v>2.4078354208216988</v>
      </c>
      <c r="U129" s="79">
        <f t="shared" si="58"/>
        <v>5.3523812570086982</v>
      </c>
      <c r="V129" s="127">
        <f t="shared" si="59"/>
        <v>13.05628759980452</v>
      </c>
      <c r="W129" s="127">
        <f t="shared" si="60"/>
        <v>59.005335811622018</v>
      </c>
      <c r="AC129" s="235">
        <v>161</v>
      </c>
      <c r="AD129" s="235">
        <v>91</v>
      </c>
      <c r="AE129" s="235">
        <v>44</v>
      </c>
      <c r="AF129" s="235">
        <v>15</v>
      </c>
    </row>
    <row r="130" spans="1:32">
      <c r="A130" s="1" t="s">
        <v>84</v>
      </c>
      <c r="B130" s="280" t="s">
        <v>245</v>
      </c>
      <c r="C130" s="1" t="s">
        <v>306</v>
      </c>
      <c r="D130" s="1" t="s">
        <v>307</v>
      </c>
      <c r="E130" s="127">
        <v>2.593</v>
      </c>
      <c r="F130" s="127">
        <v>2.7399965490565998</v>
      </c>
      <c r="G130" s="127">
        <f t="shared" si="55"/>
        <v>4.1999999999999984</v>
      </c>
      <c r="H130" s="127">
        <v>4.0307101727447199</v>
      </c>
      <c r="I130" s="127">
        <v>1244.5999999999999</v>
      </c>
      <c r="J130" s="127">
        <v>753.1</v>
      </c>
      <c r="K130" s="127">
        <v>1247.3</v>
      </c>
      <c r="L130" s="127">
        <v>63.43</v>
      </c>
      <c r="M130" s="127">
        <v>63.71</v>
      </c>
      <c r="N130" s="127">
        <v>63.48</v>
      </c>
      <c r="O130" s="127">
        <v>63.48</v>
      </c>
      <c r="P130" s="127">
        <v>63.524999999999999</v>
      </c>
      <c r="Q130" s="79">
        <v>17.37</v>
      </c>
      <c r="R130" s="79">
        <v>3.06</v>
      </c>
      <c r="S130" s="127">
        <f t="shared" si="56"/>
        <v>2.5184135977337112</v>
      </c>
      <c r="T130" s="127">
        <f t="shared" si="57"/>
        <v>2.5111101983002833</v>
      </c>
      <c r="U130" s="79">
        <f t="shared" si="58"/>
        <v>3.1581103625035412</v>
      </c>
      <c r="V130" s="127">
        <f t="shared" si="59"/>
        <v>12.047530683266473</v>
      </c>
      <c r="W130" s="127">
        <f t="shared" si="60"/>
        <v>73.786243459084716</v>
      </c>
      <c r="X130" s="132">
        <f>AVERAGE(S130:S134)</f>
        <v>2.5273024675268672</v>
      </c>
      <c r="Y130" s="132">
        <f t="shared" ref="Y130" si="109">AVERAGE(T130:T134)</f>
        <v>2.519973290371039</v>
      </c>
      <c r="Z130" s="133">
        <f t="shared" ref="Z130" si="110">AVERAGE(U130:U134)</f>
        <v>2.8163019525245159</v>
      </c>
      <c r="AA130" s="132">
        <f t="shared" ref="AA130" si="111">AVERAGE(V130:V134)</f>
        <v>11.737097937649727</v>
      </c>
      <c r="AB130" s="132">
        <f t="shared" ref="AB130" si="112">AVERAGE(W130:W134)</f>
        <v>76.037276759971562</v>
      </c>
      <c r="AC130" s="235">
        <v>161</v>
      </c>
      <c r="AD130" s="235">
        <v>91</v>
      </c>
      <c r="AE130" s="235">
        <v>44</v>
      </c>
      <c r="AF130" s="235">
        <v>15</v>
      </c>
    </row>
    <row r="131" spans="1:32">
      <c r="A131" s="1" t="s">
        <v>84</v>
      </c>
      <c r="B131" s="276"/>
      <c r="C131" s="1" t="s">
        <v>306</v>
      </c>
      <c r="D131" s="1" t="s">
        <v>308</v>
      </c>
      <c r="E131" s="127">
        <v>2.593</v>
      </c>
      <c r="F131" s="127">
        <v>2.7399965490565998</v>
      </c>
      <c r="G131" s="127">
        <f t="shared" ref="G131:G194" si="113">100*H131/(100-H131)</f>
        <v>4.1999999999999984</v>
      </c>
      <c r="H131" s="127">
        <v>4.0307101727447199</v>
      </c>
      <c r="I131" s="127">
        <v>1243.2</v>
      </c>
      <c r="J131" s="127">
        <v>752</v>
      </c>
      <c r="K131" s="127">
        <v>1245.2</v>
      </c>
      <c r="L131" s="127">
        <v>63.44</v>
      </c>
      <c r="M131" s="127">
        <v>63.12</v>
      </c>
      <c r="N131" s="127">
        <v>63.26</v>
      </c>
      <c r="O131" s="127">
        <v>63.26</v>
      </c>
      <c r="P131" s="127">
        <v>63.27</v>
      </c>
      <c r="Q131" s="79">
        <v>16.489999999999998</v>
      </c>
      <c r="R131" s="79">
        <v>3.5</v>
      </c>
      <c r="S131" s="127">
        <f t="shared" ref="S131:S194" si="114">I131/(K131-J131)</f>
        <v>2.5206812652068127</v>
      </c>
      <c r="T131" s="127">
        <f t="shared" ref="T131:T194" si="115">0.9971*S131</f>
        <v>2.5133712895377127</v>
      </c>
      <c r="U131" s="79">
        <f t="shared" ref="U131:U194" si="116">100*(1-T131/E131)</f>
        <v>3.0709105461738218</v>
      </c>
      <c r="V131" s="127">
        <f t="shared" ref="V131:V194" si="117">100-T131*(100-H131)/F131</f>
        <v>11.968335211153388</v>
      </c>
      <c r="W131" s="127">
        <f t="shared" ref="W131:W194" si="118">100*(V131-U131)/V131</f>
        <v>74.341372530140902</v>
      </c>
      <c r="AC131" s="235">
        <v>161</v>
      </c>
      <c r="AD131" s="235">
        <v>91</v>
      </c>
      <c r="AE131" s="235">
        <v>44</v>
      </c>
      <c r="AF131" s="235">
        <v>15</v>
      </c>
    </row>
    <row r="132" spans="1:32">
      <c r="A132" s="1" t="s">
        <v>84</v>
      </c>
      <c r="B132" s="276"/>
      <c r="C132" s="1" t="s">
        <v>306</v>
      </c>
      <c r="D132" s="1" t="s">
        <v>309</v>
      </c>
      <c r="E132" s="127">
        <v>2.593</v>
      </c>
      <c r="F132" s="127">
        <v>2.7399965490565998</v>
      </c>
      <c r="G132" s="127">
        <f t="shared" si="113"/>
        <v>4.1999999999999984</v>
      </c>
      <c r="H132" s="127">
        <v>4.0307101727447199</v>
      </c>
      <c r="I132" s="127">
        <v>1240.5999999999999</v>
      </c>
      <c r="J132" s="127">
        <v>753</v>
      </c>
      <c r="K132" s="127">
        <v>1242.7</v>
      </c>
      <c r="L132" s="127">
        <v>62.51</v>
      </c>
      <c r="M132" s="127">
        <v>62.54</v>
      </c>
      <c r="N132" s="127">
        <v>62.68</v>
      </c>
      <c r="O132" s="127">
        <v>62.35</v>
      </c>
      <c r="P132" s="127">
        <v>62.52</v>
      </c>
      <c r="Q132" s="79">
        <v>16.29</v>
      </c>
      <c r="R132" s="79">
        <v>2.96</v>
      </c>
      <c r="S132" s="127">
        <f t="shared" si="114"/>
        <v>2.5333877884419027</v>
      </c>
      <c r="T132" s="127">
        <f t="shared" si="115"/>
        <v>2.5260409638554213</v>
      </c>
      <c r="U132" s="79">
        <f t="shared" si="116"/>
        <v>2.5822998898796246</v>
      </c>
      <c r="V132" s="127">
        <f t="shared" si="117"/>
        <v>11.524575657137987</v>
      </c>
      <c r="W132" s="127">
        <f t="shared" si="118"/>
        <v>77.593102195652435</v>
      </c>
      <c r="AC132" s="235">
        <v>161</v>
      </c>
      <c r="AD132" s="235">
        <v>91</v>
      </c>
      <c r="AE132" s="235">
        <v>44</v>
      </c>
      <c r="AF132" s="235">
        <v>15</v>
      </c>
    </row>
    <row r="133" spans="1:32">
      <c r="A133" s="1" t="s">
        <v>84</v>
      </c>
      <c r="B133" s="276"/>
      <c r="C133" s="1" t="s">
        <v>306</v>
      </c>
      <c r="D133" s="1" t="s">
        <v>310</v>
      </c>
      <c r="E133" s="127">
        <v>2.593</v>
      </c>
      <c r="F133" s="127">
        <v>2.7399965490565998</v>
      </c>
      <c r="G133" s="127">
        <f t="shared" si="113"/>
        <v>4.1999999999999984</v>
      </c>
      <c r="H133" s="127">
        <v>4.0307101727447199</v>
      </c>
      <c r="I133" s="127">
        <v>1237.5999999999999</v>
      </c>
      <c r="J133" s="127">
        <v>751.7</v>
      </c>
      <c r="K133" s="127">
        <v>1240.0999999999999</v>
      </c>
      <c r="L133" s="127">
        <v>62.01</v>
      </c>
      <c r="M133" s="127">
        <v>62.34</v>
      </c>
      <c r="N133" s="127">
        <v>62.54</v>
      </c>
      <c r="O133" s="127">
        <v>62.28</v>
      </c>
      <c r="P133" s="127">
        <v>62.292499999999997</v>
      </c>
      <c r="Q133" s="79">
        <v>16.12</v>
      </c>
      <c r="R133" s="79">
        <v>2.02</v>
      </c>
      <c r="S133" s="127">
        <f t="shared" si="114"/>
        <v>2.5339885339885346</v>
      </c>
      <c r="T133" s="127">
        <f t="shared" si="115"/>
        <v>2.526639967239968</v>
      </c>
      <c r="U133" s="79">
        <f t="shared" si="116"/>
        <v>2.5591991037420714</v>
      </c>
      <c r="V133" s="127">
        <f t="shared" si="117"/>
        <v>11.50359536450263</v>
      </c>
      <c r="W133" s="127">
        <f t="shared" si="118"/>
        <v>77.753050045213229</v>
      </c>
      <c r="AC133" s="235">
        <v>161</v>
      </c>
      <c r="AD133" s="235">
        <v>91</v>
      </c>
      <c r="AE133" s="235">
        <v>44</v>
      </c>
      <c r="AF133" s="235">
        <v>15</v>
      </c>
    </row>
    <row r="134" spans="1:32">
      <c r="A134" s="1" t="s">
        <v>84</v>
      </c>
      <c r="B134" s="276"/>
      <c r="C134" s="1" t="s">
        <v>306</v>
      </c>
      <c r="D134" s="1" t="s">
        <v>311</v>
      </c>
      <c r="E134" s="127">
        <v>2.593</v>
      </c>
      <c r="F134" s="127">
        <v>2.7399965490565998</v>
      </c>
      <c r="G134" s="127">
        <f t="shared" si="113"/>
        <v>4.1999999999999984</v>
      </c>
      <c r="H134" s="127">
        <v>4.0307101727447199</v>
      </c>
      <c r="I134" s="127">
        <v>1229.5999999999999</v>
      </c>
      <c r="J134" s="127">
        <v>746.6</v>
      </c>
      <c r="K134" s="127">
        <v>1232.5999999999999</v>
      </c>
      <c r="L134" s="127">
        <v>61.3</v>
      </c>
      <c r="M134" s="127">
        <v>60.88</v>
      </c>
      <c r="N134" s="127">
        <v>60.92</v>
      </c>
      <c r="O134" s="127">
        <v>61.53</v>
      </c>
      <c r="P134" s="127">
        <v>61.157499999999999</v>
      </c>
      <c r="Q134" s="79">
        <v>15.77</v>
      </c>
      <c r="R134" s="79">
        <v>2.99</v>
      </c>
      <c r="S134" s="127">
        <f t="shared" si="114"/>
        <v>2.530041152263375</v>
      </c>
      <c r="T134" s="127">
        <f t="shared" si="115"/>
        <v>2.5227040329218111</v>
      </c>
      <c r="U134" s="79">
        <f t="shared" si="116"/>
        <v>2.7109898603235205</v>
      </c>
      <c r="V134" s="127">
        <f t="shared" si="117"/>
        <v>11.64145277218816</v>
      </c>
      <c r="W134" s="127">
        <f t="shared" si="118"/>
        <v>76.712615569766598</v>
      </c>
      <c r="AC134" s="235">
        <v>161</v>
      </c>
      <c r="AD134" s="235">
        <v>91</v>
      </c>
      <c r="AE134" s="235">
        <v>44</v>
      </c>
      <c r="AF134" s="235">
        <v>15</v>
      </c>
    </row>
    <row r="135" spans="1:32">
      <c r="A135" s="1" t="s">
        <v>84</v>
      </c>
      <c r="B135" s="276"/>
      <c r="C135" s="1" t="s">
        <v>312</v>
      </c>
      <c r="D135" s="1" t="s">
        <v>307</v>
      </c>
      <c r="E135" s="127">
        <v>2.6032029721603598</v>
      </c>
      <c r="F135" s="127">
        <v>2.7399965490565998</v>
      </c>
      <c r="G135" s="127">
        <f t="shared" si="113"/>
        <v>4.0041601664066562</v>
      </c>
      <c r="H135" s="127">
        <v>3.85</v>
      </c>
      <c r="I135" s="127">
        <v>1236.7</v>
      </c>
      <c r="J135" s="127">
        <v>747.6</v>
      </c>
      <c r="K135" s="127">
        <v>1238.5</v>
      </c>
      <c r="L135" s="127">
        <v>63.36</v>
      </c>
      <c r="M135" s="127">
        <v>63.11</v>
      </c>
      <c r="N135" s="127">
        <v>63.05</v>
      </c>
      <c r="O135" s="127">
        <v>63.2</v>
      </c>
      <c r="P135" s="127">
        <v>63.18</v>
      </c>
      <c r="Q135" s="79">
        <v>16.88</v>
      </c>
      <c r="R135" s="79">
        <v>2.25</v>
      </c>
      <c r="S135" s="127">
        <f t="shared" si="114"/>
        <v>2.5192503564880835</v>
      </c>
      <c r="T135" s="127">
        <f t="shared" si="115"/>
        <v>2.5119445304542678</v>
      </c>
      <c r="U135" s="79">
        <f t="shared" si="116"/>
        <v>3.5056214471957947</v>
      </c>
      <c r="V135" s="127">
        <f t="shared" si="117"/>
        <v>11.852638396082611</v>
      </c>
      <c r="W135" s="127">
        <f t="shared" si="118"/>
        <v>70.423281888406976</v>
      </c>
      <c r="X135" s="132">
        <f>AVERAGE(S135:S139)</f>
        <v>2.5114269092939616</v>
      </c>
      <c r="Y135" s="132">
        <f t="shared" ref="Y135" si="119">AVERAGE(T135:T139)</f>
        <v>2.5041437712570089</v>
      </c>
      <c r="Z135" s="133">
        <f t="shared" ref="Z135" si="120">AVERAGE(U135:U139)</f>
        <v>3.8052814921743527</v>
      </c>
      <c r="AA135" s="132">
        <f t="shared" ref="AA135" si="121">AVERAGE(V135:V139)</f>
        <v>12.126377060853812</v>
      </c>
      <c r="AB135" s="132">
        <f t="shared" ref="AB135" si="122">AVERAGE(W135:W139)</f>
        <v>68.63673418378346</v>
      </c>
      <c r="AC135" s="235">
        <v>161</v>
      </c>
      <c r="AD135" s="235">
        <v>91</v>
      </c>
      <c r="AE135" s="235">
        <v>44</v>
      </c>
      <c r="AF135" s="235">
        <v>15</v>
      </c>
    </row>
    <row r="136" spans="1:32">
      <c r="A136" s="1" t="s">
        <v>84</v>
      </c>
      <c r="B136" s="276"/>
      <c r="C136" s="1" t="s">
        <v>312</v>
      </c>
      <c r="D136" s="1" t="s">
        <v>308</v>
      </c>
      <c r="E136" s="127">
        <v>2.6032029721603598</v>
      </c>
      <c r="F136" s="127">
        <v>2.7399965490565998</v>
      </c>
      <c r="G136" s="127">
        <f t="shared" si="113"/>
        <v>4.0041601664066562</v>
      </c>
      <c r="H136" s="127">
        <v>3.85</v>
      </c>
      <c r="I136" s="127">
        <v>1241.0999999999999</v>
      </c>
      <c r="J136" s="127">
        <v>749.1</v>
      </c>
      <c r="K136" s="127">
        <v>1243</v>
      </c>
      <c r="L136" s="127">
        <v>63.34</v>
      </c>
      <c r="M136" s="127">
        <v>63.34</v>
      </c>
      <c r="N136" s="127">
        <v>63.44</v>
      </c>
      <c r="O136" s="127">
        <v>63.55</v>
      </c>
      <c r="P136" s="127">
        <v>63.417499999999997</v>
      </c>
      <c r="Q136" s="79">
        <v>14.94</v>
      </c>
      <c r="R136" s="79">
        <v>2.9</v>
      </c>
      <c r="S136" s="127">
        <f t="shared" si="114"/>
        <v>2.5128568536140921</v>
      </c>
      <c r="T136" s="127">
        <f t="shared" si="115"/>
        <v>2.5055695687386113</v>
      </c>
      <c r="U136" s="79">
        <f t="shared" si="116"/>
        <v>3.750510600436352</v>
      </c>
      <c r="V136" s="127">
        <f t="shared" si="117"/>
        <v>12.076343994971566</v>
      </c>
      <c r="W136" s="127">
        <f t="shared" si="118"/>
        <v>68.943327533581225</v>
      </c>
      <c r="AC136" s="235">
        <v>161</v>
      </c>
      <c r="AD136" s="235">
        <v>91</v>
      </c>
      <c r="AE136" s="235">
        <v>44</v>
      </c>
      <c r="AF136" s="235">
        <v>15</v>
      </c>
    </row>
    <row r="137" spans="1:32">
      <c r="A137" s="1" t="s">
        <v>84</v>
      </c>
      <c r="B137" s="276"/>
      <c r="C137" s="1" t="s">
        <v>312</v>
      </c>
      <c r="D137" s="1" t="s">
        <v>309</v>
      </c>
      <c r="E137" s="127">
        <v>2.6032029721603598</v>
      </c>
      <c r="F137" s="127">
        <v>2.7399965490565998</v>
      </c>
      <c r="G137" s="127">
        <f t="shared" si="113"/>
        <v>4.0041601664066562</v>
      </c>
      <c r="H137" s="127">
        <v>3.85</v>
      </c>
      <c r="I137" s="127">
        <v>1240</v>
      </c>
      <c r="J137" s="127">
        <v>748.2</v>
      </c>
      <c r="K137" s="127">
        <v>1242.5</v>
      </c>
      <c r="L137" s="127">
        <v>63.03</v>
      </c>
      <c r="M137" s="127">
        <v>63.03</v>
      </c>
      <c r="N137" s="127">
        <v>63.24</v>
      </c>
      <c r="O137" s="127">
        <v>63.2</v>
      </c>
      <c r="P137" s="127">
        <v>63.125</v>
      </c>
      <c r="Q137" s="79">
        <v>16.18</v>
      </c>
      <c r="R137" s="79">
        <v>2.04</v>
      </c>
      <c r="S137" s="127">
        <f t="shared" si="114"/>
        <v>2.5085980173983415</v>
      </c>
      <c r="T137" s="127">
        <f t="shared" si="115"/>
        <v>2.5013230831478861</v>
      </c>
      <c r="U137" s="79">
        <f t="shared" si="116"/>
        <v>3.9136360130967884</v>
      </c>
      <c r="V137" s="127">
        <f t="shared" si="117"/>
        <v>12.225358631391032</v>
      </c>
      <c r="W137" s="127">
        <f t="shared" si="118"/>
        <v>67.987556593654844</v>
      </c>
      <c r="AC137" s="235">
        <v>161</v>
      </c>
      <c r="AD137" s="235">
        <v>91</v>
      </c>
      <c r="AE137" s="235">
        <v>44</v>
      </c>
      <c r="AF137" s="235">
        <v>15</v>
      </c>
    </row>
    <row r="138" spans="1:32">
      <c r="A138" s="1" t="s">
        <v>84</v>
      </c>
      <c r="B138" s="276"/>
      <c r="C138" s="1" t="s">
        <v>312</v>
      </c>
      <c r="D138" s="1" t="s">
        <v>310</v>
      </c>
      <c r="E138" s="127">
        <v>2.6032029721603598</v>
      </c>
      <c r="F138" s="127">
        <v>2.7399965490565998</v>
      </c>
      <c r="G138" s="127">
        <f t="shared" si="113"/>
        <v>4.0041601664066562</v>
      </c>
      <c r="H138" s="127">
        <v>3.85</v>
      </c>
      <c r="I138" s="127">
        <v>1237.9000000000001</v>
      </c>
      <c r="J138" s="127">
        <v>746.7</v>
      </c>
      <c r="K138" s="127">
        <v>1241.0999999999999</v>
      </c>
      <c r="L138" s="127">
        <v>64.36</v>
      </c>
      <c r="M138" s="127">
        <v>63.9</v>
      </c>
      <c r="N138" s="127">
        <v>64.069999999999993</v>
      </c>
      <c r="O138" s="127">
        <v>64.12</v>
      </c>
      <c r="P138" s="127">
        <v>64.112499999999997</v>
      </c>
      <c r="Q138" s="79">
        <v>16.8</v>
      </c>
      <c r="R138" s="79">
        <v>2.34</v>
      </c>
      <c r="S138" s="127">
        <f t="shared" si="114"/>
        <v>2.5038430420711983</v>
      </c>
      <c r="T138" s="127">
        <f t="shared" si="115"/>
        <v>2.4965818972491918</v>
      </c>
      <c r="U138" s="79">
        <f t="shared" si="116"/>
        <v>4.0957649500025228</v>
      </c>
      <c r="V138" s="127">
        <f t="shared" si="117"/>
        <v>12.391732937342766</v>
      </c>
      <c r="W138" s="127">
        <f t="shared" si="118"/>
        <v>66.947601512135222</v>
      </c>
      <c r="AC138" s="235">
        <v>161</v>
      </c>
      <c r="AD138" s="235">
        <v>91</v>
      </c>
      <c r="AE138" s="235">
        <v>44</v>
      </c>
      <c r="AF138" s="235">
        <v>15</v>
      </c>
    </row>
    <row r="139" spans="1:32">
      <c r="A139" s="1" t="s">
        <v>84</v>
      </c>
      <c r="B139" s="276"/>
      <c r="C139" s="1" t="s">
        <v>312</v>
      </c>
      <c r="D139" s="1" t="s">
        <v>311</v>
      </c>
      <c r="E139" s="127">
        <v>2.6032029721603598</v>
      </c>
      <c r="F139" s="127">
        <v>2.7399965490565998</v>
      </c>
      <c r="G139" s="127">
        <f t="shared" si="113"/>
        <v>4.0041601664066562</v>
      </c>
      <c r="H139" s="127">
        <v>3.85</v>
      </c>
      <c r="I139" s="127">
        <v>1237.7</v>
      </c>
      <c r="J139" s="127">
        <v>747.7</v>
      </c>
      <c r="K139" s="127">
        <v>1240.3</v>
      </c>
      <c r="L139" s="127">
        <v>63.68</v>
      </c>
      <c r="M139" s="127">
        <v>63.53</v>
      </c>
      <c r="N139" s="127">
        <v>63.71</v>
      </c>
      <c r="O139" s="127">
        <v>63.81</v>
      </c>
      <c r="P139" s="127">
        <v>63.682499999999997</v>
      </c>
      <c r="Q139" s="79">
        <v>16.7</v>
      </c>
      <c r="R139" s="79">
        <v>2.4</v>
      </c>
      <c r="S139" s="127">
        <f t="shared" si="114"/>
        <v>2.5125862768980922</v>
      </c>
      <c r="T139" s="127">
        <f t="shared" si="115"/>
        <v>2.5052997766950877</v>
      </c>
      <c r="U139" s="79">
        <f t="shared" si="116"/>
        <v>3.7608744501403057</v>
      </c>
      <c r="V139" s="127">
        <f t="shared" si="117"/>
        <v>12.085811344481087</v>
      </c>
      <c r="W139" s="127">
        <f t="shared" si="118"/>
        <v>68.881903391139005</v>
      </c>
      <c r="AC139" s="235">
        <v>161</v>
      </c>
      <c r="AD139" s="235">
        <v>91</v>
      </c>
      <c r="AE139" s="235">
        <v>44</v>
      </c>
      <c r="AF139" s="235">
        <v>15</v>
      </c>
    </row>
    <row r="140" spans="1:32">
      <c r="A140" s="1" t="s">
        <v>84</v>
      </c>
      <c r="B140" s="280" t="s">
        <v>246</v>
      </c>
      <c r="C140" s="1" t="s">
        <v>304</v>
      </c>
      <c r="D140" s="1" t="s">
        <v>307</v>
      </c>
      <c r="E140" s="127">
        <v>2.6059999999999999</v>
      </c>
      <c r="F140" s="127">
        <v>2.7399965490565998</v>
      </c>
      <c r="G140" s="127">
        <f t="shared" si="113"/>
        <v>4.1999999999999984</v>
      </c>
      <c r="H140" s="127">
        <v>4.0307101727447199</v>
      </c>
      <c r="I140" s="127">
        <v>1217.5999999999999</v>
      </c>
      <c r="J140" s="127">
        <v>734.1</v>
      </c>
      <c r="K140" s="127">
        <v>1219.5</v>
      </c>
      <c r="L140" s="127">
        <v>63.75</v>
      </c>
      <c r="M140" s="127">
        <v>63.67</v>
      </c>
      <c r="N140" s="127">
        <v>63.5</v>
      </c>
      <c r="O140" s="127">
        <v>64.13</v>
      </c>
      <c r="P140" s="127">
        <v>63.762500000000003</v>
      </c>
      <c r="Q140" s="79">
        <v>15.55</v>
      </c>
      <c r="R140" s="79">
        <v>2.23</v>
      </c>
      <c r="S140" s="127">
        <f t="shared" si="114"/>
        <v>2.5084466419447877</v>
      </c>
      <c r="T140" s="127">
        <f t="shared" si="115"/>
        <v>2.5011721466831478</v>
      </c>
      <c r="U140" s="79">
        <f t="shared" si="116"/>
        <v>4.0225576867556452</v>
      </c>
      <c r="V140" s="127">
        <f t="shared" si="117"/>
        <v>12.395614244280978</v>
      </c>
      <c r="W140" s="127">
        <f t="shared" si="118"/>
        <v>67.548540899362436</v>
      </c>
      <c r="X140" s="132">
        <f>AVERAGE(S140:S144)</f>
        <v>2.4966713637616555</v>
      </c>
      <c r="Y140" s="132">
        <f t="shared" ref="Y140" si="123">AVERAGE(T140:T144)</f>
        <v>2.4894310168067468</v>
      </c>
      <c r="Z140" s="133">
        <f t="shared" ref="Z140" si="124">AVERAGE(U140:U144)</f>
        <v>4.4730998922967418</v>
      </c>
      <c r="AA140" s="132">
        <f t="shared" ref="AA140" si="125">AVERAGE(V140:V144)</f>
        <v>12.806851220617949</v>
      </c>
      <c r="AB140" s="132">
        <f t="shared" ref="AB140" si="126">AVERAGE(W140:W144)</f>
        <v>65.099693162446698</v>
      </c>
      <c r="AC140" s="235">
        <v>144</v>
      </c>
      <c r="AD140" s="235">
        <v>107.8</v>
      </c>
      <c r="AE140" s="235">
        <v>43.95</v>
      </c>
      <c r="AF140" s="235">
        <v>60.3</v>
      </c>
    </row>
    <row r="141" spans="1:32">
      <c r="A141" s="1" t="s">
        <v>84</v>
      </c>
      <c r="B141" s="276"/>
      <c r="C141" s="1" t="s">
        <v>304</v>
      </c>
      <c r="D141" s="1" t="s">
        <v>308</v>
      </c>
      <c r="E141" s="127">
        <v>2.6059999999999999</v>
      </c>
      <c r="F141" s="127">
        <v>2.7399965490565998</v>
      </c>
      <c r="G141" s="127">
        <f t="shared" si="113"/>
        <v>4.1999999999999984</v>
      </c>
      <c r="H141" s="127">
        <v>4.0307101727447199</v>
      </c>
      <c r="I141" s="127">
        <v>1233.8</v>
      </c>
      <c r="J141" s="127">
        <v>741.2</v>
      </c>
      <c r="K141" s="127">
        <v>1236.7</v>
      </c>
      <c r="L141" s="127">
        <v>63.05</v>
      </c>
      <c r="M141" s="127">
        <v>62.75</v>
      </c>
      <c r="N141" s="127">
        <v>62.28</v>
      </c>
      <c r="O141" s="127">
        <v>62.75</v>
      </c>
      <c r="P141" s="127">
        <v>62.707500000000003</v>
      </c>
      <c r="Q141" s="79">
        <v>15.82</v>
      </c>
      <c r="R141" s="79">
        <v>2.11</v>
      </c>
      <c r="S141" s="127">
        <f t="shared" si="114"/>
        <v>2.4900100908173561</v>
      </c>
      <c r="T141" s="127">
        <f t="shared" si="115"/>
        <v>2.4827890615539858</v>
      </c>
      <c r="U141" s="79">
        <f t="shared" si="116"/>
        <v>4.7279715443597103</v>
      </c>
      <c r="V141" s="127">
        <f t="shared" si="117"/>
        <v>13.039487910942015</v>
      </c>
      <c r="W141" s="127">
        <f t="shared" si="118"/>
        <v>63.741125597484086</v>
      </c>
      <c r="AC141" s="235">
        <v>144</v>
      </c>
      <c r="AD141" s="235">
        <v>107.8</v>
      </c>
      <c r="AE141" s="235">
        <v>43.95</v>
      </c>
      <c r="AF141" s="235">
        <v>60.3</v>
      </c>
    </row>
    <row r="142" spans="1:32">
      <c r="A142" s="1" t="s">
        <v>84</v>
      </c>
      <c r="B142" s="276"/>
      <c r="C142" s="1" t="s">
        <v>304</v>
      </c>
      <c r="D142" s="1" t="s">
        <v>309</v>
      </c>
      <c r="E142" s="127">
        <v>2.6059999999999999</v>
      </c>
      <c r="F142" s="127">
        <v>2.7399965490565998</v>
      </c>
      <c r="G142" s="127">
        <f t="shared" si="113"/>
        <v>4.1999999999999984</v>
      </c>
      <c r="H142" s="127">
        <v>4.0307101727447199</v>
      </c>
      <c r="I142" s="127">
        <v>1236.0999999999999</v>
      </c>
      <c r="J142" s="127">
        <v>744.2</v>
      </c>
      <c r="K142" s="127">
        <v>1238.5999999999999</v>
      </c>
      <c r="L142" s="127">
        <v>63.09</v>
      </c>
      <c r="M142" s="127">
        <v>63.04</v>
      </c>
      <c r="N142" s="127">
        <v>63.01</v>
      </c>
      <c r="O142" s="127">
        <v>62.94</v>
      </c>
      <c r="P142" s="127">
        <v>63.02</v>
      </c>
      <c r="Q142" s="79">
        <v>15.23</v>
      </c>
      <c r="R142" s="79">
        <v>2.85</v>
      </c>
      <c r="S142" s="127">
        <f t="shared" si="114"/>
        <v>2.5002022653721689</v>
      </c>
      <c r="T142" s="127">
        <f t="shared" si="115"/>
        <v>2.4929516788025898</v>
      </c>
      <c r="U142" s="79">
        <f t="shared" si="116"/>
        <v>4.338001580867612</v>
      </c>
      <c r="V142" s="127">
        <f t="shared" si="117"/>
        <v>12.683538864046113</v>
      </c>
      <c r="W142" s="127">
        <f t="shared" si="118"/>
        <v>65.798176460321358</v>
      </c>
      <c r="AC142" s="235">
        <v>144</v>
      </c>
      <c r="AD142" s="235">
        <v>107.8</v>
      </c>
      <c r="AE142" s="235">
        <v>43.95</v>
      </c>
      <c r="AF142" s="235">
        <v>60.3</v>
      </c>
    </row>
    <row r="143" spans="1:32">
      <c r="A143" s="1" t="s">
        <v>84</v>
      </c>
      <c r="B143" s="276"/>
      <c r="C143" s="1" t="s">
        <v>304</v>
      </c>
      <c r="D143" s="1" t="s">
        <v>310</v>
      </c>
      <c r="E143" s="127">
        <v>2.6059999999999999</v>
      </c>
      <c r="F143" s="127">
        <v>2.7399965490565998</v>
      </c>
      <c r="G143" s="127">
        <f t="shared" si="113"/>
        <v>4.1999999999999984</v>
      </c>
      <c r="H143" s="127">
        <v>4.0307101727447199</v>
      </c>
      <c r="I143" s="127">
        <v>1235.7</v>
      </c>
      <c r="J143" s="127">
        <v>743.4</v>
      </c>
      <c r="K143" s="127">
        <v>1238.8</v>
      </c>
      <c r="L143" s="127">
        <v>63.19</v>
      </c>
      <c r="M143" s="127">
        <v>63.5</v>
      </c>
      <c r="N143" s="127">
        <v>63.14</v>
      </c>
      <c r="O143" s="127">
        <v>63.38</v>
      </c>
      <c r="P143" s="127">
        <v>63.302500000000002</v>
      </c>
      <c r="Q143" s="79">
        <v>15.72</v>
      </c>
      <c r="R143" s="79">
        <v>2.94</v>
      </c>
      <c r="S143" s="127">
        <f t="shared" si="114"/>
        <v>2.4943480016148567</v>
      </c>
      <c r="T143" s="127">
        <f t="shared" si="115"/>
        <v>2.4871143924101737</v>
      </c>
      <c r="U143" s="79">
        <f t="shared" si="116"/>
        <v>4.5619956864860427</v>
      </c>
      <c r="V143" s="127">
        <f t="shared" si="117"/>
        <v>12.887991760087658</v>
      </c>
      <c r="W143" s="127">
        <f t="shared" si="118"/>
        <v>64.602742060916611</v>
      </c>
      <c r="AC143" s="235">
        <v>144</v>
      </c>
      <c r="AD143" s="235">
        <v>107.8</v>
      </c>
      <c r="AE143" s="235">
        <v>43.95</v>
      </c>
      <c r="AF143" s="235">
        <v>60.3</v>
      </c>
    </row>
    <row r="144" spans="1:32">
      <c r="A144" s="1" t="s">
        <v>84</v>
      </c>
      <c r="B144" s="276"/>
      <c r="C144" s="1" t="s">
        <v>304</v>
      </c>
      <c r="D144" s="1" t="s">
        <v>311</v>
      </c>
      <c r="E144" s="127">
        <v>2.6059999999999999</v>
      </c>
      <c r="F144" s="127">
        <v>2.7399965490565998</v>
      </c>
      <c r="G144" s="127">
        <f t="shared" si="113"/>
        <v>4.1999999999999984</v>
      </c>
      <c r="H144" s="127">
        <v>4.0307101727447199</v>
      </c>
      <c r="I144" s="127">
        <v>1238.7</v>
      </c>
      <c r="J144" s="127">
        <v>743.7</v>
      </c>
      <c r="K144" s="127">
        <v>1241.0999999999999</v>
      </c>
      <c r="L144" s="127">
        <v>63.43</v>
      </c>
      <c r="M144" s="127">
        <v>62.96</v>
      </c>
      <c r="N144" s="127">
        <v>63.42</v>
      </c>
      <c r="O144" s="127">
        <v>63.09</v>
      </c>
      <c r="P144" s="127">
        <v>63.225000000000001</v>
      </c>
      <c r="Q144" s="79">
        <v>15.37</v>
      </c>
      <c r="R144" s="79">
        <v>2.84</v>
      </c>
      <c r="S144" s="127">
        <f t="shared" si="114"/>
        <v>2.4903498190591082</v>
      </c>
      <c r="T144" s="127">
        <f t="shared" si="115"/>
        <v>2.483127804583837</v>
      </c>
      <c r="U144" s="79">
        <f t="shared" si="116"/>
        <v>4.7149729630146968</v>
      </c>
      <c r="V144" s="127">
        <f t="shared" si="117"/>
        <v>13.027623323732982</v>
      </c>
      <c r="W144" s="127">
        <f t="shared" si="118"/>
        <v>63.807880794148936</v>
      </c>
      <c r="AC144" s="235">
        <v>144</v>
      </c>
      <c r="AD144" s="235">
        <v>107.8</v>
      </c>
      <c r="AE144" s="235">
        <v>43.95</v>
      </c>
      <c r="AF144" s="235">
        <v>60.3</v>
      </c>
    </row>
    <row r="145" spans="1:32">
      <c r="A145" s="1" t="s">
        <v>84</v>
      </c>
      <c r="B145" s="280" t="s">
        <v>247</v>
      </c>
      <c r="C145" s="1" t="s">
        <v>305</v>
      </c>
      <c r="D145" s="1" t="s">
        <v>307</v>
      </c>
      <c r="E145" s="127">
        <v>2.5907495366142501</v>
      </c>
      <c r="F145" s="127">
        <v>2.7399965490565998</v>
      </c>
      <c r="G145" s="127">
        <f t="shared" si="113"/>
        <v>4.1999999999999984</v>
      </c>
      <c r="H145" s="127">
        <v>4.0307101727447199</v>
      </c>
      <c r="I145" s="127">
        <v>1217.5999999999999</v>
      </c>
      <c r="J145" s="127">
        <v>734.1</v>
      </c>
      <c r="K145" s="127">
        <v>1219.5</v>
      </c>
      <c r="L145" s="127">
        <v>62</v>
      </c>
      <c r="M145" s="127">
        <v>61.91</v>
      </c>
      <c r="N145" s="127">
        <v>61.75</v>
      </c>
      <c r="O145" s="127">
        <v>61.69</v>
      </c>
      <c r="P145" s="127">
        <v>61.837499999999999</v>
      </c>
      <c r="Q145" s="79">
        <v>15.01</v>
      </c>
      <c r="R145" s="79">
        <v>2.2000000000000002</v>
      </c>
      <c r="S145" s="127">
        <f t="shared" si="114"/>
        <v>2.5084466419447877</v>
      </c>
      <c r="T145" s="127">
        <f t="shared" si="115"/>
        <v>2.5011721466831478</v>
      </c>
      <c r="U145" s="79">
        <f t="shared" si="116"/>
        <v>3.45758587100502</v>
      </c>
      <c r="V145" s="127">
        <f t="shared" si="117"/>
        <v>12.395614244280978</v>
      </c>
      <c r="W145" s="127">
        <f t="shared" si="118"/>
        <v>72.106377280978535</v>
      </c>
      <c r="X145" s="132">
        <f>AVERAGE(S145:S149)</f>
        <v>2.4966713637616555</v>
      </c>
      <c r="Y145" s="132">
        <f t="shared" ref="Y145" si="127">AVERAGE(T145:T149)</f>
        <v>2.4894310168067468</v>
      </c>
      <c r="Z145" s="133">
        <f t="shared" ref="Z145" si="128">AVERAGE(U145:U149)</f>
        <v>3.9107801960629729</v>
      </c>
      <c r="AA145" s="132">
        <f t="shared" ref="AA145" si="129">AVERAGE(V145:V149)</f>
        <v>12.806851220617949</v>
      </c>
      <c r="AB145" s="132">
        <f t="shared" ref="AB145" si="130">AVERAGE(W145:W149)</f>
        <v>69.492293594333191</v>
      </c>
      <c r="AC145" s="235">
        <v>111</v>
      </c>
      <c r="AD145" s="235">
        <v>124</v>
      </c>
      <c r="AE145" s="235">
        <v>41.5</v>
      </c>
      <c r="AF145" s="235">
        <v>56</v>
      </c>
    </row>
    <row r="146" spans="1:32">
      <c r="A146" s="1" t="s">
        <v>84</v>
      </c>
      <c r="B146" s="276"/>
      <c r="C146" s="1" t="s">
        <v>305</v>
      </c>
      <c r="D146" s="1" t="s">
        <v>308</v>
      </c>
      <c r="E146" s="127">
        <v>2.5907495366142501</v>
      </c>
      <c r="F146" s="127">
        <v>2.7399965490565998</v>
      </c>
      <c r="G146" s="127">
        <f t="shared" si="113"/>
        <v>4.1999999999999984</v>
      </c>
      <c r="H146" s="127">
        <v>4.0307101727447199</v>
      </c>
      <c r="I146" s="127">
        <v>1233.8</v>
      </c>
      <c r="J146" s="127">
        <v>741.2</v>
      </c>
      <c r="K146" s="127">
        <v>1236.7</v>
      </c>
      <c r="L146" s="127">
        <v>62.81</v>
      </c>
      <c r="M146" s="127">
        <v>63.26</v>
      </c>
      <c r="N146" s="127">
        <v>62.98</v>
      </c>
      <c r="O146" s="127">
        <v>63.1</v>
      </c>
      <c r="P146" s="127">
        <v>63.037500000000001</v>
      </c>
      <c r="Q146" s="79">
        <v>14.96</v>
      </c>
      <c r="R146" s="79">
        <v>2.2999999999999998</v>
      </c>
      <c r="S146" s="127">
        <f t="shared" si="114"/>
        <v>2.4900100908173561</v>
      </c>
      <c r="T146" s="127">
        <f t="shared" si="115"/>
        <v>2.4827890615539858</v>
      </c>
      <c r="U146" s="79">
        <f t="shared" si="116"/>
        <v>4.1671521517033128</v>
      </c>
      <c r="V146" s="127">
        <f t="shared" si="117"/>
        <v>13.039487910942015</v>
      </c>
      <c r="W146" s="127">
        <f t="shared" si="118"/>
        <v>68.042056711395318</v>
      </c>
      <c r="AC146" s="235">
        <v>111</v>
      </c>
      <c r="AD146" s="235">
        <v>124</v>
      </c>
      <c r="AE146" s="235">
        <v>41.5</v>
      </c>
      <c r="AF146" s="235">
        <v>56</v>
      </c>
    </row>
    <row r="147" spans="1:32">
      <c r="A147" s="1" t="s">
        <v>84</v>
      </c>
      <c r="B147" s="276"/>
      <c r="C147" s="1" t="s">
        <v>305</v>
      </c>
      <c r="D147" s="1" t="s">
        <v>309</v>
      </c>
      <c r="E147" s="127">
        <v>2.5907495366142501</v>
      </c>
      <c r="F147" s="127">
        <v>2.7399965490565998</v>
      </c>
      <c r="G147" s="127">
        <f t="shared" si="113"/>
        <v>4.1999999999999984</v>
      </c>
      <c r="H147" s="127">
        <v>4.0307101727447199</v>
      </c>
      <c r="I147" s="127">
        <v>1236.0999999999999</v>
      </c>
      <c r="J147" s="127">
        <v>744.2</v>
      </c>
      <c r="K147" s="127">
        <v>1238.5999999999999</v>
      </c>
      <c r="L147" s="127">
        <v>63.42</v>
      </c>
      <c r="M147" s="127">
        <v>63.79</v>
      </c>
      <c r="N147" s="127">
        <v>63.25</v>
      </c>
      <c r="O147" s="127">
        <v>63.58</v>
      </c>
      <c r="P147" s="127">
        <v>63.51</v>
      </c>
      <c r="Q147" s="79">
        <v>14.3</v>
      </c>
      <c r="R147" s="79">
        <v>3.53</v>
      </c>
      <c r="S147" s="127">
        <f t="shared" si="114"/>
        <v>2.5002022653721689</v>
      </c>
      <c r="T147" s="127">
        <f t="shared" si="115"/>
        <v>2.4929516788025898</v>
      </c>
      <c r="U147" s="79">
        <f t="shared" si="116"/>
        <v>3.7748866275768456</v>
      </c>
      <c r="V147" s="127">
        <f t="shared" si="117"/>
        <v>12.683538864046113</v>
      </c>
      <c r="W147" s="127">
        <f t="shared" si="118"/>
        <v>70.237907038094278</v>
      </c>
      <c r="AC147" s="235">
        <v>111</v>
      </c>
      <c r="AD147" s="235">
        <v>124</v>
      </c>
      <c r="AE147" s="235">
        <v>41.5</v>
      </c>
      <c r="AF147" s="235">
        <v>56</v>
      </c>
    </row>
    <row r="148" spans="1:32">
      <c r="A148" s="1" t="s">
        <v>84</v>
      </c>
      <c r="B148" s="276"/>
      <c r="C148" s="1" t="s">
        <v>305</v>
      </c>
      <c r="D148" s="1" t="s">
        <v>310</v>
      </c>
      <c r="E148" s="127">
        <v>2.5907495366142501</v>
      </c>
      <c r="F148" s="127">
        <v>2.7399965490565998</v>
      </c>
      <c r="G148" s="127">
        <f t="shared" si="113"/>
        <v>4.1999999999999984</v>
      </c>
      <c r="H148" s="127">
        <v>4.0307101727447199</v>
      </c>
      <c r="I148" s="127">
        <v>1235.7</v>
      </c>
      <c r="J148" s="127">
        <v>743.4</v>
      </c>
      <c r="K148" s="127">
        <v>1238.8</v>
      </c>
      <c r="L148" s="127">
        <v>64.680000000000007</v>
      </c>
      <c r="M148" s="127">
        <v>64.430000000000007</v>
      </c>
      <c r="N148" s="127">
        <v>63.97</v>
      </c>
      <c r="O148" s="127">
        <v>64.489999999999995</v>
      </c>
      <c r="P148" s="127">
        <v>64.392499999999998</v>
      </c>
      <c r="Q148" s="79">
        <v>14.8</v>
      </c>
      <c r="R148" s="79">
        <v>3.69</v>
      </c>
      <c r="S148" s="127">
        <f t="shared" si="114"/>
        <v>2.4943480016148567</v>
      </c>
      <c r="T148" s="127">
        <f t="shared" si="115"/>
        <v>2.4871143924101737</v>
      </c>
      <c r="U148" s="79">
        <f t="shared" si="116"/>
        <v>4.0001992759019505</v>
      </c>
      <c r="V148" s="127">
        <f t="shared" si="117"/>
        <v>12.887991760087658</v>
      </c>
      <c r="W148" s="127">
        <f t="shared" si="118"/>
        <v>68.961810727641691</v>
      </c>
      <c r="AC148" s="235">
        <v>111</v>
      </c>
      <c r="AD148" s="235">
        <v>124</v>
      </c>
      <c r="AE148" s="235">
        <v>41.5</v>
      </c>
      <c r="AF148" s="235">
        <v>56</v>
      </c>
    </row>
    <row r="149" spans="1:32">
      <c r="A149" s="1" t="s">
        <v>84</v>
      </c>
      <c r="B149" s="276"/>
      <c r="C149" s="1" t="s">
        <v>305</v>
      </c>
      <c r="D149" s="1" t="s">
        <v>311</v>
      </c>
      <c r="E149" s="127">
        <v>2.5907495366142501</v>
      </c>
      <c r="F149" s="127">
        <v>2.7399965490565998</v>
      </c>
      <c r="G149" s="127">
        <f t="shared" si="113"/>
        <v>4.1999999999999984</v>
      </c>
      <c r="H149" s="127">
        <v>4.0307101727447199</v>
      </c>
      <c r="I149" s="127">
        <v>1238.7</v>
      </c>
      <c r="J149" s="127">
        <v>743.7</v>
      </c>
      <c r="K149" s="127">
        <v>1241.0999999999999</v>
      </c>
      <c r="L149" s="127">
        <v>64.36</v>
      </c>
      <c r="M149" s="127">
        <v>64.290000000000006</v>
      </c>
      <c r="N149" s="127">
        <v>64.150000000000006</v>
      </c>
      <c r="O149" s="127">
        <v>64.14</v>
      </c>
      <c r="P149" s="127">
        <v>64.234999999999999</v>
      </c>
      <c r="Q149" s="79">
        <v>15</v>
      </c>
      <c r="R149" s="79">
        <v>2.84</v>
      </c>
      <c r="S149" s="127">
        <f t="shared" si="114"/>
        <v>2.4903498190591082</v>
      </c>
      <c r="T149" s="127">
        <f t="shared" si="115"/>
        <v>2.483127804583837</v>
      </c>
      <c r="U149" s="79">
        <f t="shared" si="116"/>
        <v>4.1540770541277361</v>
      </c>
      <c r="V149" s="127">
        <f t="shared" si="117"/>
        <v>13.027623323732982</v>
      </c>
      <c r="W149" s="127">
        <f t="shared" si="118"/>
        <v>68.113316213556189</v>
      </c>
      <c r="AC149" s="235">
        <v>111</v>
      </c>
      <c r="AD149" s="235">
        <v>124</v>
      </c>
      <c r="AE149" s="235">
        <v>41.5</v>
      </c>
      <c r="AF149" s="235">
        <v>56</v>
      </c>
    </row>
    <row r="150" spans="1:32">
      <c r="A150" s="1" t="s">
        <v>92</v>
      </c>
      <c r="B150" s="280" t="s">
        <v>248</v>
      </c>
      <c r="C150" s="1" t="s">
        <v>322</v>
      </c>
      <c r="D150" s="1" t="s">
        <v>307</v>
      </c>
      <c r="E150" s="127">
        <v>2.60142865483619</v>
      </c>
      <c r="F150" s="127">
        <v>2.7135711425642901</v>
      </c>
      <c r="G150" s="127">
        <f t="shared" si="113"/>
        <v>4.1999999999999984</v>
      </c>
      <c r="H150" s="127">
        <v>4.0307101727447199</v>
      </c>
      <c r="I150" s="127">
        <v>1224.7</v>
      </c>
      <c r="J150" s="127">
        <v>737.1</v>
      </c>
      <c r="K150" s="127">
        <v>1227.2</v>
      </c>
      <c r="L150" s="127">
        <v>63.29</v>
      </c>
      <c r="M150" s="127">
        <v>63.59</v>
      </c>
      <c r="N150" s="127">
        <v>63.39</v>
      </c>
      <c r="O150" s="127">
        <v>63.25</v>
      </c>
      <c r="P150" s="127">
        <v>63.38</v>
      </c>
      <c r="Q150" s="79">
        <v>13.81</v>
      </c>
      <c r="R150" s="79">
        <v>1.32</v>
      </c>
      <c r="S150" s="127">
        <f t="shared" si="114"/>
        <v>2.4988777800448889</v>
      </c>
      <c r="T150" s="127">
        <f t="shared" si="115"/>
        <v>2.4916310344827588</v>
      </c>
      <c r="U150" s="79">
        <f t="shared" si="116"/>
        <v>4.220666215439417</v>
      </c>
      <c r="V150" s="127">
        <f t="shared" si="117"/>
        <v>11.879936685612606</v>
      </c>
      <c r="W150" s="127">
        <f t="shared" si="118"/>
        <v>64.472317259477279</v>
      </c>
      <c r="X150" s="132">
        <f>AVERAGE(S150:S154)</f>
        <v>2.4992878483614356</v>
      </c>
      <c r="Y150" s="132">
        <f t="shared" ref="Y150" si="131">AVERAGE(T150:T154)</f>
        <v>2.4920399136011868</v>
      </c>
      <c r="Z150" s="133">
        <f t="shared" ref="Z150" si="132">AVERAGE(U150:U154)</f>
        <v>4.2049487319840058</v>
      </c>
      <c r="AA150" s="132">
        <f t="shared" ref="AA150" si="133">AVERAGE(V150:V154)</f>
        <v>11.865476096020819</v>
      </c>
      <c r="AB150" s="132">
        <f t="shared" ref="AB150" si="134">AVERAGE(W150:W154)</f>
        <v>64.565981605832846</v>
      </c>
      <c r="AC150" s="235">
        <v>161</v>
      </c>
      <c r="AD150" s="235">
        <v>91</v>
      </c>
      <c r="AE150" s="235">
        <v>44</v>
      </c>
      <c r="AF150" s="235">
        <v>15</v>
      </c>
    </row>
    <row r="151" spans="1:32">
      <c r="A151" s="1" t="s">
        <v>92</v>
      </c>
      <c r="B151" s="276"/>
      <c r="C151" s="1" t="s">
        <v>322</v>
      </c>
      <c r="D151" s="1" t="s">
        <v>308</v>
      </c>
      <c r="E151" s="127">
        <v>2.60142865483619</v>
      </c>
      <c r="F151" s="127">
        <v>2.7135711425642901</v>
      </c>
      <c r="G151" s="127">
        <f t="shared" si="113"/>
        <v>4.1999999999999984</v>
      </c>
      <c r="H151" s="127">
        <v>4.0307101727447199</v>
      </c>
      <c r="I151" s="127">
        <v>1220.0999999999999</v>
      </c>
      <c r="J151" s="127">
        <v>735.3</v>
      </c>
      <c r="K151" s="127">
        <v>1223</v>
      </c>
      <c r="L151" s="127">
        <v>62.86</v>
      </c>
      <c r="M151" s="127">
        <v>63.07</v>
      </c>
      <c r="N151" s="127">
        <v>62.97</v>
      </c>
      <c r="O151" s="127">
        <v>62.77</v>
      </c>
      <c r="P151" s="127">
        <v>62.917499999999997</v>
      </c>
      <c r="Q151" s="79">
        <v>14.48</v>
      </c>
      <c r="R151" s="79">
        <v>1.3</v>
      </c>
      <c r="S151" s="127">
        <f t="shared" si="114"/>
        <v>2.5017428747180639</v>
      </c>
      <c r="T151" s="127">
        <f t="shared" si="115"/>
        <v>2.4944878203813814</v>
      </c>
      <c r="U151" s="79">
        <f t="shared" si="116"/>
        <v>4.110850176728853</v>
      </c>
      <c r="V151" s="127">
        <f t="shared" si="117"/>
        <v>11.778902402936595</v>
      </c>
      <c r="W151" s="127">
        <f t="shared" si="118"/>
        <v>65.099887611735554</v>
      </c>
      <c r="AC151" s="235">
        <v>161</v>
      </c>
      <c r="AD151" s="235">
        <v>91</v>
      </c>
      <c r="AE151" s="235">
        <v>44</v>
      </c>
      <c r="AF151" s="235">
        <v>15</v>
      </c>
    </row>
    <row r="152" spans="1:32">
      <c r="A152" s="1" t="s">
        <v>92</v>
      </c>
      <c r="B152" s="276"/>
      <c r="C152" s="1" t="s">
        <v>322</v>
      </c>
      <c r="D152" s="1" t="s">
        <v>309</v>
      </c>
      <c r="E152" s="127">
        <v>2.60142865483619</v>
      </c>
      <c r="F152" s="127">
        <v>2.7135711425642901</v>
      </c>
      <c r="G152" s="127">
        <f t="shared" si="113"/>
        <v>4.1999999999999984</v>
      </c>
      <c r="H152" s="127">
        <v>4.0307101727447199</v>
      </c>
      <c r="I152" s="127">
        <v>1215.9000000000001</v>
      </c>
      <c r="J152" s="127">
        <v>733.7</v>
      </c>
      <c r="K152" s="127">
        <v>1219.5999999999999</v>
      </c>
      <c r="L152" s="127">
        <v>63.02</v>
      </c>
      <c r="M152" s="127">
        <v>62.87</v>
      </c>
      <c r="N152" s="127">
        <v>62.86</v>
      </c>
      <c r="O152" s="127">
        <v>63.01</v>
      </c>
      <c r="P152" s="127">
        <v>62.94</v>
      </c>
      <c r="Q152" s="79">
        <v>13.89</v>
      </c>
      <c r="R152" s="79">
        <v>1.75</v>
      </c>
      <c r="S152" s="127">
        <f t="shared" si="114"/>
        <v>2.5023667421280109</v>
      </c>
      <c r="T152" s="127">
        <f t="shared" si="115"/>
        <v>2.4951098785758394</v>
      </c>
      <c r="U152" s="79">
        <f t="shared" si="116"/>
        <v>4.086938000882645</v>
      </c>
      <c r="V152" s="127">
        <f t="shared" si="117"/>
        <v>11.756902433148824</v>
      </c>
      <c r="W152" s="127">
        <f t="shared" si="118"/>
        <v>65.237969574711784</v>
      </c>
      <c r="AC152" s="235">
        <v>161</v>
      </c>
      <c r="AD152" s="235">
        <v>91</v>
      </c>
      <c r="AE152" s="235">
        <v>44</v>
      </c>
      <c r="AF152" s="235">
        <v>15</v>
      </c>
    </row>
    <row r="153" spans="1:32">
      <c r="A153" s="1" t="s">
        <v>92</v>
      </c>
      <c r="B153" s="276"/>
      <c r="C153" s="1" t="s">
        <v>322</v>
      </c>
      <c r="D153" s="1" t="s">
        <v>310</v>
      </c>
      <c r="E153" s="127">
        <v>2.60142865483619</v>
      </c>
      <c r="F153" s="127">
        <v>2.7135711425642901</v>
      </c>
      <c r="G153" s="127">
        <f t="shared" si="113"/>
        <v>4.1999999999999984</v>
      </c>
      <c r="H153" s="127">
        <v>4.0307101727447199</v>
      </c>
      <c r="I153" s="127">
        <v>1218.8</v>
      </c>
      <c r="J153" s="127">
        <v>733.5</v>
      </c>
      <c r="K153" s="127">
        <v>1222</v>
      </c>
      <c r="L153" s="127">
        <v>63.12</v>
      </c>
      <c r="M153" s="127">
        <v>62.92</v>
      </c>
      <c r="N153" s="127">
        <v>63.1</v>
      </c>
      <c r="O153" s="127">
        <v>63.14</v>
      </c>
      <c r="P153" s="127">
        <v>63.07</v>
      </c>
      <c r="Q153" s="79">
        <v>15.98</v>
      </c>
      <c r="R153" s="79">
        <v>1.52</v>
      </c>
      <c r="S153" s="127">
        <f t="shared" si="114"/>
        <v>2.4949846468781987</v>
      </c>
      <c r="T153" s="127">
        <f t="shared" si="115"/>
        <v>2.4877491914022518</v>
      </c>
      <c r="U153" s="79">
        <f t="shared" si="116"/>
        <v>4.3698858787690416</v>
      </c>
      <c r="V153" s="127">
        <f t="shared" si="117"/>
        <v>12.017223568500469</v>
      </c>
      <c r="W153" s="127">
        <f t="shared" si="118"/>
        <v>63.636476812968837</v>
      </c>
      <c r="AC153" s="235">
        <v>161</v>
      </c>
      <c r="AD153" s="235">
        <v>91</v>
      </c>
      <c r="AE153" s="235">
        <v>44</v>
      </c>
      <c r="AF153" s="235">
        <v>15</v>
      </c>
    </row>
    <row r="154" spans="1:32">
      <c r="A154" s="1" t="s">
        <v>92</v>
      </c>
      <c r="B154" s="276"/>
      <c r="C154" s="1" t="s">
        <v>322</v>
      </c>
      <c r="D154" s="1" t="s">
        <v>311</v>
      </c>
      <c r="E154" s="127">
        <v>2.60142865483619</v>
      </c>
      <c r="F154" s="127">
        <v>2.7135711425642901</v>
      </c>
      <c r="G154" s="127">
        <f t="shared" si="113"/>
        <v>4.1999999999999984</v>
      </c>
      <c r="H154" s="127">
        <v>4.0307101727447199</v>
      </c>
      <c r="I154" s="127">
        <v>1222.5</v>
      </c>
      <c r="J154" s="127">
        <v>736.5</v>
      </c>
      <c r="K154" s="127">
        <v>1225.8</v>
      </c>
      <c r="L154" s="127">
        <v>62.74</v>
      </c>
      <c r="M154" s="127">
        <v>62.67</v>
      </c>
      <c r="N154" s="127">
        <v>62.75</v>
      </c>
      <c r="O154" s="127">
        <v>62.71</v>
      </c>
      <c r="P154" s="127">
        <v>62.717500000000001</v>
      </c>
      <c r="Q154" s="79">
        <v>14.12</v>
      </c>
      <c r="R154" s="79">
        <v>2.54</v>
      </c>
      <c r="S154" s="127">
        <f t="shared" si="114"/>
        <v>2.4984671980380138</v>
      </c>
      <c r="T154" s="127">
        <f t="shared" si="115"/>
        <v>2.4912216431637035</v>
      </c>
      <c r="U154" s="79">
        <f t="shared" si="116"/>
        <v>4.236403388100074</v>
      </c>
      <c r="V154" s="127">
        <f t="shared" si="117"/>
        <v>11.894415389905603</v>
      </c>
      <c r="W154" s="127">
        <f t="shared" si="118"/>
        <v>64.383256770270776</v>
      </c>
      <c r="AC154" s="235">
        <v>161</v>
      </c>
      <c r="AD154" s="235">
        <v>91</v>
      </c>
      <c r="AE154" s="235">
        <v>44</v>
      </c>
      <c r="AF154" s="235">
        <v>15</v>
      </c>
    </row>
    <row r="155" spans="1:32">
      <c r="A155" s="1" t="s">
        <v>92</v>
      </c>
      <c r="B155" s="280" t="s">
        <v>249</v>
      </c>
      <c r="C155" s="1" t="s">
        <v>323</v>
      </c>
      <c r="D155" s="1" t="s">
        <v>307</v>
      </c>
      <c r="E155" s="127">
        <v>2.5638834213888599</v>
      </c>
      <c r="F155" s="127">
        <v>2.7094748830296802</v>
      </c>
      <c r="G155" s="127">
        <f t="shared" si="113"/>
        <v>4.1999999999999984</v>
      </c>
      <c r="H155" s="127">
        <v>4.0307101727447199</v>
      </c>
      <c r="I155" s="127">
        <v>1235.5</v>
      </c>
      <c r="J155" s="127">
        <v>738.6</v>
      </c>
      <c r="K155" s="127">
        <v>1237.9000000000001</v>
      </c>
      <c r="L155" s="127">
        <v>64.61</v>
      </c>
      <c r="M155" s="127">
        <v>64.17</v>
      </c>
      <c r="N155" s="127">
        <v>64.36</v>
      </c>
      <c r="O155" s="127">
        <v>64.510000000000005</v>
      </c>
      <c r="P155" s="127">
        <v>64.412499999999994</v>
      </c>
      <c r="Q155" s="79">
        <v>13.66</v>
      </c>
      <c r="R155" s="79">
        <v>2.3199999999999998</v>
      </c>
      <c r="S155" s="127">
        <f t="shared" si="114"/>
        <v>2.4744642499499294</v>
      </c>
      <c r="T155" s="127">
        <f t="shared" si="115"/>
        <v>2.4672883036250748</v>
      </c>
      <c r="U155" s="79">
        <f t="shared" si="116"/>
        <v>3.7675315873550663</v>
      </c>
      <c r="V155" s="127">
        <f t="shared" si="117"/>
        <v>12.608931058543405</v>
      </c>
      <c r="W155" s="127">
        <f t="shared" si="118"/>
        <v>70.12013492767646</v>
      </c>
      <c r="X155" s="132">
        <f>AVERAGE(S155:S159)</f>
        <v>2.467098565743588</v>
      </c>
      <c r="Y155" s="132">
        <f t="shared" ref="Y155" si="135">AVERAGE(T155:T159)</f>
        <v>2.4599439799029317</v>
      </c>
      <c r="Z155" s="133">
        <f t="shared" ref="Z155" si="136">AVERAGE(U155:U159)</f>
        <v>4.0539846944220237</v>
      </c>
      <c r="AA155" s="132">
        <f t="shared" ref="AA155" si="137">AVERAGE(V155:V159)</f>
        <v>12.869066163057605</v>
      </c>
      <c r="AB155" s="132">
        <f t="shared" ref="AB155" si="138">AVERAGE(W155:W159)</f>
        <v>68.528688930768652</v>
      </c>
      <c r="AC155" s="235">
        <v>161</v>
      </c>
      <c r="AD155" s="235">
        <v>91</v>
      </c>
      <c r="AE155" s="235">
        <v>44</v>
      </c>
      <c r="AF155" s="235">
        <v>15</v>
      </c>
    </row>
    <row r="156" spans="1:32">
      <c r="A156" s="1" t="s">
        <v>92</v>
      </c>
      <c r="B156" s="276"/>
      <c r="C156" s="1" t="s">
        <v>323</v>
      </c>
      <c r="D156" s="1" t="s">
        <v>308</v>
      </c>
      <c r="E156" s="127">
        <v>2.5638834213888599</v>
      </c>
      <c r="F156" s="127">
        <v>2.7094748830296802</v>
      </c>
      <c r="G156" s="127">
        <f t="shared" si="113"/>
        <v>4.1999999999999984</v>
      </c>
      <c r="H156" s="127">
        <v>4.0307101727447199</v>
      </c>
      <c r="I156" s="127">
        <v>1220.8</v>
      </c>
      <c r="J156" s="127">
        <v>728.3</v>
      </c>
      <c r="K156" s="127">
        <v>1224.9000000000001</v>
      </c>
      <c r="L156" s="127">
        <v>64.69</v>
      </c>
      <c r="M156" s="127">
        <v>64.790000000000006</v>
      </c>
      <c r="N156" s="127">
        <v>64.41</v>
      </c>
      <c r="O156" s="127">
        <v>64.59</v>
      </c>
      <c r="P156" s="127">
        <v>64.62</v>
      </c>
      <c r="Q156" s="79">
        <v>13.03</v>
      </c>
      <c r="R156" s="79">
        <v>2.54</v>
      </c>
      <c r="S156" s="127">
        <f t="shared" si="114"/>
        <v>2.4583165525573896</v>
      </c>
      <c r="T156" s="127">
        <f t="shared" si="115"/>
        <v>2.4511874345549729</v>
      </c>
      <c r="U156" s="79">
        <f t="shared" si="116"/>
        <v>4.3955191524597259</v>
      </c>
      <c r="V156" s="127">
        <f t="shared" si="117"/>
        <v>13.179221995705177</v>
      </c>
      <c r="W156" s="127">
        <f t="shared" si="118"/>
        <v>66.648113569282543</v>
      </c>
      <c r="AC156" s="235">
        <v>161</v>
      </c>
      <c r="AD156" s="235">
        <v>91</v>
      </c>
      <c r="AE156" s="235">
        <v>44</v>
      </c>
      <c r="AF156" s="235">
        <v>15</v>
      </c>
    </row>
    <row r="157" spans="1:32">
      <c r="A157" s="1" t="s">
        <v>92</v>
      </c>
      <c r="B157" s="276"/>
      <c r="C157" s="1" t="s">
        <v>323</v>
      </c>
      <c r="D157" s="1" t="s">
        <v>309</v>
      </c>
      <c r="E157" s="127">
        <v>2.5638834213888599</v>
      </c>
      <c r="F157" s="127">
        <v>2.7094748830296802</v>
      </c>
      <c r="G157" s="127">
        <f t="shared" si="113"/>
        <v>4.1999999999999984</v>
      </c>
      <c r="H157" s="127">
        <v>4.0307101727447199</v>
      </c>
      <c r="I157" s="127">
        <v>1220.0999999999999</v>
      </c>
      <c r="J157" s="127">
        <v>728.7</v>
      </c>
      <c r="K157" s="127">
        <v>1222.8</v>
      </c>
      <c r="L157" s="127">
        <v>64.260000000000005</v>
      </c>
      <c r="M157" s="127">
        <v>64.010000000000005</v>
      </c>
      <c r="N157" s="127">
        <v>64.06</v>
      </c>
      <c r="O157" s="127">
        <v>64.22</v>
      </c>
      <c r="P157" s="127">
        <v>64.137500000000003</v>
      </c>
      <c r="Q157" s="79">
        <v>12.96</v>
      </c>
      <c r="R157" s="79">
        <v>2.75</v>
      </c>
      <c r="S157" s="127">
        <f t="shared" si="114"/>
        <v>2.4693381906496663</v>
      </c>
      <c r="T157" s="127">
        <f t="shared" si="115"/>
        <v>2.4621771098967824</v>
      </c>
      <c r="U157" s="79">
        <f t="shared" si="116"/>
        <v>3.9668851806445637</v>
      </c>
      <c r="V157" s="127">
        <f t="shared" si="117"/>
        <v>12.789968954611766</v>
      </c>
      <c r="W157" s="127">
        <f t="shared" si="118"/>
        <v>68.984403365465582</v>
      </c>
      <c r="AC157" s="235">
        <v>161</v>
      </c>
      <c r="AD157" s="235">
        <v>91</v>
      </c>
      <c r="AE157" s="235">
        <v>44</v>
      </c>
      <c r="AF157" s="235">
        <v>15</v>
      </c>
    </row>
    <row r="158" spans="1:32">
      <c r="A158" s="1" t="s">
        <v>92</v>
      </c>
      <c r="B158" s="276"/>
      <c r="C158" s="1" t="s">
        <v>323</v>
      </c>
      <c r="D158" s="1" t="s">
        <v>310</v>
      </c>
      <c r="E158" s="127">
        <v>2.5638834213888599</v>
      </c>
      <c r="F158" s="127">
        <v>2.7094748830296802</v>
      </c>
      <c r="G158" s="127">
        <f t="shared" si="113"/>
        <v>4.1999999999999984</v>
      </c>
      <c r="H158" s="127">
        <v>4.0307101727447199</v>
      </c>
      <c r="I158" s="127">
        <v>1221.9000000000001</v>
      </c>
      <c r="J158" s="127">
        <v>730.6</v>
      </c>
      <c r="K158" s="127">
        <v>1224.4000000000001</v>
      </c>
      <c r="L158" s="127">
        <v>63.51</v>
      </c>
      <c r="M158" s="127">
        <v>64.75</v>
      </c>
      <c r="N158" s="127">
        <v>63.76</v>
      </c>
      <c r="O158" s="127">
        <v>63.47</v>
      </c>
      <c r="P158" s="127">
        <v>63.872500000000002</v>
      </c>
      <c r="Q158" s="79">
        <v>14.81</v>
      </c>
      <c r="R158" s="79">
        <v>2.52</v>
      </c>
      <c r="S158" s="127">
        <f t="shared" si="114"/>
        <v>2.4744835965978127</v>
      </c>
      <c r="T158" s="127">
        <f t="shared" si="115"/>
        <v>2.467307594167679</v>
      </c>
      <c r="U158" s="79">
        <f t="shared" si="116"/>
        <v>3.7667791918895355</v>
      </c>
      <c r="V158" s="127">
        <f t="shared" si="117"/>
        <v>12.608247789735231</v>
      </c>
      <c r="W158" s="127">
        <f t="shared" si="118"/>
        <v>70.124483158110294</v>
      </c>
      <c r="AC158" s="235">
        <v>161</v>
      </c>
      <c r="AD158" s="235">
        <v>91</v>
      </c>
      <c r="AE158" s="235">
        <v>44</v>
      </c>
      <c r="AF158" s="235">
        <v>15</v>
      </c>
    </row>
    <row r="159" spans="1:32">
      <c r="A159" s="1" t="s">
        <v>92</v>
      </c>
      <c r="B159" s="276"/>
      <c r="C159" s="1" t="s">
        <v>323</v>
      </c>
      <c r="D159" s="1" t="s">
        <v>311</v>
      </c>
      <c r="E159" s="127">
        <v>2.5638834213888599</v>
      </c>
      <c r="F159" s="127">
        <v>2.7094748830296802</v>
      </c>
      <c r="G159" s="127">
        <f t="shared" si="113"/>
        <v>4.1999999999999984</v>
      </c>
      <c r="H159" s="127">
        <v>4.0307101727447199</v>
      </c>
      <c r="I159" s="127">
        <v>1214.2</v>
      </c>
      <c r="J159" s="127">
        <v>724.2</v>
      </c>
      <c r="K159" s="127">
        <v>1218</v>
      </c>
      <c r="L159" s="127">
        <v>64.209999999999994</v>
      </c>
      <c r="M159" s="127">
        <v>64.319999999999993</v>
      </c>
      <c r="N159" s="127">
        <v>64.3</v>
      </c>
      <c r="O159" s="127">
        <v>64.17</v>
      </c>
      <c r="P159" s="127">
        <v>64.25</v>
      </c>
      <c r="Q159" s="79">
        <v>13.68</v>
      </c>
      <c r="R159" s="79">
        <v>2.2999999999999998</v>
      </c>
      <c r="S159" s="127">
        <f t="shared" si="114"/>
        <v>2.4588902389631433</v>
      </c>
      <c r="T159" s="127">
        <f t="shared" si="115"/>
        <v>2.4517594572701502</v>
      </c>
      <c r="U159" s="79">
        <f t="shared" si="116"/>
        <v>4.373208359761227</v>
      </c>
      <c r="V159" s="127">
        <f t="shared" si="117"/>
        <v>13.158961016692444</v>
      </c>
      <c r="W159" s="127">
        <f t="shared" si="118"/>
        <v>66.766309633308353</v>
      </c>
      <c r="AC159" s="235">
        <v>161</v>
      </c>
      <c r="AD159" s="235">
        <v>91</v>
      </c>
      <c r="AE159" s="235">
        <v>44</v>
      </c>
      <c r="AF159" s="235">
        <v>15</v>
      </c>
    </row>
    <row r="160" spans="1:32" ht="14.4">
      <c r="A160" s="1" t="s">
        <v>69</v>
      </c>
      <c r="B160" s="280" t="s">
        <v>94</v>
      </c>
      <c r="C160" s="1" t="s">
        <v>324</v>
      </c>
      <c r="D160" s="1" t="s">
        <v>294</v>
      </c>
      <c r="E160" s="127">
        <v>2.4867145530791399</v>
      </c>
      <c r="F160" s="127">
        <v>2.7240000000000002</v>
      </c>
      <c r="G160" s="127">
        <f t="shared" si="113"/>
        <v>6.255771770843694</v>
      </c>
      <c r="H160" s="127">
        <v>5.8874653739612297</v>
      </c>
      <c r="I160" s="127">
        <v>1254</v>
      </c>
      <c r="J160" s="127">
        <v>733.5</v>
      </c>
      <c r="K160" s="127">
        <v>1255.8</v>
      </c>
      <c r="L160" s="127">
        <v>65.97</v>
      </c>
      <c r="M160" s="127">
        <v>65.95</v>
      </c>
      <c r="N160" s="127">
        <v>66.069999999999993</v>
      </c>
      <c r="O160" s="127">
        <v>66.099999999999994</v>
      </c>
      <c r="P160" s="127">
        <v>66.022499999999994</v>
      </c>
      <c r="Q160" s="79">
        <v>16.41</v>
      </c>
      <c r="R160" s="79">
        <v>2.34</v>
      </c>
      <c r="S160" s="127">
        <f t="shared" si="114"/>
        <v>2.4009190120620336</v>
      </c>
      <c r="T160" s="127">
        <f t="shared" si="115"/>
        <v>2.3939563469270535</v>
      </c>
      <c r="U160" s="79">
        <f t="shared" si="116"/>
        <v>3.7301509349848772</v>
      </c>
      <c r="V160" s="127">
        <f t="shared" si="117"/>
        <v>17.2902718085912</v>
      </c>
      <c r="W160" s="127">
        <f t="shared" si="118"/>
        <v>78.426302511152898</v>
      </c>
      <c r="X160" s="132">
        <f>AVERAGE(S160:S162)</f>
        <v>2.4145211088993648</v>
      </c>
      <c r="Y160" s="132">
        <f t="shared" ref="Y160:AB160" si="139">AVERAGE(T160:T162)</f>
        <v>2.4075189976835567</v>
      </c>
      <c r="Z160" s="133">
        <f t="shared" si="139"/>
        <v>3.1847465282060803</v>
      </c>
      <c r="AA160" s="132">
        <f t="shared" si="139"/>
        <v>16.821690516762164</v>
      </c>
      <c r="AB160" s="132">
        <f t="shared" si="139"/>
        <v>81.107971734908531</v>
      </c>
      <c r="AC160" s="235">
        <v>161</v>
      </c>
      <c r="AD160" s="235">
        <v>91</v>
      </c>
      <c r="AE160" s="235">
        <v>44</v>
      </c>
      <c r="AF160" s="235">
        <v>15</v>
      </c>
    </row>
    <row r="161" spans="1:32" ht="14.4">
      <c r="A161" s="1" t="s">
        <v>69</v>
      </c>
      <c r="B161" s="276"/>
      <c r="C161" s="1" t="s">
        <v>324</v>
      </c>
      <c r="D161" s="1" t="s">
        <v>295</v>
      </c>
      <c r="E161" s="127">
        <v>2.4867145530791399</v>
      </c>
      <c r="F161" s="127">
        <v>2.7240000000000002</v>
      </c>
      <c r="G161" s="127">
        <f t="shared" si="113"/>
        <v>6.255771770843694</v>
      </c>
      <c r="H161" s="127">
        <v>5.8874653739612297</v>
      </c>
      <c r="I161" s="127">
        <v>1228.3</v>
      </c>
      <c r="J161" s="127">
        <v>722.9</v>
      </c>
      <c r="K161" s="127">
        <v>1229.5</v>
      </c>
      <c r="L161" s="127">
        <v>64.3</v>
      </c>
      <c r="M161" s="127">
        <v>64.08</v>
      </c>
      <c r="N161" s="127">
        <v>64.069999999999993</v>
      </c>
      <c r="O161" s="127">
        <v>64.09</v>
      </c>
      <c r="P161" s="127">
        <v>64.135000000000005</v>
      </c>
      <c r="Q161" s="79">
        <v>16.760000000000002</v>
      </c>
      <c r="R161" s="79">
        <v>2.58</v>
      </c>
      <c r="S161" s="127">
        <f t="shared" si="114"/>
        <v>2.4245953414923016</v>
      </c>
      <c r="T161" s="127">
        <f t="shared" si="115"/>
        <v>2.4175640150019739</v>
      </c>
      <c r="U161" s="79">
        <f t="shared" si="116"/>
        <v>2.7807991870856807</v>
      </c>
      <c r="V161" s="127">
        <f t="shared" si="117"/>
        <v>16.474641309640759</v>
      </c>
      <c r="W161" s="127">
        <f t="shared" si="118"/>
        <v>83.120730006677661</v>
      </c>
      <c r="AC161" s="235">
        <v>161</v>
      </c>
      <c r="AD161" s="235">
        <v>91</v>
      </c>
      <c r="AE161" s="235">
        <v>44</v>
      </c>
      <c r="AF161" s="235">
        <v>15</v>
      </c>
    </row>
    <row r="162" spans="1:32" ht="14.4">
      <c r="A162" s="1" t="s">
        <v>69</v>
      </c>
      <c r="B162" s="276"/>
      <c r="C162" s="1" t="s">
        <v>324</v>
      </c>
      <c r="D162" s="1" t="s">
        <v>296</v>
      </c>
      <c r="E162" s="127">
        <v>2.4867145530791399</v>
      </c>
      <c r="F162" s="127">
        <v>2.7240000000000002</v>
      </c>
      <c r="G162" s="127">
        <f t="shared" si="113"/>
        <v>6.255771770843694</v>
      </c>
      <c r="H162" s="127">
        <v>5.8874653739612297</v>
      </c>
      <c r="I162" s="127">
        <v>1224.5</v>
      </c>
      <c r="J162" s="127">
        <v>719.3</v>
      </c>
      <c r="K162" s="127">
        <v>1225.7</v>
      </c>
      <c r="L162" s="127">
        <v>64.349999999999994</v>
      </c>
      <c r="M162" s="127">
        <v>64.12</v>
      </c>
      <c r="N162" s="127">
        <v>64.11</v>
      </c>
      <c r="O162" s="127">
        <v>64.17</v>
      </c>
      <c r="P162" s="127">
        <v>64.1875</v>
      </c>
      <c r="Q162" s="79">
        <v>15.5</v>
      </c>
      <c r="R162" s="79">
        <v>2.73</v>
      </c>
      <c r="S162" s="127">
        <f t="shared" si="114"/>
        <v>2.4180489731437596</v>
      </c>
      <c r="T162" s="127">
        <f t="shared" si="115"/>
        <v>2.4110366311216427</v>
      </c>
      <c r="U162" s="79">
        <f t="shared" si="116"/>
        <v>3.0432894625476825</v>
      </c>
      <c r="V162" s="127">
        <f t="shared" si="117"/>
        <v>16.700158432054536</v>
      </c>
      <c r="W162" s="127">
        <f t="shared" si="118"/>
        <v>81.776882686895064</v>
      </c>
      <c r="AC162" s="235">
        <v>161</v>
      </c>
      <c r="AD162" s="235">
        <v>91</v>
      </c>
      <c r="AE162" s="235">
        <v>44</v>
      </c>
      <c r="AF162" s="235">
        <v>15</v>
      </c>
    </row>
    <row r="163" spans="1:32">
      <c r="A163" s="1" t="s">
        <v>95</v>
      </c>
      <c r="B163" s="280" t="s">
        <v>250</v>
      </c>
      <c r="C163" s="1" t="s">
        <v>306</v>
      </c>
      <c r="D163" s="1" t="s">
        <v>307</v>
      </c>
      <c r="E163" s="127">
        <v>2.6026707551933899</v>
      </c>
      <c r="F163" s="127">
        <v>2.7085386336835602</v>
      </c>
      <c r="G163" s="127">
        <f t="shared" si="113"/>
        <v>4.8000000000000052</v>
      </c>
      <c r="H163" s="127">
        <v>4.5801526717557302</v>
      </c>
      <c r="I163" s="127">
        <v>1280.5</v>
      </c>
      <c r="J163" s="127">
        <v>777.6</v>
      </c>
      <c r="K163" s="127">
        <v>1282</v>
      </c>
      <c r="L163" s="127">
        <v>64.63</v>
      </c>
      <c r="M163" s="127">
        <v>65.12</v>
      </c>
      <c r="N163" s="127">
        <v>65.400000000000006</v>
      </c>
      <c r="O163" s="127">
        <v>65.17</v>
      </c>
      <c r="P163" s="127">
        <v>65.08</v>
      </c>
      <c r="Q163" s="79">
        <v>17.52</v>
      </c>
      <c r="R163" s="79">
        <v>1.66</v>
      </c>
      <c r="S163" s="127">
        <f t="shared" si="114"/>
        <v>2.5386597938144333</v>
      </c>
      <c r="T163" s="127">
        <f t="shared" si="115"/>
        <v>2.5312976804123712</v>
      </c>
      <c r="U163" s="79">
        <f t="shared" si="116"/>
        <v>2.7423013317608547</v>
      </c>
      <c r="V163" s="127">
        <f t="shared" si="117"/>
        <v>10.824222625614539</v>
      </c>
      <c r="W163" s="127">
        <f t="shared" si="118"/>
        <v>74.66514292424614</v>
      </c>
      <c r="X163" s="132">
        <f>AVERAGE(S163:S167)</f>
        <v>2.5561631419700328</v>
      </c>
      <c r="Y163" s="132">
        <f t="shared" ref="Y163" si="140">AVERAGE(T163:T167)</f>
        <v>2.5487502688583201</v>
      </c>
      <c r="Z163" s="133">
        <f t="shared" ref="Z163" si="141">AVERAGE(U163:U167)</f>
        <v>2.0717367430158617</v>
      </c>
      <c r="AA163" s="132">
        <f t="shared" ref="AA163" si="142">AVERAGE(V163:V167)</f>
        <v>10.209380620303985</v>
      </c>
      <c r="AB163" s="132">
        <f t="shared" ref="AB163" si="143">AVERAGE(W163:W167)</f>
        <v>79.795034903303247</v>
      </c>
      <c r="AC163" s="235">
        <v>161</v>
      </c>
      <c r="AD163" s="235">
        <v>91</v>
      </c>
      <c r="AE163" s="235">
        <v>44</v>
      </c>
      <c r="AF163" s="235">
        <v>15</v>
      </c>
    </row>
    <row r="164" spans="1:32">
      <c r="A164" s="1" t="s">
        <v>95</v>
      </c>
      <c r="B164" s="280"/>
      <c r="C164" s="1" t="s">
        <v>306</v>
      </c>
      <c r="D164" s="1" t="s">
        <v>308</v>
      </c>
      <c r="E164" s="127">
        <v>2.6026707551933899</v>
      </c>
      <c r="F164" s="127">
        <v>2.7085386336835602</v>
      </c>
      <c r="G164" s="127">
        <f t="shared" si="113"/>
        <v>4.8000000000000052</v>
      </c>
      <c r="H164" s="127">
        <v>4.5801526717557302</v>
      </c>
      <c r="I164" s="127">
        <v>1282.2</v>
      </c>
      <c r="J164" s="127">
        <v>783.2</v>
      </c>
      <c r="K164" s="127">
        <v>1283.0999999999999</v>
      </c>
      <c r="L164" s="127">
        <v>64.709999999999994</v>
      </c>
      <c r="M164" s="127">
        <v>64.760000000000005</v>
      </c>
      <c r="N164" s="127">
        <v>64.62</v>
      </c>
      <c r="O164" s="127">
        <v>64.900000000000006</v>
      </c>
      <c r="P164" s="127">
        <v>64.747500000000002</v>
      </c>
      <c r="Q164" s="79">
        <v>16.899999999999999</v>
      </c>
      <c r="R164" s="79">
        <v>1.51</v>
      </c>
      <c r="S164" s="127">
        <f t="shared" si="114"/>
        <v>2.5649129825965202</v>
      </c>
      <c r="T164" s="127">
        <f t="shared" si="115"/>
        <v>2.5574747349469904</v>
      </c>
      <c r="U164" s="79">
        <f t="shared" si="116"/>
        <v>1.7365246893490061</v>
      </c>
      <c r="V164" s="127">
        <f t="shared" si="117"/>
        <v>9.9020240214914423</v>
      </c>
      <c r="W164" s="127">
        <f t="shared" si="118"/>
        <v>82.46293196643397</v>
      </c>
      <c r="AC164" s="235">
        <v>161</v>
      </c>
      <c r="AD164" s="235">
        <v>91</v>
      </c>
      <c r="AE164" s="235">
        <v>44</v>
      </c>
      <c r="AF164" s="235">
        <v>15</v>
      </c>
    </row>
    <row r="165" spans="1:32">
      <c r="A165" s="1" t="s">
        <v>95</v>
      </c>
      <c r="B165" s="280"/>
      <c r="C165" s="1" t="s">
        <v>306</v>
      </c>
      <c r="D165" s="1" t="s">
        <v>309</v>
      </c>
      <c r="E165" s="127">
        <v>2.6026707551933899</v>
      </c>
      <c r="F165" s="127">
        <v>2.7085386336835602</v>
      </c>
      <c r="G165" s="127">
        <f t="shared" si="113"/>
        <v>4.8000000000000052</v>
      </c>
      <c r="H165" s="127">
        <v>4.5801526717557302</v>
      </c>
      <c r="I165" s="127">
        <v>1283</v>
      </c>
      <c r="J165" s="127">
        <v>782.4</v>
      </c>
      <c r="K165" s="127">
        <v>1284.3</v>
      </c>
      <c r="L165" s="127">
        <v>63.33</v>
      </c>
      <c r="M165" s="127">
        <v>63.28</v>
      </c>
      <c r="N165" s="127">
        <v>63.96</v>
      </c>
      <c r="O165" s="127">
        <v>64.13</v>
      </c>
      <c r="P165" s="127">
        <v>63.674999999999997</v>
      </c>
      <c r="Q165" s="79">
        <v>16.66</v>
      </c>
      <c r="R165" s="79">
        <v>3.39</v>
      </c>
      <c r="S165" s="127">
        <f t="shared" si="114"/>
        <v>2.5562861127714687</v>
      </c>
      <c r="T165" s="127">
        <f t="shared" si="115"/>
        <v>2.5488728830444312</v>
      </c>
      <c r="U165" s="79">
        <f t="shared" si="116"/>
        <v>2.0670256520772035</v>
      </c>
      <c r="V165" s="127">
        <f t="shared" si="117"/>
        <v>10.205061011650997</v>
      </c>
      <c r="W165" s="127">
        <f t="shared" si="118"/>
        <v>79.745092658267254</v>
      </c>
      <c r="AC165" s="235">
        <v>161</v>
      </c>
      <c r="AD165" s="235">
        <v>91</v>
      </c>
      <c r="AE165" s="235">
        <v>44</v>
      </c>
      <c r="AF165" s="235">
        <v>15</v>
      </c>
    </row>
    <row r="166" spans="1:32">
      <c r="A166" s="1" t="s">
        <v>95</v>
      </c>
      <c r="B166" s="280"/>
      <c r="C166" s="1" t="s">
        <v>306</v>
      </c>
      <c r="D166" s="1" t="s">
        <v>310</v>
      </c>
      <c r="E166" s="127">
        <v>2.6026707551933899</v>
      </c>
      <c r="F166" s="127">
        <v>2.7085386336835602</v>
      </c>
      <c r="G166" s="127">
        <f t="shared" si="113"/>
        <v>4.8000000000000052</v>
      </c>
      <c r="H166" s="127">
        <v>4.5801526717557302</v>
      </c>
      <c r="I166" s="127">
        <v>1280.5999999999999</v>
      </c>
      <c r="J166" s="127">
        <v>781.9</v>
      </c>
      <c r="K166" s="127">
        <v>1281.5999999999999</v>
      </c>
      <c r="L166" s="127">
        <v>65.02</v>
      </c>
      <c r="M166" s="127">
        <v>64.36</v>
      </c>
      <c r="N166" s="127">
        <v>64.25</v>
      </c>
      <c r="O166" s="127">
        <v>65.12</v>
      </c>
      <c r="P166" s="127">
        <v>64.6875</v>
      </c>
      <c r="Q166" s="79">
        <v>16.940000000000001</v>
      </c>
      <c r="R166" s="79">
        <v>1.7</v>
      </c>
      <c r="S166" s="127">
        <f t="shared" si="114"/>
        <v>2.5627376425855517</v>
      </c>
      <c r="T166" s="127">
        <f t="shared" si="115"/>
        <v>2.5553057034220537</v>
      </c>
      <c r="U166" s="79">
        <f t="shared" si="116"/>
        <v>1.8198633721466129</v>
      </c>
      <c r="V166" s="127">
        <f t="shared" si="117"/>
        <v>9.9784374255262662</v>
      </c>
      <c r="W166" s="127">
        <f t="shared" si="118"/>
        <v>81.762040542629009</v>
      </c>
      <c r="AC166" s="235">
        <v>161</v>
      </c>
      <c r="AD166" s="235">
        <v>91</v>
      </c>
      <c r="AE166" s="235">
        <v>44</v>
      </c>
      <c r="AF166" s="235">
        <v>15</v>
      </c>
    </row>
    <row r="167" spans="1:32">
      <c r="A167" s="1" t="s">
        <v>95</v>
      </c>
      <c r="B167" s="280"/>
      <c r="C167" s="1" t="s">
        <v>306</v>
      </c>
      <c r="D167" s="1" t="s">
        <v>311</v>
      </c>
      <c r="E167" s="127">
        <v>2.6026707551933899</v>
      </c>
      <c r="F167" s="127">
        <v>2.7085386336835602</v>
      </c>
      <c r="G167" s="127">
        <f t="shared" si="113"/>
        <v>4.8000000000000052</v>
      </c>
      <c r="H167" s="127">
        <v>4.5801526717557302</v>
      </c>
      <c r="I167" s="127">
        <v>1269.9000000000001</v>
      </c>
      <c r="J167" s="127">
        <v>774.4</v>
      </c>
      <c r="K167" s="127">
        <v>1270.8</v>
      </c>
      <c r="L167" s="127">
        <v>64.349999999999994</v>
      </c>
      <c r="M167" s="127">
        <v>64.680000000000007</v>
      </c>
      <c r="N167" s="127">
        <v>64.760000000000005</v>
      </c>
      <c r="O167" s="127">
        <v>64.319999999999993</v>
      </c>
      <c r="P167" s="127">
        <v>64.527500000000003</v>
      </c>
      <c r="Q167" s="79">
        <v>16.13</v>
      </c>
      <c r="R167" s="79">
        <v>1.19</v>
      </c>
      <c r="S167" s="127">
        <f t="shared" si="114"/>
        <v>2.5582191780821919</v>
      </c>
      <c r="T167" s="127">
        <f t="shared" si="115"/>
        <v>2.5508003424657537</v>
      </c>
      <c r="U167" s="79">
        <f t="shared" si="116"/>
        <v>1.9929686697456317</v>
      </c>
      <c r="V167" s="127">
        <f t="shared" si="117"/>
        <v>10.137158017236686</v>
      </c>
      <c r="W167" s="127">
        <f t="shared" si="118"/>
        <v>80.33996642493986</v>
      </c>
      <c r="AC167" s="235">
        <v>161</v>
      </c>
      <c r="AD167" s="235">
        <v>91</v>
      </c>
      <c r="AE167" s="235">
        <v>44</v>
      </c>
      <c r="AF167" s="235">
        <v>15</v>
      </c>
    </row>
    <row r="168" spans="1:32">
      <c r="A168" s="1" t="s">
        <v>95</v>
      </c>
      <c r="B168" s="280"/>
      <c r="C168" s="1" t="s">
        <v>312</v>
      </c>
      <c r="D168" s="1" t="s">
        <v>307</v>
      </c>
      <c r="E168" s="127">
        <v>2.6026707551933899</v>
      </c>
      <c r="F168" s="127">
        <v>2.7085386336835602</v>
      </c>
      <c r="G168" s="127">
        <f t="shared" si="113"/>
        <v>4.8000000000000052</v>
      </c>
      <c r="H168" s="127">
        <v>4.5801526717557302</v>
      </c>
      <c r="I168" s="127">
        <v>1271.2</v>
      </c>
      <c r="J168" s="127">
        <v>772.1</v>
      </c>
      <c r="K168" s="127">
        <v>1272.2</v>
      </c>
      <c r="L168" s="127">
        <v>64.63</v>
      </c>
      <c r="M168" s="127">
        <v>65.12</v>
      </c>
      <c r="N168" s="127">
        <v>65.400000000000006</v>
      </c>
      <c r="O168" s="127">
        <v>65.17</v>
      </c>
      <c r="P168" s="127">
        <v>65.08</v>
      </c>
      <c r="Q168" s="79">
        <v>17.52</v>
      </c>
      <c r="R168" s="79">
        <v>1.66</v>
      </c>
      <c r="S168" s="127">
        <f t="shared" si="114"/>
        <v>2.5418916216756648</v>
      </c>
      <c r="T168" s="127">
        <f t="shared" si="115"/>
        <v>2.5345201359728056</v>
      </c>
      <c r="U168" s="79">
        <f t="shared" si="116"/>
        <v>2.6184879160991104</v>
      </c>
      <c r="V168" s="127">
        <f t="shared" si="117"/>
        <v>10.710697858504048</v>
      </c>
      <c r="W168" s="127">
        <f t="shared" si="118"/>
        <v>75.552592831100256</v>
      </c>
      <c r="X168" s="132">
        <f>AVERAGE(S168:S172)</f>
        <v>2.5586583503367373</v>
      </c>
      <c r="Y168" s="132">
        <f t="shared" ref="Y168" si="144">AVERAGE(T168:T172)</f>
        <v>2.5512382411207608</v>
      </c>
      <c r="Z168" s="133">
        <f t="shared" ref="Z168" si="145">AVERAGE(U168:U172)</f>
        <v>1.9761436966239507</v>
      </c>
      <c r="AA168" s="132">
        <f t="shared" ref="AA168" si="146">AVERAGE(V168:V172)</f>
        <v>10.121731165913099</v>
      </c>
      <c r="AB168" s="132">
        <f t="shared" ref="AB168" si="147">AVERAGE(W168:W172)</f>
        <v>80.618810958189101</v>
      </c>
      <c r="AC168" s="235">
        <v>161</v>
      </c>
      <c r="AD168" s="235">
        <v>91</v>
      </c>
      <c r="AE168" s="235">
        <v>44</v>
      </c>
      <c r="AF168" s="235">
        <v>15</v>
      </c>
    </row>
    <row r="169" spans="1:32">
      <c r="A169" s="1" t="s">
        <v>95</v>
      </c>
      <c r="B169" s="280"/>
      <c r="C169" s="1" t="s">
        <v>312</v>
      </c>
      <c r="D169" s="1" t="s">
        <v>308</v>
      </c>
      <c r="E169" s="127">
        <v>2.6026707551933899</v>
      </c>
      <c r="F169" s="127">
        <v>2.7085386336835602</v>
      </c>
      <c r="G169" s="127">
        <f t="shared" si="113"/>
        <v>4.8000000000000052</v>
      </c>
      <c r="H169" s="127">
        <v>4.5801526717557302</v>
      </c>
      <c r="I169" s="127">
        <v>1270.7</v>
      </c>
      <c r="J169" s="127">
        <v>774.6</v>
      </c>
      <c r="K169" s="127">
        <v>1271.8</v>
      </c>
      <c r="L169" s="127">
        <v>64.709999999999994</v>
      </c>
      <c r="M169" s="127">
        <v>64.760000000000005</v>
      </c>
      <c r="N169" s="127">
        <v>64.62</v>
      </c>
      <c r="O169" s="127">
        <v>64.900000000000006</v>
      </c>
      <c r="P169" s="127">
        <v>64.747500000000002</v>
      </c>
      <c r="Q169" s="79">
        <v>16.899999999999999</v>
      </c>
      <c r="R169" s="79">
        <v>1.51</v>
      </c>
      <c r="S169" s="127">
        <f t="shared" si="114"/>
        <v>2.5557119871279168</v>
      </c>
      <c r="T169" s="127">
        <f t="shared" si="115"/>
        <v>2.5483004223652457</v>
      </c>
      <c r="U169" s="79">
        <f t="shared" si="116"/>
        <v>2.0890207768175517</v>
      </c>
      <c r="V169" s="127">
        <f t="shared" si="117"/>
        <v>10.225228385278228</v>
      </c>
      <c r="W169" s="127">
        <f t="shared" si="118"/>
        <v>79.569935280612214</v>
      </c>
      <c r="AC169" s="235">
        <v>161</v>
      </c>
      <c r="AD169" s="235">
        <v>91</v>
      </c>
      <c r="AE169" s="235">
        <v>44</v>
      </c>
      <c r="AF169" s="235">
        <v>15</v>
      </c>
    </row>
    <row r="170" spans="1:32">
      <c r="A170" s="1" t="s">
        <v>95</v>
      </c>
      <c r="B170" s="280"/>
      <c r="C170" s="1" t="s">
        <v>312</v>
      </c>
      <c r="D170" s="1" t="s">
        <v>309</v>
      </c>
      <c r="E170" s="127">
        <v>2.6026707551933899</v>
      </c>
      <c r="F170" s="127">
        <v>2.7085386336835602</v>
      </c>
      <c r="G170" s="127">
        <f t="shared" si="113"/>
        <v>4.8000000000000052</v>
      </c>
      <c r="H170" s="127">
        <v>4.5801526717557302</v>
      </c>
      <c r="I170" s="127">
        <v>1274.2</v>
      </c>
      <c r="J170" s="127">
        <v>778.8</v>
      </c>
      <c r="K170" s="127">
        <v>1275</v>
      </c>
      <c r="L170" s="127">
        <v>63.33</v>
      </c>
      <c r="M170" s="127">
        <v>63.28</v>
      </c>
      <c r="N170" s="127">
        <v>63.96</v>
      </c>
      <c r="O170" s="127">
        <v>64.13</v>
      </c>
      <c r="P170" s="127">
        <v>63.674999999999997</v>
      </c>
      <c r="Q170" s="79">
        <v>16.66</v>
      </c>
      <c r="R170" s="79">
        <v>3.39</v>
      </c>
      <c r="S170" s="127">
        <f t="shared" si="114"/>
        <v>2.5679161628375655</v>
      </c>
      <c r="T170" s="127">
        <f t="shared" si="115"/>
        <v>2.5604692059653367</v>
      </c>
      <c r="U170" s="79">
        <f t="shared" si="116"/>
        <v>1.6214709119024673</v>
      </c>
      <c r="V170" s="127">
        <f t="shared" si="117"/>
        <v>9.7965309840851944</v>
      </c>
      <c r="W170" s="127">
        <f t="shared" si="118"/>
        <v>83.448519536797235</v>
      </c>
      <c r="AC170" s="235">
        <v>161</v>
      </c>
      <c r="AD170" s="235">
        <v>91</v>
      </c>
      <c r="AE170" s="235">
        <v>44</v>
      </c>
      <c r="AF170" s="235">
        <v>15</v>
      </c>
    </row>
    <row r="171" spans="1:32">
      <c r="A171" s="1" t="s">
        <v>95</v>
      </c>
      <c r="B171" s="280"/>
      <c r="C171" s="1" t="s">
        <v>312</v>
      </c>
      <c r="D171" s="1" t="s">
        <v>310</v>
      </c>
      <c r="E171" s="127">
        <v>2.6026707551933899</v>
      </c>
      <c r="F171" s="127">
        <v>2.7085386336835602</v>
      </c>
      <c r="G171" s="127">
        <f t="shared" si="113"/>
        <v>4.8000000000000052</v>
      </c>
      <c r="H171" s="127">
        <v>4.5801526717557302</v>
      </c>
      <c r="I171" s="127">
        <v>1266.7</v>
      </c>
      <c r="J171" s="127">
        <v>775.6</v>
      </c>
      <c r="K171" s="127">
        <v>1267.5999999999999</v>
      </c>
      <c r="L171" s="127">
        <v>65.02</v>
      </c>
      <c r="M171" s="127">
        <v>64.36</v>
      </c>
      <c r="N171" s="127">
        <v>64.25</v>
      </c>
      <c r="O171" s="127">
        <v>65.12</v>
      </c>
      <c r="P171" s="127">
        <v>64.6875</v>
      </c>
      <c r="Q171" s="79">
        <v>16.940000000000001</v>
      </c>
      <c r="R171" s="79">
        <v>1.7</v>
      </c>
      <c r="S171" s="127">
        <f t="shared" si="114"/>
        <v>2.5745934959349599</v>
      </c>
      <c r="T171" s="127">
        <f t="shared" si="115"/>
        <v>2.5671271747967483</v>
      </c>
      <c r="U171" s="79">
        <f t="shared" si="116"/>
        <v>1.3656579621420639</v>
      </c>
      <c r="V171" s="127">
        <f t="shared" si="117"/>
        <v>9.5619755815855285</v>
      </c>
      <c r="W171" s="127">
        <f t="shared" si="118"/>
        <v>85.717826295519401</v>
      </c>
      <c r="AC171" s="235">
        <v>161</v>
      </c>
      <c r="AD171" s="235">
        <v>91</v>
      </c>
      <c r="AE171" s="235">
        <v>44</v>
      </c>
      <c r="AF171" s="235">
        <v>15</v>
      </c>
    </row>
    <row r="172" spans="1:32">
      <c r="A172" s="1" t="s">
        <v>95</v>
      </c>
      <c r="B172" s="280"/>
      <c r="C172" s="1" t="s">
        <v>312</v>
      </c>
      <c r="D172" s="1" t="s">
        <v>311</v>
      </c>
      <c r="E172" s="127">
        <v>2.6026707551933899</v>
      </c>
      <c r="F172" s="127">
        <v>2.7085386336835602</v>
      </c>
      <c r="G172" s="127">
        <f t="shared" si="113"/>
        <v>4.8000000000000052</v>
      </c>
      <c r="H172" s="127">
        <v>4.5801526717557302</v>
      </c>
      <c r="I172" s="127">
        <v>1253.0999999999999</v>
      </c>
      <c r="J172" s="127">
        <v>764.2</v>
      </c>
      <c r="K172" s="127">
        <v>1255</v>
      </c>
      <c r="L172" s="127">
        <v>64.349999999999994</v>
      </c>
      <c r="M172" s="127">
        <v>64.680000000000007</v>
      </c>
      <c r="N172" s="127">
        <v>64.760000000000005</v>
      </c>
      <c r="O172" s="127">
        <v>64.319999999999993</v>
      </c>
      <c r="P172" s="127">
        <v>64.527500000000003</v>
      </c>
      <c r="Q172" s="79">
        <v>16.13</v>
      </c>
      <c r="R172" s="79">
        <v>1.19</v>
      </c>
      <c r="S172" s="127">
        <f t="shared" si="114"/>
        <v>2.5531784841075793</v>
      </c>
      <c r="T172" s="127">
        <f t="shared" si="115"/>
        <v>2.5457742665036673</v>
      </c>
      <c r="U172" s="79">
        <f t="shared" si="116"/>
        <v>2.1860809161585615</v>
      </c>
      <c r="V172" s="127">
        <f t="shared" si="117"/>
        <v>10.314223020112493</v>
      </c>
      <c r="W172" s="127">
        <f t="shared" si="118"/>
        <v>78.805180846916386</v>
      </c>
      <c r="AC172" s="235">
        <v>161</v>
      </c>
      <c r="AD172" s="235">
        <v>91</v>
      </c>
      <c r="AE172" s="235">
        <v>44</v>
      </c>
      <c r="AF172" s="235">
        <v>15</v>
      </c>
    </row>
    <row r="173" spans="1:32">
      <c r="A173" s="1" t="s">
        <v>95</v>
      </c>
      <c r="B173" s="280"/>
      <c r="C173" s="1" t="s">
        <v>313</v>
      </c>
      <c r="D173" s="1" t="s">
        <v>307</v>
      </c>
      <c r="E173" s="127">
        <v>2.57963756750511</v>
      </c>
      <c r="F173" s="127">
        <v>2.7085386336835602</v>
      </c>
      <c r="G173" s="127">
        <f t="shared" si="113"/>
        <v>4.6000000000000014</v>
      </c>
      <c r="H173" s="127">
        <v>4.3977055449330802</v>
      </c>
      <c r="I173" s="127">
        <v>1262.9000000000001</v>
      </c>
      <c r="J173" s="127">
        <v>765.9</v>
      </c>
      <c r="K173" s="127">
        <v>1265</v>
      </c>
      <c r="L173" s="127">
        <v>64.63</v>
      </c>
      <c r="M173" s="127">
        <v>65.12</v>
      </c>
      <c r="N173" s="127">
        <v>65.400000000000006</v>
      </c>
      <c r="O173" s="127">
        <v>65.17</v>
      </c>
      <c r="P173" s="127">
        <v>65.08</v>
      </c>
      <c r="Q173" s="79">
        <v>17.52</v>
      </c>
      <c r="R173" s="79">
        <v>1.66</v>
      </c>
      <c r="S173" s="127">
        <f t="shared" si="114"/>
        <v>2.5303546383490283</v>
      </c>
      <c r="T173" s="127">
        <f t="shared" si="115"/>
        <v>2.523016609897816</v>
      </c>
      <c r="U173" s="79">
        <f t="shared" si="116"/>
        <v>2.1949190971836674</v>
      </c>
      <c r="V173" s="127">
        <f t="shared" si="117"/>
        <v>10.946008354903924</v>
      </c>
      <c r="W173" s="127">
        <f t="shared" si="118"/>
        <v>79.947767021388017</v>
      </c>
      <c r="X173" s="132">
        <f>AVERAGE(S173:S177)</f>
        <v>2.5332644343603459</v>
      </c>
      <c r="Y173" s="132">
        <f t="shared" ref="Y173" si="148">AVERAGE(T173:T177)</f>
        <v>2.5259179675007011</v>
      </c>
      <c r="Z173" s="133">
        <f t="shared" ref="Z173" si="149">AVERAGE(U173:U177)</f>
        <v>2.2963368547646912</v>
      </c>
      <c r="AA173" s="132">
        <f t="shared" ref="AA173" si="150">AVERAGE(V173:V177)</f>
        <v>10.843600200033617</v>
      </c>
      <c r="AB173" s="132">
        <f t="shared" ref="AB173" si="151">AVERAGE(W173:W177)</f>
        <v>78.961862292580307</v>
      </c>
      <c r="AC173" s="235">
        <v>161</v>
      </c>
      <c r="AD173" s="235">
        <v>91</v>
      </c>
      <c r="AE173" s="235">
        <v>44</v>
      </c>
      <c r="AF173" s="235">
        <v>15</v>
      </c>
    </row>
    <row r="174" spans="1:32">
      <c r="A174" s="1" t="s">
        <v>95</v>
      </c>
      <c r="B174" s="280"/>
      <c r="C174" s="1" t="s">
        <v>313</v>
      </c>
      <c r="D174" s="1" t="s">
        <v>308</v>
      </c>
      <c r="E174" s="127">
        <v>2.57963756750511</v>
      </c>
      <c r="F174" s="127">
        <v>2.7085386336835602</v>
      </c>
      <c r="G174" s="127">
        <f t="shared" si="113"/>
        <v>4.6000000000000014</v>
      </c>
      <c r="H174" s="127">
        <v>4.3977055449330802</v>
      </c>
      <c r="I174" s="127">
        <v>1260.5</v>
      </c>
      <c r="J174" s="127">
        <v>767.6</v>
      </c>
      <c r="K174" s="127">
        <v>1261.5</v>
      </c>
      <c r="L174" s="127">
        <v>64.709999999999994</v>
      </c>
      <c r="M174" s="127">
        <v>64.760000000000005</v>
      </c>
      <c r="N174" s="127">
        <v>64.62</v>
      </c>
      <c r="O174" s="127">
        <v>64.900000000000006</v>
      </c>
      <c r="P174" s="127">
        <v>64.747500000000002</v>
      </c>
      <c r="Q174" s="79">
        <v>16.899999999999999</v>
      </c>
      <c r="R174" s="79">
        <v>1.51</v>
      </c>
      <c r="S174" s="127">
        <f t="shared" si="114"/>
        <v>2.5521360599311604</v>
      </c>
      <c r="T174" s="127">
        <f t="shared" si="115"/>
        <v>2.54473486535736</v>
      </c>
      <c r="U174" s="79">
        <f t="shared" si="116"/>
        <v>1.3530079801677752</v>
      </c>
      <c r="V174" s="127">
        <f t="shared" si="117"/>
        <v>10.179427059857019</v>
      </c>
      <c r="W174" s="127">
        <f t="shared" si="118"/>
        <v>86.708407337546376</v>
      </c>
      <c r="AC174" s="235">
        <v>161</v>
      </c>
      <c r="AD174" s="235">
        <v>91</v>
      </c>
      <c r="AE174" s="235">
        <v>44</v>
      </c>
      <c r="AF174" s="235">
        <v>15</v>
      </c>
    </row>
    <row r="175" spans="1:32">
      <c r="A175" s="1" t="s">
        <v>95</v>
      </c>
      <c r="B175" s="280"/>
      <c r="C175" s="1" t="s">
        <v>313</v>
      </c>
      <c r="D175" s="1" t="s">
        <v>309</v>
      </c>
      <c r="E175" s="127">
        <v>2.57963756750511</v>
      </c>
      <c r="F175" s="127">
        <v>2.7085386336835602</v>
      </c>
      <c r="G175" s="127">
        <f t="shared" si="113"/>
        <v>4.6000000000000014</v>
      </c>
      <c r="H175" s="127">
        <v>4.3977055449330802</v>
      </c>
      <c r="I175" s="127">
        <v>1261.2</v>
      </c>
      <c r="J175" s="127">
        <v>764.6</v>
      </c>
      <c r="K175" s="127">
        <v>1262.5999999999999</v>
      </c>
      <c r="L175" s="127">
        <v>63.33</v>
      </c>
      <c r="M175" s="127">
        <v>63.28</v>
      </c>
      <c r="N175" s="127">
        <v>63.96</v>
      </c>
      <c r="O175" s="127">
        <v>64.13</v>
      </c>
      <c r="P175" s="127">
        <v>63.674999999999997</v>
      </c>
      <c r="Q175" s="79">
        <v>16.66</v>
      </c>
      <c r="R175" s="79">
        <v>3.39</v>
      </c>
      <c r="S175" s="127">
        <f t="shared" si="114"/>
        <v>2.5325301204819284</v>
      </c>
      <c r="T175" s="127">
        <f t="shared" si="115"/>
        <v>2.5251857831325308</v>
      </c>
      <c r="U175" s="79">
        <f t="shared" si="116"/>
        <v>2.110830802686825</v>
      </c>
      <c r="V175" s="127">
        <f t="shared" si="117"/>
        <v>10.869443843055976</v>
      </c>
      <c r="W175" s="127">
        <f t="shared" si="118"/>
        <v>80.580139764599409</v>
      </c>
      <c r="AC175" s="235">
        <v>161</v>
      </c>
      <c r="AD175" s="235">
        <v>91</v>
      </c>
      <c r="AE175" s="235">
        <v>44</v>
      </c>
      <c r="AF175" s="235">
        <v>15</v>
      </c>
    </row>
    <row r="176" spans="1:32">
      <c r="A176" s="1" t="s">
        <v>95</v>
      </c>
      <c r="B176" s="280"/>
      <c r="C176" s="1" t="s">
        <v>313</v>
      </c>
      <c r="D176" s="1" t="s">
        <v>310</v>
      </c>
      <c r="E176" s="127">
        <v>2.57963756750511</v>
      </c>
      <c r="F176" s="127">
        <v>2.7085386336835602</v>
      </c>
      <c r="G176" s="127">
        <f t="shared" si="113"/>
        <v>4.6000000000000014</v>
      </c>
      <c r="H176" s="127">
        <v>4.3977055449330802</v>
      </c>
      <c r="I176" s="127">
        <v>1258.9000000000001</v>
      </c>
      <c r="J176" s="127">
        <v>762.1</v>
      </c>
      <c r="K176" s="127">
        <v>1260.7</v>
      </c>
      <c r="L176" s="127">
        <v>65.02</v>
      </c>
      <c r="M176" s="127">
        <v>64.36</v>
      </c>
      <c r="N176" s="127">
        <v>64.25</v>
      </c>
      <c r="O176" s="127">
        <v>65.12</v>
      </c>
      <c r="P176" s="127">
        <v>64.6875</v>
      </c>
      <c r="Q176" s="79">
        <v>16.940000000000001</v>
      </c>
      <c r="R176" s="79">
        <v>1.7</v>
      </c>
      <c r="S176" s="127">
        <f t="shared" si="114"/>
        <v>2.5248696349779385</v>
      </c>
      <c r="T176" s="127">
        <f t="shared" si="115"/>
        <v>2.5175475130365026</v>
      </c>
      <c r="U176" s="79">
        <f t="shared" si="116"/>
        <v>2.4069293784032442</v>
      </c>
      <c r="V176" s="127">
        <f t="shared" si="117"/>
        <v>11.139049060336831</v>
      </c>
      <c r="W176" s="127">
        <f t="shared" si="118"/>
        <v>78.391967165548493</v>
      </c>
      <c r="AC176" s="235">
        <v>161</v>
      </c>
      <c r="AD176" s="235">
        <v>91</v>
      </c>
      <c r="AE176" s="235">
        <v>44</v>
      </c>
      <c r="AF176" s="235">
        <v>15</v>
      </c>
    </row>
    <row r="177" spans="1:32">
      <c r="A177" s="1" t="s">
        <v>95</v>
      </c>
      <c r="B177" s="280"/>
      <c r="C177" s="1" t="s">
        <v>313</v>
      </c>
      <c r="D177" s="1" t="s">
        <v>311</v>
      </c>
      <c r="E177" s="127">
        <v>2.6082011391477402</v>
      </c>
      <c r="F177" s="127">
        <v>2.7085386336835602</v>
      </c>
      <c r="G177" s="127">
        <f t="shared" si="113"/>
        <v>4.6000000000000014</v>
      </c>
      <c r="H177" s="127">
        <v>4.3977055449330802</v>
      </c>
      <c r="I177" s="127">
        <v>1261.7</v>
      </c>
      <c r="J177" s="127">
        <v>763.9</v>
      </c>
      <c r="K177" s="127">
        <v>1263.3</v>
      </c>
      <c r="L177" s="127">
        <v>64.349999999999994</v>
      </c>
      <c r="M177" s="127">
        <v>64.680000000000007</v>
      </c>
      <c r="N177" s="127">
        <v>64.760000000000005</v>
      </c>
      <c r="O177" s="127">
        <v>64.319999999999993</v>
      </c>
      <c r="P177" s="127">
        <v>64.527500000000003</v>
      </c>
      <c r="Q177" s="79">
        <v>16.13</v>
      </c>
      <c r="R177" s="79">
        <v>1.19</v>
      </c>
      <c r="S177" s="127">
        <f t="shared" si="114"/>
        <v>2.5264317180616742</v>
      </c>
      <c r="T177" s="127">
        <f t="shared" si="115"/>
        <v>2.5191050660792955</v>
      </c>
      <c r="U177" s="79">
        <f t="shared" si="116"/>
        <v>3.4159970153819441</v>
      </c>
      <c r="V177" s="127">
        <f t="shared" si="117"/>
        <v>11.084072682014337</v>
      </c>
      <c r="W177" s="127">
        <f t="shared" si="118"/>
        <v>69.181030173819238</v>
      </c>
      <c r="AC177" s="235">
        <v>161</v>
      </c>
      <c r="AD177" s="235">
        <v>91</v>
      </c>
      <c r="AE177" s="235">
        <v>44</v>
      </c>
      <c r="AF177" s="235">
        <v>15</v>
      </c>
    </row>
    <row r="178" spans="1:32">
      <c r="A178" s="1" t="s">
        <v>95</v>
      </c>
      <c r="B178" s="280"/>
      <c r="C178" s="1" t="s">
        <v>325</v>
      </c>
      <c r="D178" s="1" t="s">
        <v>307</v>
      </c>
      <c r="E178" s="127">
        <v>2.6082011391477402</v>
      </c>
      <c r="F178" s="127">
        <v>2.7085386336835602</v>
      </c>
      <c r="G178" s="127">
        <f t="shared" si="113"/>
        <v>4.6000000000000014</v>
      </c>
      <c r="H178" s="127">
        <v>4.3977055449330802</v>
      </c>
      <c r="I178" s="127">
        <v>1224.2</v>
      </c>
      <c r="J178" s="127">
        <v>737.1</v>
      </c>
      <c r="K178" s="127">
        <v>1227.3</v>
      </c>
      <c r="L178" s="127">
        <v>62.62</v>
      </c>
      <c r="M178" s="127">
        <v>63.03</v>
      </c>
      <c r="N178" s="127">
        <v>62.56</v>
      </c>
      <c r="O178" s="127">
        <v>62.66</v>
      </c>
      <c r="P178" s="127">
        <v>62.717500000000001</v>
      </c>
      <c r="Q178" s="79">
        <v>19.809999999999999</v>
      </c>
      <c r="R178" s="79">
        <v>1.67</v>
      </c>
      <c r="S178" s="127">
        <f t="shared" si="114"/>
        <v>2.4973480212158305</v>
      </c>
      <c r="T178" s="127">
        <f t="shared" si="115"/>
        <v>2.4901057119543046</v>
      </c>
      <c r="U178" s="79">
        <f t="shared" si="116"/>
        <v>4.5278496899983978</v>
      </c>
      <c r="V178" s="127">
        <f t="shared" si="117"/>
        <v>12.107652245394505</v>
      </c>
      <c r="W178" s="127">
        <f t="shared" si="118"/>
        <v>62.603404869670776</v>
      </c>
      <c r="X178" s="132">
        <f>AVERAGE(S178:S182)</f>
        <v>2.4906807004491713</v>
      </c>
      <c r="Y178" s="132">
        <f t="shared" ref="Y178" si="152">AVERAGE(T178:T182)</f>
        <v>2.483457726417869</v>
      </c>
      <c r="Z178" s="133">
        <f t="shared" ref="Z178" si="153">AVERAGE(U178:U182)</f>
        <v>4.7827374529340423</v>
      </c>
      <c r="AA178" s="132">
        <f t="shared" ref="AA178" si="154">AVERAGE(V178:V182)</f>
        <v>12.342303751887144</v>
      </c>
      <c r="AB178" s="132">
        <f t="shared" ref="AB178" si="155">AVERAGE(W178:W182)</f>
        <v>61.258825163414507</v>
      </c>
      <c r="AC178" s="235">
        <v>161</v>
      </c>
      <c r="AD178" s="235">
        <v>91</v>
      </c>
      <c r="AE178" s="235">
        <v>44</v>
      </c>
      <c r="AF178" s="235">
        <v>15</v>
      </c>
    </row>
    <row r="179" spans="1:32">
      <c r="A179" s="1" t="s">
        <v>95</v>
      </c>
      <c r="B179" s="280"/>
      <c r="C179" s="1" t="s">
        <v>325</v>
      </c>
      <c r="D179" s="1" t="s">
        <v>308</v>
      </c>
      <c r="E179" s="127">
        <v>2.6082011391477402</v>
      </c>
      <c r="F179" s="127">
        <v>2.7085386336835602</v>
      </c>
      <c r="G179" s="127">
        <f t="shared" si="113"/>
        <v>4.6000000000000014</v>
      </c>
      <c r="H179" s="127">
        <v>4.3977055449330802</v>
      </c>
      <c r="I179" s="127">
        <v>1234.0999999999999</v>
      </c>
      <c r="J179" s="127">
        <v>742.7</v>
      </c>
      <c r="K179" s="127">
        <v>1238.5999999999999</v>
      </c>
      <c r="L179" s="127">
        <v>63.05</v>
      </c>
      <c r="M179" s="127">
        <v>63.18</v>
      </c>
      <c r="N179" s="127">
        <v>63.44</v>
      </c>
      <c r="O179" s="127">
        <v>63.11</v>
      </c>
      <c r="P179" s="127">
        <v>63.195</v>
      </c>
      <c r="Q179" s="79">
        <v>20.59</v>
      </c>
      <c r="R179" s="79">
        <v>2.13</v>
      </c>
      <c r="S179" s="127">
        <f t="shared" si="114"/>
        <v>2.4886065739060301</v>
      </c>
      <c r="T179" s="127">
        <f t="shared" si="115"/>
        <v>2.4813896148417025</v>
      </c>
      <c r="U179" s="79">
        <f t="shared" si="116"/>
        <v>4.8620300943306383</v>
      </c>
      <c r="V179" s="127">
        <f t="shared" si="117"/>
        <v>12.415301127450405</v>
      </c>
      <c r="W179" s="127">
        <f t="shared" si="118"/>
        <v>60.838403801736057</v>
      </c>
      <c r="AC179" s="235">
        <v>161</v>
      </c>
      <c r="AD179" s="235">
        <v>91</v>
      </c>
      <c r="AE179" s="235">
        <v>44</v>
      </c>
      <c r="AF179" s="235">
        <v>15</v>
      </c>
    </row>
    <row r="180" spans="1:32">
      <c r="A180" s="1" t="s">
        <v>95</v>
      </c>
      <c r="B180" s="280"/>
      <c r="C180" s="1" t="s">
        <v>325</v>
      </c>
      <c r="D180" s="1" t="s">
        <v>309</v>
      </c>
      <c r="E180" s="127">
        <v>2.6082011391477402</v>
      </c>
      <c r="F180" s="127">
        <v>2.7085386336835602</v>
      </c>
      <c r="G180" s="127">
        <f t="shared" si="113"/>
        <v>4.6000000000000014</v>
      </c>
      <c r="H180" s="127">
        <v>4.3977055449330802</v>
      </c>
      <c r="I180" s="127">
        <v>1230.5999999999999</v>
      </c>
      <c r="J180" s="127">
        <v>739.8</v>
      </c>
      <c r="K180" s="127">
        <v>1234.4000000000001</v>
      </c>
      <c r="L180" s="127">
        <v>63.77</v>
      </c>
      <c r="M180" s="127">
        <v>63.43</v>
      </c>
      <c r="N180" s="127">
        <v>63.45</v>
      </c>
      <c r="O180" s="127">
        <v>63.58</v>
      </c>
      <c r="P180" s="127">
        <v>63.557499999999997</v>
      </c>
      <c r="Q180" s="79">
        <v>20.74</v>
      </c>
      <c r="R180" s="79">
        <v>1.67</v>
      </c>
      <c r="S180" s="127">
        <f t="shared" si="114"/>
        <v>2.488071168621107</v>
      </c>
      <c r="T180" s="127">
        <f t="shared" si="115"/>
        <v>2.4808557622321059</v>
      </c>
      <c r="U180" s="79">
        <f t="shared" si="116"/>
        <v>4.8824983243909603</v>
      </c>
      <c r="V180" s="127">
        <f t="shared" si="117"/>
        <v>12.434144327153575</v>
      </c>
      <c r="W180" s="127">
        <f t="shared" si="118"/>
        <v>60.733137754170961</v>
      </c>
      <c r="AC180" s="235">
        <v>161</v>
      </c>
      <c r="AD180" s="235">
        <v>91</v>
      </c>
      <c r="AE180" s="235">
        <v>44</v>
      </c>
      <c r="AF180" s="235">
        <v>15</v>
      </c>
    </row>
    <row r="181" spans="1:32">
      <c r="A181" s="1" t="s">
        <v>95</v>
      </c>
      <c r="B181" s="280"/>
      <c r="C181" s="1" t="s">
        <v>325</v>
      </c>
      <c r="D181" s="1" t="s">
        <v>310</v>
      </c>
      <c r="E181" s="127">
        <v>2.6082011391477402</v>
      </c>
      <c r="F181" s="127">
        <v>2.7085386336835602</v>
      </c>
      <c r="G181" s="127">
        <f t="shared" si="113"/>
        <v>4.6000000000000014</v>
      </c>
      <c r="H181" s="127">
        <v>4.3977055449330802</v>
      </c>
      <c r="I181" s="127">
        <v>1231.2</v>
      </c>
      <c r="J181" s="127">
        <v>740.4</v>
      </c>
      <c r="K181" s="127">
        <v>1234.2</v>
      </c>
      <c r="L181" s="127">
        <v>63.37</v>
      </c>
      <c r="M181" s="127">
        <v>63.2</v>
      </c>
      <c r="N181" s="127">
        <v>63.52</v>
      </c>
      <c r="O181" s="127">
        <v>63.48</v>
      </c>
      <c r="P181" s="127">
        <v>63.392499999999998</v>
      </c>
      <c r="Q181" s="79">
        <v>19.3</v>
      </c>
      <c r="R181" s="79">
        <v>1.94</v>
      </c>
      <c r="S181" s="127">
        <f t="shared" si="114"/>
        <v>2.493317132442284</v>
      </c>
      <c r="T181" s="127">
        <f t="shared" si="115"/>
        <v>2.4860865127582015</v>
      </c>
      <c r="U181" s="79">
        <f t="shared" si="116"/>
        <v>4.6819482039426212</v>
      </c>
      <c r="V181" s="127">
        <f t="shared" si="117"/>
        <v>12.249516444871276</v>
      </c>
      <c r="W181" s="127">
        <f t="shared" si="118"/>
        <v>61.778505910713761</v>
      </c>
      <c r="AC181" s="235">
        <v>161</v>
      </c>
      <c r="AD181" s="235">
        <v>91</v>
      </c>
      <c r="AE181" s="235">
        <v>44</v>
      </c>
      <c r="AF181" s="235">
        <v>15</v>
      </c>
    </row>
    <row r="182" spans="1:32">
      <c r="A182" s="1" t="s">
        <v>95</v>
      </c>
      <c r="B182" s="280"/>
      <c r="C182" s="1" t="s">
        <v>325</v>
      </c>
      <c r="D182" s="1" t="s">
        <v>311</v>
      </c>
      <c r="E182" s="127">
        <v>2.6082011391477402</v>
      </c>
      <c r="F182" s="127">
        <v>2.7085386336835602</v>
      </c>
      <c r="G182" s="127">
        <f t="shared" si="113"/>
        <v>4.6000000000000014</v>
      </c>
      <c r="H182" s="127">
        <v>4.3977055449330802</v>
      </c>
      <c r="I182" s="127">
        <v>1230.5999999999999</v>
      </c>
      <c r="J182" s="127">
        <v>739</v>
      </c>
      <c r="K182" s="127">
        <v>1234</v>
      </c>
      <c r="L182" s="127">
        <v>64.02</v>
      </c>
      <c r="M182" s="127">
        <v>64.11</v>
      </c>
      <c r="N182" s="127">
        <v>64.36</v>
      </c>
      <c r="O182" s="127">
        <v>64.14</v>
      </c>
      <c r="P182" s="127">
        <v>64.157499999999999</v>
      </c>
      <c r="Q182" s="79">
        <v>18.100000000000001</v>
      </c>
      <c r="R182" s="79">
        <v>1.86</v>
      </c>
      <c r="S182" s="127">
        <f t="shared" si="114"/>
        <v>2.4860606060606059</v>
      </c>
      <c r="T182" s="127">
        <f t="shared" si="115"/>
        <v>2.47885103030303</v>
      </c>
      <c r="U182" s="79">
        <f t="shared" si="116"/>
        <v>4.9593609520075965</v>
      </c>
      <c r="V182" s="127">
        <f t="shared" si="117"/>
        <v>12.504904614565959</v>
      </c>
      <c r="W182" s="127">
        <f t="shared" si="118"/>
        <v>60.340673480781014</v>
      </c>
      <c r="AC182" s="235">
        <v>161</v>
      </c>
      <c r="AD182" s="235">
        <v>91</v>
      </c>
      <c r="AE182" s="235">
        <v>44</v>
      </c>
      <c r="AF182" s="235">
        <v>15</v>
      </c>
    </row>
    <row r="183" spans="1:32">
      <c r="A183" s="1" t="s">
        <v>95</v>
      </c>
      <c r="B183" s="280" t="s">
        <v>251</v>
      </c>
      <c r="C183" s="1" t="s">
        <v>326</v>
      </c>
      <c r="D183" s="1" t="s">
        <v>307</v>
      </c>
      <c r="E183" s="127">
        <v>2.5744136664708299</v>
      </c>
      <c r="F183" s="127">
        <v>2.7129682717697099</v>
      </c>
      <c r="G183" s="127">
        <f t="shared" si="113"/>
        <v>4.8000000000000052</v>
      </c>
      <c r="H183" s="127">
        <v>4.5801526717557302</v>
      </c>
      <c r="I183" s="127">
        <v>1280.5</v>
      </c>
      <c r="J183" s="127">
        <v>777.6</v>
      </c>
      <c r="K183" s="127">
        <v>1282</v>
      </c>
      <c r="L183" s="127">
        <v>63.44</v>
      </c>
      <c r="M183" s="127">
        <v>63.32</v>
      </c>
      <c r="N183" s="127">
        <v>63.46</v>
      </c>
      <c r="O183" s="127">
        <v>63.21</v>
      </c>
      <c r="P183" s="127">
        <v>63.357500000000002</v>
      </c>
      <c r="Q183" s="79">
        <v>17.52</v>
      </c>
      <c r="R183" s="79">
        <v>1.66</v>
      </c>
      <c r="S183" s="127">
        <f t="shared" si="114"/>
        <v>2.5386597938144333</v>
      </c>
      <c r="T183" s="127">
        <f t="shared" si="115"/>
        <v>2.5312976804123712</v>
      </c>
      <c r="U183" s="79">
        <f t="shared" si="116"/>
        <v>1.6747885788520045</v>
      </c>
      <c r="V183" s="127">
        <f t="shared" si="117"/>
        <v>10.969825662675461</v>
      </c>
      <c r="W183" s="127">
        <f t="shared" si="118"/>
        <v>84.732769413552049</v>
      </c>
      <c r="X183" s="132">
        <f>AVERAGE(S183:S187)</f>
        <v>2.5561631419700328</v>
      </c>
      <c r="Y183" s="132">
        <f t="shared" ref="Y183" si="156">AVERAGE(T183:T187)</f>
        <v>2.5487502688583201</v>
      </c>
      <c r="Z183" s="133">
        <f t="shared" ref="Z183" si="157">AVERAGE(U183:U187)</f>
        <v>0.99686378870458936</v>
      </c>
      <c r="AA183" s="132">
        <f t="shared" ref="AA183" si="158">AVERAGE(V183:V187)</f>
        <v>10.355987549519497</v>
      </c>
      <c r="AB183" s="132">
        <f t="shared" ref="AB183" si="159">AVERAGE(W183:W187)</f>
        <v>90.470363221327361</v>
      </c>
      <c r="AC183" s="235">
        <v>144</v>
      </c>
      <c r="AD183" s="235">
        <v>107.8</v>
      </c>
      <c r="AE183" s="235">
        <v>43.95</v>
      </c>
      <c r="AF183" s="235">
        <v>60.3</v>
      </c>
    </row>
    <row r="184" spans="1:32">
      <c r="A184" s="1" t="s">
        <v>95</v>
      </c>
      <c r="B184" s="276"/>
      <c r="C184" s="1" t="s">
        <v>326</v>
      </c>
      <c r="D184" s="1" t="s">
        <v>308</v>
      </c>
      <c r="E184" s="127">
        <v>2.5744136664708299</v>
      </c>
      <c r="F184" s="127">
        <v>2.7129682717697099</v>
      </c>
      <c r="G184" s="127">
        <f t="shared" si="113"/>
        <v>4.8000000000000052</v>
      </c>
      <c r="H184" s="127">
        <v>4.5801526717557302</v>
      </c>
      <c r="I184" s="127">
        <v>1282.2</v>
      </c>
      <c r="J184" s="127">
        <v>783.2</v>
      </c>
      <c r="K184" s="127">
        <v>1283.0999999999999</v>
      </c>
      <c r="L184" s="127">
        <v>63.15</v>
      </c>
      <c r="M184" s="127">
        <v>63.24</v>
      </c>
      <c r="N184" s="127">
        <v>63.21</v>
      </c>
      <c r="O184" s="127">
        <v>63.37</v>
      </c>
      <c r="P184" s="127">
        <v>63.2425</v>
      </c>
      <c r="Q184" s="79">
        <v>16.899999999999999</v>
      </c>
      <c r="R184" s="79">
        <v>1.51</v>
      </c>
      <c r="S184" s="127">
        <f t="shared" si="114"/>
        <v>2.5649129825965202</v>
      </c>
      <c r="T184" s="127">
        <f t="shared" si="115"/>
        <v>2.5574747349469904</v>
      </c>
      <c r="U184" s="79">
        <f t="shared" si="116"/>
        <v>0.65797240530736101</v>
      </c>
      <c r="V184" s="127">
        <f t="shared" si="117"/>
        <v>10.04913279162794</v>
      </c>
      <c r="W184" s="127">
        <f t="shared" si="118"/>
        <v>93.4524459080138</v>
      </c>
      <c r="AC184" s="235">
        <v>144</v>
      </c>
      <c r="AD184" s="235">
        <v>107.8</v>
      </c>
      <c r="AE184" s="235">
        <v>43.95</v>
      </c>
      <c r="AF184" s="235">
        <v>60.3</v>
      </c>
    </row>
    <row r="185" spans="1:32">
      <c r="A185" s="1" t="s">
        <v>95</v>
      </c>
      <c r="B185" s="276"/>
      <c r="C185" s="1" t="s">
        <v>326</v>
      </c>
      <c r="D185" s="1" t="s">
        <v>309</v>
      </c>
      <c r="E185" s="127">
        <v>2.5744136664708299</v>
      </c>
      <c r="F185" s="127">
        <v>2.7129682717697099</v>
      </c>
      <c r="G185" s="127">
        <f t="shared" si="113"/>
        <v>4.8000000000000052</v>
      </c>
      <c r="H185" s="127">
        <v>4.5801526717557302</v>
      </c>
      <c r="I185" s="127">
        <v>1283</v>
      </c>
      <c r="J185" s="127">
        <v>782.4</v>
      </c>
      <c r="K185" s="127">
        <v>1284.3</v>
      </c>
      <c r="L185" s="127">
        <v>63.9</v>
      </c>
      <c r="M185" s="127">
        <v>63.64</v>
      </c>
      <c r="N185" s="127">
        <v>63.67</v>
      </c>
      <c r="O185" s="127">
        <v>63.65</v>
      </c>
      <c r="P185" s="127">
        <v>63.715000000000003</v>
      </c>
      <c r="Q185" s="79">
        <v>16.66</v>
      </c>
      <c r="R185" s="79">
        <v>3.39</v>
      </c>
      <c r="S185" s="127">
        <f t="shared" si="114"/>
        <v>2.5562861127714687</v>
      </c>
      <c r="T185" s="127">
        <f t="shared" si="115"/>
        <v>2.5488728830444312</v>
      </c>
      <c r="U185" s="79">
        <f t="shared" si="116"/>
        <v>0.99210098823828696</v>
      </c>
      <c r="V185" s="127">
        <f t="shared" si="117"/>
        <v>10.351674993769862</v>
      </c>
      <c r="W185" s="127">
        <f t="shared" si="118"/>
        <v>90.41603422793527</v>
      </c>
      <c r="AC185" s="235">
        <v>144</v>
      </c>
      <c r="AD185" s="235">
        <v>107.8</v>
      </c>
      <c r="AE185" s="235">
        <v>43.95</v>
      </c>
      <c r="AF185" s="235">
        <v>60.3</v>
      </c>
    </row>
    <row r="186" spans="1:32">
      <c r="A186" s="1" t="s">
        <v>95</v>
      </c>
      <c r="B186" s="276"/>
      <c r="C186" s="1" t="s">
        <v>326</v>
      </c>
      <c r="D186" s="1" t="s">
        <v>310</v>
      </c>
      <c r="E186" s="127">
        <v>2.5744136664708299</v>
      </c>
      <c r="F186" s="127">
        <v>2.7129682717697099</v>
      </c>
      <c r="G186" s="127">
        <f t="shared" si="113"/>
        <v>4.8000000000000052</v>
      </c>
      <c r="H186" s="127">
        <v>4.5801526717557302</v>
      </c>
      <c r="I186" s="127">
        <v>1280.5999999999999</v>
      </c>
      <c r="J186" s="127">
        <v>781.9</v>
      </c>
      <c r="K186" s="127">
        <v>1281.5999999999999</v>
      </c>
      <c r="L186" s="127">
        <v>62.95</v>
      </c>
      <c r="M186" s="127">
        <v>63.25</v>
      </c>
      <c r="N186" s="127">
        <v>63.26</v>
      </c>
      <c r="O186" s="127">
        <v>62.96</v>
      </c>
      <c r="P186" s="127">
        <v>63.104999999999997</v>
      </c>
      <c r="Q186" s="79">
        <v>16.940000000000001</v>
      </c>
      <c r="R186" s="79">
        <v>1.7</v>
      </c>
      <c r="S186" s="127">
        <f t="shared" si="114"/>
        <v>2.5627376425855517</v>
      </c>
      <c r="T186" s="127">
        <f t="shared" si="115"/>
        <v>2.5553057034220537</v>
      </c>
      <c r="U186" s="79">
        <f t="shared" si="116"/>
        <v>0.74222582398619785</v>
      </c>
      <c r="V186" s="127">
        <f t="shared" si="117"/>
        <v>10.125421430574903</v>
      </c>
      <c r="W186" s="127">
        <f t="shared" si="118"/>
        <v>92.669679686171293</v>
      </c>
      <c r="AC186" s="235">
        <v>144</v>
      </c>
      <c r="AD186" s="235">
        <v>107.8</v>
      </c>
      <c r="AE186" s="235">
        <v>43.95</v>
      </c>
      <c r="AF186" s="235">
        <v>60.3</v>
      </c>
    </row>
    <row r="187" spans="1:32">
      <c r="A187" s="1" t="s">
        <v>95</v>
      </c>
      <c r="B187" s="276"/>
      <c r="C187" s="1" t="s">
        <v>326</v>
      </c>
      <c r="D187" s="1" t="s">
        <v>311</v>
      </c>
      <c r="E187" s="127">
        <v>2.5744136664708299</v>
      </c>
      <c r="F187" s="127">
        <v>2.7129682717697099</v>
      </c>
      <c r="G187" s="127">
        <f t="shared" si="113"/>
        <v>4.8000000000000052</v>
      </c>
      <c r="H187" s="127">
        <v>4.5801526717557302</v>
      </c>
      <c r="I187" s="127">
        <v>1269.9000000000001</v>
      </c>
      <c r="J187" s="127">
        <v>774.4</v>
      </c>
      <c r="K187" s="127">
        <v>1270.8</v>
      </c>
      <c r="L187" s="127">
        <v>62.85</v>
      </c>
      <c r="M187" s="127">
        <v>62.73</v>
      </c>
      <c r="N187" s="127">
        <v>62.77</v>
      </c>
      <c r="O187" s="127">
        <v>62.83</v>
      </c>
      <c r="P187" s="127">
        <v>62.795000000000002</v>
      </c>
      <c r="Q187" s="79">
        <v>16.13</v>
      </c>
      <c r="R187" s="79">
        <v>1.19</v>
      </c>
      <c r="S187" s="127">
        <f t="shared" si="114"/>
        <v>2.5582191780821919</v>
      </c>
      <c r="T187" s="127">
        <f t="shared" si="115"/>
        <v>2.5508003424657537</v>
      </c>
      <c r="U187" s="79">
        <f t="shared" si="116"/>
        <v>0.91723114713909704</v>
      </c>
      <c r="V187" s="127">
        <f t="shared" si="117"/>
        <v>10.28388286894932</v>
      </c>
      <c r="W187" s="127">
        <f t="shared" si="118"/>
        <v>91.080886870964449</v>
      </c>
      <c r="AC187" s="235">
        <v>144</v>
      </c>
      <c r="AD187" s="235">
        <v>107.8</v>
      </c>
      <c r="AE187" s="235">
        <v>43.95</v>
      </c>
      <c r="AF187" s="235">
        <v>60.3</v>
      </c>
    </row>
    <row r="188" spans="1:32">
      <c r="A188" s="1" t="s">
        <v>95</v>
      </c>
      <c r="B188" s="276"/>
      <c r="C188" s="1" t="s">
        <v>327</v>
      </c>
      <c r="D188" s="1" t="s">
        <v>307</v>
      </c>
      <c r="E188" s="127">
        <v>2.5744136664708299</v>
      </c>
      <c r="F188" s="127">
        <v>2.7129682717697099</v>
      </c>
      <c r="G188" s="127">
        <f t="shared" si="113"/>
        <v>4.6000000000000014</v>
      </c>
      <c r="H188" s="127">
        <v>4.3977055449330802</v>
      </c>
      <c r="I188" s="127">
        <v>1275.4000000000001</v>
      </c>
      <c r="J188" s="127">
        <v>771.1</v>
      </c>
      <c r="K188" s="127">
        <v>1277.7</v>
      </c>
      <c r="L188" s="127">
        <v>64.53</v>
      </c>
      <c r="M188" s="127">
        <v>64.56</v>
      </c>
      <c r="N188" s="127">
        <v>64.489999999999995</v>
      </c>
      <c r="O188" s="127">
        <v>64.540000000000006</v>
      </c>
      <c r="P188" s="127">
        <v>64.53</v>
      </c>
      <c r="Q188" s="79">
        <v>14.82</v>
      </c>
      <c r="R188" s="79">
        <v>1.6</v>
      </c>
      <c r="S188" s="127">
        <f t="shared" si="114"/>
        <v>2.5175681010659297</v>
      </c>
      <c r="T188" s="127">
        <f t="shared" si="115"/>
        <v>2.5102671535728383</v>
      </c>
      <c r="U188" s="79">
        <f t="shared" si="116"/>
        <v>2.4916940790610353</v>
      </c>
      <c r="V188" s="127">
        <f t="shared" si="117"/>
        <v>11.540690661964177</v>
      </c>
      <c r="W188" s="127">
        <f t="shared" si="118"/>
        <v>78.409489067468343</v>
      </c>
      <c r="X188" s="132">
        <f>AVERAGE(S188:S192)</f>
        <v>2.5225822172197963</v>
      </c>
      <c r="Y188" s="132">
        <f t="shared" ref="Y188" si="160">AVERAGE(T188:T192)</f>
        <v>2.5152667287898587</v>
      </c>
      <c r="Z188" s="133">
        <f t="shared" ref="Z188" si="161">AVERAGE(U188:U192)</f>
        <v>2.2974915978461778</v>
      </c>
      <c r="AA188" s="132">
        <f t="shared" ref="AA188" si="162">AVERAGE(V188:V192)</f>
        <v>11.364510620707719</v>
      </c>
      <c r="AB188" s="132">
        <f t="shared" ref="AB188" si="163">AVERAGE(W188:W192)</f>
        <v>79.829341870696609</v>
      </c>
      <c r="AC188" s="235">
        <v>144</v>
      </c>
      <c r="AD188" s="235">
        <v>107.8</v>
      </c>
      <c r="AE188" s="235">
        <v>43.95</v>
      </c>
      <c r="AF188" s="235">
        <v>60.3</v>
      </c>
    </row>
    <row r="189" spans="1:32">
      <c r="A189" s="1" t="s">
        <v>95</v>
      </c>
      <c r="B189" s="276"/>
      <c r="C189" s="1" t="s">
        <v>327</v>
      </c>
      <c r="D189" s="1" t="s">
        <v>308</v>
      </c>
      <c r="E189" s="127">
        <v>2.5744136664708299</v>
      </c>
      <c r="F189" s="127">
        <v>2.7129682717697099</v>
      </c>
      <c r="G189" s="127">
        <f t="shared" si="113"/>
        <v>4.6000000000000014</v>
      </c>
      <c r="H189" s="127">
        <v>4.3977055449330802</v>
      </c>
      <c r="I189" s="127">
        <v>1254.5</v>
      </c>
      <c r="J189" s="127">
        <v>757.4</v>
      </c>
      <c r="K189" s="127">
        <v>1256.9000000000001</v>
      </c>
      <c r="L189" s="127">
        <v>62.44</v>
      </c>
      <c r="M189" s="127">
        <v>62.36</v>
      </c>
      <c r="N189" s="127">
        <v>62.6</v>
      </c>
      <c r="O189" s="127">
        <v>62.65</v>
      </c>
      <c r="P189" s="127">
        <v>62.512500000000003</v>
      </c>
      <c r="Q189" s="79">
        <v>15.31</v>
      </c>
      <c r="R189" s="79">
        <v>2.19</v>
      </c>
      <c r="S189" s="127">
        <f t="shared" si="114"/>
        <v>2.511511511511511</v>
      </c>
      <c r="T189" s="127">
        <f t="shared" si="115"/>
        <v>2.5042281281281276</v>
      </c>
      <c r="U189" s="79">
        <f t="shared" si="116"/>
        <v>2.7262727531631392</v>
      </c>
      <c r="V189" s="127">
        <f t="shared" si="117"/>
        <v>11.753499891911531</v>
      </c>
      <c r="W189" s="127">
        <f t="shared" si="118"/>
        <v>76.804587754841492</v>
      </c>
      <c r="AC189" s="235">
        <v>144</v>
      </c>
      <c r="AD189" s="235">
        <v>107.8</v>
      </c>
      <c r="AE189" s="235">
        <v>43.95</v>
      </c>
      <c r="AF189" s="235">
        <v>60.3</v>
      </c>
    </row>
    <row r="190" spans="1:32">
      <c r="A190" s="1" t="s">
        <v>95</v>
      </c>
      <c r="B190" s="276"/>
      <c r="C190" s="1" t="s">
        <v>327</v>
      </c>
      <c r="D190" s="1" t="s">
        <v>309</v>
      </c>
      <c r="E190" s="127">
        <v>2.5744136664708299</v>
      </c>
      <c r="F190" s="127">
        <v>2.7129682717697099</v>
      </c>
      <c r="G190" s="127">
        <f t="shared" si="113"/>
        <v>4.6000000000000014</v>
      </c>
      <c r="H190" s="127">
        <v>4.3977055449330802</v>
      </c>
      <c r="I190" s="127">
        <v>1261.2</v>
      </c>
      <c r="J190" s="127">
        <v>764.6</v>
      </c>
      <c r="K190" s="127">
        <v>1262.5999999999999</v>
      </c>
      <c r="L190" s="127">
        <v>63.77</v>
      </c>
      <c r="M190" s="127">
        <v>63.01</v>
      </c>
      <c r="N190" s="127">
        <v>62.82</v>
      </c>
      <c r="O190" s="127">
        <v>62.9</v>
      </c>
      <c r="P190" s="127">
        <v>63.125</v>
      </c>
      <c r="Q190" s="79">
        <v>13.2</v>
      </c>
      <c r="R190" s="79">
        <v>1.75</v>
      </c>
      <c r="S190" s="127">
        <f t="shared" si="114"/>
        <v>2.5325301204819284</v>
      </c>
      <c r="T190" s="127">
        <f t="shared" si="115"/>
        <v>2.5251857831325308</v>
      </c>
      <c r="U190" s="79">
        <f t="shared" si="116"/>
        <v>1.9121978716724164</v>
      </c>
      <c r="V190" s="127">
        <f t="shared" si="117"/>
        <v>11.01497304452171</v>
      </c>
      <c r="W190" s="127">
        <f t="shared" si="118"/>
        <v>82.640013153518822</v>
      </c>
      <c r="AC190" s="235">
        <v>144</v>
      </c>
      <c r="AD190" s="235">
        <v>107.8</v>
      </c>
      <c r="AE190" s="235">
        <v>43.95</v>
      </c>
      <c r="AF190" s="235">
        <v>60.3</v>
      </c>
    </row>
    <row r="191" spans="1:32">
      <c r="A191" s="1" t="s">
        <v>95</v>
      </c>
      <c r="B191" s="276"/>
      <c r="C191" s="1" t="s">
        <v>327</v>
      </c>
      <c r="D191" s="1" t="s">
        <v>310</v>
      </c>
      <c r="E191" s="127">
        <v>2.5744136664708299</v>
      </c>
      <c r="F191" s="127">
        <v>2.7129682717697099</v>
      </c>
      <c r="G191" s="127">
        <f t="shared" si="113"/>
        <v>4.6000000000000014</v>
      </c>
      <c r="H191" s="127">
        <v>4.3977055449330802</v>
      </c>
      <c r="I191" s="127">
        <v>1258.9000000000001</v>
      </c>
      <c r="J191" s="127">
        <v>762.1</v>
      </c>
      <c r="K191" s="127">
        <v>1260.7</v>
      </c>
      <c r="L191" s="127">
        <v>62.9</v>
      </c>
      <c r="M191" s="127">
        <v>63.14</v>
      </c>
      <c r="N191" s="127">
        <v>63.11</v>
      </c>
      <c r="O191" s="127">
        <v>63.38</v>
      </c>
      <c r="P191" s="127">
        <v>63.1325</v>
      </c>
      <c r="Q191" s="79">
        <v>14.59</v>
      </c>
      <c r="R191" s="79">
        <v>1.6</v>
      </c>
      <c r="S191" s="127">
        <f t="shared" si="114"/>
        <v>2.5248696349779385</v>
      </c>
      <c r="T191" s="127">
        <f t="shared" si="115"/>
        <v>2.5175475130365026</v>
      </c>
      <c r="U191" s="79">
        <f t="shared" si="116"/>
        <v>2.2088972792116635</v>
      </c>
      <c r="V191" s="127">
        <f t="shared" si="117"/>
        <v>11.284138059994405</v>
      </c>
      <c r="W191" s="127">
        <f t="shared" si="118"/>
        <v>80.424758475413768</v>
      </c>
      <c r="AC191" s="235">
        <v>144</v>
      </c>
      <c r="AD191" s="235">
        <v>107.8</v>
      </c>
      <c r="AE191" s="235">
        <v>43.95</v>
      </c>
      <c r="AF191" s="235">
        <v>60.3</v>
      </c>
    </row>
    <row r="192" spans="1:32">
      <c r="A192" s="1" t="s">
        <v>95</v>
      </c>
      <c r="B192" s="276"/>
      <c r="C192" s="1" t="s">
        <v>327</v>
      </c>
      <c r="D192" s="1" t="s">
        <v>311</v>
      </c>
      <c r="E192" s="127">
        <v>2.5744136664708299</v>
      </c>
      <c r="F192" s="127">
        <v>2.7129682717697099</v>
      </c>
      <c r="G192" s="127">
        <f t="shared" si="113"/>
        <v>4.6000000000000014</v>
      </c>
      <c r="H192" s="127">
        <v>4.3977055449330802</v>
      </c>
      <c r="I192" s="127">
        <v>1261.7</v>
      </c>
      <c r="J192" s="127">
        <v>763.9</v>
      </c>
      <c r="K192" s="127">
        <v>1263.3</v>
      </c>
      <c r="L192" s="127">
        <v>63.09</v>
      </c>
      <c r="M192" s="127">
        <v>63.05</v>
      </c>
      <c r="N192" s="127">
        <v>62.97</v>
      </c>
      <c r="O192" s="127">
        <v>63.17</v>
      </c>
      <c r="P192" s="127">
        <v>63.07</v>
      </c>
      <c r="Q192" s="79">
        <v>13.06</v>
      </c>
      <c r="R192" s="79">
        <v>1.63</v>
      </c>
      <c r="S192" s="127">
        <f t="shared" si="114"/>
        <v>2.5264317180616742</v>
      </c>
      <c r="T192" s="127">
        <f t="shared" si="115"/>
        <v>2.5191050660792955</v>
      </c>
      <c r="U192" s="79">
        <f t="shared" si="116"/>
        <v>2.1483960061226326</v>
      </c>
      <c r="V192" s="127">
        <f t="shared" si="117"/>
        <v>11.229251445146772</v>
      </c>
      <c r="W192" s="127">
        <f t="shared" si="118"/>
        <v>80.86786090224065</v>
      </c>
      <c r="AC192" s="235">
        <v>144</v>
      </c>
      <c r="AD192" s="235">
        <v>107.8</v>
      </c>
      <c r="AE192" s="235">
        <v>43.95</v>
      </c>
      <c r="AF192" s="235">
        <v>60.3</v>
      </c>
    </row>
    <row r="193" spans="1:32">
      <c r="A193" s="1" t="s">
        <v>95</v>
      </c>
      <c r="B193" s="276"/>
      <c r="C193" s="1" t="s">
        <v>328</v>
      </c>
      <c r="D193" s="1" t="s">
        <v>307</v>
      </c>
      <c r="E193" s="127">
        <v>2.5366863639375201</v>
      </c>
      <c r="F193" s="127">
        <v>2.7129682717697099</v>
      </c>
      <c r="G193" s="127">
        <f t="shared" si="113"/>
        <v>4.6000000000000014</v>
      </c>
      <c r="H193" s="127">
        <v>4.3977055449330802</v>
      </c>
      <c r="I193" s="127">
        <v>1221.8</v>
      </c>
      <c r="J193" s="127">
        <v>728.3</v>
      </c>
      <c r="K193" s="127">
        <v>1228.9000000000001</v>
      </c>
      <c r="L193" s="127">
        <v>64.75</v>
      </c>
      <c r="M193" s="127">
        <v>64.599999999999994</v>
      </c>
      <c r="N193" s="127">
        <v>64.52</v>
      </c>
      <c r="O193" s="127">
        <v>64.680000000000007</v>
      </c>
      <c r="P193" s="127">
        <v>64.637500000000003</v>
      </c>
      <c r="Q193" s="79">
        <v>14.82</v>
      </c>
      <c r="R193" s="79">
        <v>1.6</v>
      </c>
      <c r="S193" s="127">
        <f t="shared" si="114"/>
        <v>2.4406711945665194</v>
      </c>
      <c r="T193" s="127">
        <f t="shared" si="115"/>
        <v>2.4335932481022766</v>
      </c>
      <c r="U193" s="79">
        <f t="shared" si="116"/>
        <v>4.064086017919033</v>
      </c>
      <c r="V193" s="127">
        <f t="shared" si="117"/>
        <v>14.242602573022026</v>
      </c>
      <c r="W193" s="127">
        <f t="shared" si="118"/>
        <v>71.465285244867246</v>
      </c>
      <c r="X193" s="132">
        <f>AVERAGE(S193:S197)</f>
        <v>2.4372573727682987</v>
      </c>
      <c r="Y193" s="132">
        <f t="shared" ref="Y193" si="164">AVERAGE(T193:T197)</f>
        <v>2.4301893263872709</v>
      </c>
      <c r="Z193" s="133">
        <f t="shared" ref="Z193" si="165">AVERAGE(U193:U197)</f>
        <v>4.1982737426372863</v>
      </c>
      <c r="AA193" s="132">
        <f t="shared" ref="AA193" si="166">AVERAGE(V193:V197)</f>
        <v>14.362553377270734</v>
      </c>
      <c r="AB193" s="132">
        <f t="shared" ref="AB193" si="167">AVERAGE(W193:W197)</f>
        <v>70.782171621866922</v>
      </c>
      <c r="AC193" s="235">
        <v>144</v>
      </c>
      <c r="AD193" s="235">
        <v>107.8</v>
      </c>
      <c r="AE193" s="235">
        <v>43.95</v>
      </c>
      <c r="AF193" s="235">
        <v>60.3</v>
      </c>
    </row>
    <row r="194" spans="1:32">
      <c r="A194" s="1" t="s">
        <v>95</v>
      </c>
      <c r="B194" s="276"/>
      <c r="C194" s="1" t="s">
        <v>328</v>
      </c>
      <c r="D194" s="1" t="s">
        <v>308</v>
      </c>
      <c r="E194" s="127">
        <v>2.5366863639375201</v>
      </c>
      <c r="F194" s="127">
        <v>2.7129682717697099</v>
      </c>
      <c r="G194" s="127">
        <f t="shared" si="113"/>
        <v>4.6000000000000014</v>
      </c>
      <c r="H194" s="127">
        <v>4.3977055449330802</v>
      </c>
      <c r="I194" s="127">
        <v>1211.3</v>
      </c>
      <c r="J194" s="127">
        <v>721.6</v>
      </c>
      <c r="K194" s="127">
        <v>1218.0999999999999</v>
      </c>
      <c r="L194" s="127">
        <v>64.28</v>
      </c>
      <c r="M194" s="127">
        <v>64.349999999999994</v>
      </c>
      <c r="N194" s="127">
        <v>64.37</v>
      </c>
      <c r="O194" s="127">
        <v>64.22</v>
      </c>
      <c r="P194" s="127">
        <v>64.305000000000007</v>
      </c>
      <c r="Q194" s="79">
        <v>15.31</v>
      </c>
      <c r="R194" s="79">
        <v>2.19</v>
      </c>
      <c r="S194" s="127">
        <f t="shared" si="114"/>
        <v>2.4396777442094666</v>
      </c>
      <c r="T194" s="127">
        <f t="shared" si="115"/>
        <v>2.4326026787512589</v>
      </c>
      <c r="U194" s="79">
        <f t="shared" si="116"/>
        <v>4.1031357548159564</v>
      </c>
      <c r="V194" s="127">
        <f t="shared" si="117"/>
        <v>14.277509248400278</v>
      </c>
      <c r="W194" s="127">
        <f t="shared" si="118"/>
        <v>71.261543708853196</v>
      </c>
      <c r="AC194" s="235">
        <v>144</v>
      </c>
      <c r="AD194" s="235">
        <v>107.8</v>
      </c>
      <c r="AE194" s="235">
        <v>43.95</v>
      </c>
      <c r="AF194" s="235">
        <v>60.3</v>
      </c>
    </row>
    <row r="195" spans="1:32">
      <c r="A195" s="1" t="s">
        <v>95</v>
      </c>
      <c r="B195" s="276"/>
      <c r="C195" s="1" t="s">
        <v>328</v>
      </c>
      <c r="D195" s="1" t="s">
        <v>309</v>
      </c>
      <c r="E195" s="127">
        <v>2.5366863639375201</v>
      </c>
      <c r="F195" s="127">
        <v>2.7129682717697099</v>
      </c>
      <c r="G195" s="127">
        <f t="shared" ref="G195:G237" si="168">100*H195/(100-H195)</f>
        <v>4.6000000000000014</v>
      </c>
      <c r="H195" s="127">
        <v>4.3977055449330802</v>
      </c>
      <c r="I195" s="127">
        <v>1211.5</v>
      </c>
      <c r="J195" s="127">
        <v>724</v>
      </c>
      <c r="K195" s="127">
        <v>1219.8</v>
      </c>
      <c r="L195" s="127">
        <v>64.650000000000006</v>
      </c>
      <c r="M195" s="127">
        <v>64.2</v>
      </c>
      <c r="N195" s="127">
        <v>64.16</v>
      </c>
      <c r="O195" s="127">
        <v>64.36</v>
      </c>
      <c r="P195" s="127">
        <v>64.342500000000001</v>
      </c>
      <c r="Q195" s="79">
        <v>14.2</v>
      </c>
      <c r="R195" s="79">
        <v>1.75</v>
      </c>
      <c r="S195" s="127">
        <f t="shared" ref="S195:S258" si="169">I195/(K195-J195)</f>
        <v>2.4435256151674065</v>
      </c>
      <c r="T195" s="127">
        <f t="shared" ref="T195:T258" si="170">0.9971*S195</f>
        <v>2.4364393908834212</v>
      </c>
      <c r="U195" s="79">
        <f t="shared" ref="U195:U258" si="171">100*(1-T195/E195)</f>
        <v>3.9518867795107493</v>
      </c>
      <c r="V195" s="127">
        <f t="shared" ref="V195:V258" si="172">100-T195*(100-H195)/F195</f>
        <v>14.142307341759832</v>
      </c>
      <c r="W195" s="127">
        <f t="shared" ref="W195:W258" si="173">100*(V195-U195)/V195</f>
        <v>72.056279898249002</v>
      </c>
      <c r="AC195" s="235">
        <v>144</v>
      </c>
      <c r="AD195" s="235">
        <v>107.8</v>
      </c>
      <c r="AE195" s="235">
        <v>43.95</v>
      </c>
      <c r="AF195" s="235">
        <v>60.3</v>
      </c>
    </row>
    <row r="196" spans="1:32">
      <c r="A196" s="1" t="s">
        <v>95</v>
      </c>
      <c r="B196" s="276"/>
      <c r="C196" s="1" t="s">
        <v>328</v>
      </c>
      <c r="D196" s="1" t="s">
        <v>310</v>
      </c>
      <c r="E196" s="127">
        <v>2.5366863639375201</v>
      </c>
      <c r="F196" s="127">
        <v>2.7129682717697099</v>
      </c>
      <c r="G196" s="127">
        <f t="shared" si="168"/>
        <v>4.6000000000000014</v>
      </c>
      <c r="H196" s="127">
        <v>4.3977055449330802</v>
      </c>
      <c r="I196" s="127">
        <v>1204.7</v>
      </c>
      <c r="J196" s="127">
        <v>718.2</v>
      </c>
      <c r="K196" s="127">
        <v>1213.8</v>
      </c>
      <c r="L196" s="127">
        <v>64.55</v>
      </c>
      <c r="M196" s="127">
        <v>64.11</v>
      </c>
      <c r="N196" s="127">
        <v>64.27</v>
      </c>
      <c r="O196" s="127">
        <v>64.37</v>
      </c>
      <c r="P196" s="127">
        <v>64.325000000000003</v>
      </c>
      <c r="Q196" s="79">
        <v>14.59</v>
      </c>
      <c r="R196" s="79">
        <v>1.6</v>
      </c>
      <c r="S196" s="127">
        <f t="shared" si="169"/>
        <v>2.430790960451978</v>
      </c>
      <c r="T196" s="127">
        <f t="shared" si="170"/>
        <v>2.4237416666666673</v>
      </c>
      <c r="U196" s="79">
        <f t="shared" si="171"/>
        <v>4.4524502073459598</v>
      </c>
      <c r="V196" s="127">
        <f t="shared" si="172"/>
        <v>14.589762471298613</v>
      </c>
      <c r="W196" s="127">
        <f t="shared" si="173"/>
        <v>69.482366720466189</v>
      </c>
      <c r="AC196" s="235">
        <v>144</v>
      </c>
      <c r="AD196" s="235">
        <v>107.8</v>
      </c>
      <c r="AE196" s="235">
        <v>43.95</v>
      </c>
      <c r="AF196" s="235">
        <v>60.3</v>
      </c>
    </row>
    <row r="197" spans="1:32">
      <c r="A197" s="1" t="s">
        <v>95</v>
      </c>
      <c r="B197" s="276"/>
      <c r="C197" s="1" t="s">
        <v>328</v>
      </c>
      <c r="D197" s="1" t="s">
        <v>311</v>
      </c>
      <c r="E197" s="127">
        <v>2.5366863639375201</v>
      </c>
      <c r="F197" s="127">
        <v>2.7129682717697099</v>
      </c>
      <c r="G197" s="127">
        <f t="shared" si="168"/>
        <v>4.6000000000000014</v>
      </c>
      <c r="H197" s="127">
        <v>4.3977055449330802</v>
      </c>
      <c r="I197" s="127">
        <v>1207.3</v>
      </c>
      <c r="J197" s="127">
        <v>719.3</v>
      </c>
      <c r="K197" s="127">
        <v>1215.8</v>
      </c>
      <c r="L197" s="127">
        <v>64.27</v>
      </c>
      <c r="M197" s="127">
        <v>64.349999999999994</v>
      </c>
      <c r="N197" s="127">
        <v>6446</v>
      </c>
      <c r="O197" s="127">
        <v>64.150000000000006</v>
      </c>
      <c r="P197" s="127">
        <v>1659.6925000000001</v>
      </c>
      <c r="Q197" s="79">
        <v>13.06</v>
      </c>
      <c r="R197" s="79">
        <v>1.63</v>
      </c>
      <c r="S197" s="127">
        <f t="shared" si="169"/>
        <v>2.431621349446123</v>
      </c>
      <c r="T197" s="127">
        <f t="shared" si="170"/>
        <v>2.4245696475327292</v>
      </c>
      <c r="U197" s="79">
        <f t="shared" si="171"/>
        <v>4.4198099535947328</v>
      </c>
      <c r="V197" s="127">
        <f t="shared" si="172"/>
        <v>14.560585251872922</v>
      </c>
      <c r="W197" s="127">
        <f t="shared" si="173"/>
        <v>69.645382536898964</v>
      </c>
      <c r="AC197" s="235">
        <v>144</v>
      </c>
      <c r="AD197" s="235">
        <v>107.8</v>
      </c>
      <c r="AE197" s="235">
        <v>43.95</v>
      </c>
      <c r="AF197" s="235">
        <v>60.3</v>
      </c>
    </row>
    <row r="198" spans="1:32">
      <c r="A198" s="1" t="s">
        <v>95</v>
      </c>
      <c r="B198" s="280" t="s">
        <v>252</v>
      </c>
      <c r="C198" s="135" t="s">
        <v>329</v>
      </c>
      <c r="D198" s="1" t="s">
        <v>307</v>
      </c>
      <c r="E198" s="127">
        <v>2.6082011391477402</v>
      </c>
      <c r="F198" s="127">
        <v>2.7129682717697099</v>
      </c>
      <c r="G198" s="127">
        <f t="shared" si="168"/>
        <v>4.1999999999999984</v>
      </c>
      <c r="H198" s="127">
        <v>4.0307101727447199</v>
      </c>
      <c r="I198" s="127">
        <v>1280.5</v>
      </c>
      <c r="J198" s="127">
        <v>777.6</v>
      </c>
      <c r="K198" s="127">
        <v>1282</v>
      </c>
      <c r="L198" s="127">
        <v>63.44</v>
      </c>
      <c r="M198" s="127">
        <v>63.32</v>
      </c>
      <c r="N198" s="127">
        <v>63.46</v>
      </c>
      <c r="O198" s="127">
        <v>63.21</v>
      </c>
      <c r="P198" s="127">
        <v>63.357500000000002</v>
      </c>
      <c r="Q198" s="79">
        <v>17.52</v>
      </c>
      <c r="R198" s="79">
        <v>1.66</v>
      </c>
      <c r="S198" s="127">
        <f t="shared" si="169"/>
        <v>2.5386597938144333</v>
      </c>
      <c r="T198" s="127">
        <f t="shared" si="170"/>
        <v>2.5312976804123712</v>
      </c>
      <c r="U198" s="79">
        <f t="shared" si="171"/>
        <v>2.948524850368639</v>
      </c>
      <c r="V198" s="127">
        <f t="shared" si="172"/>
        <v>10.457175906414477</v>
      </c>
      <c r="W198" s="127">
        <f t="shared" si="173"/>
        <v>71.803813221120237</v>
      </c>
      <c r="X198" s="132">
        <f>AVERAGE(S198:S202)</f>
        <v>2.5561631419700328</v>
      </c>
      <c r="Y198" s="132">
        <f t="shared" ref="Y198" si="174">AVERAGE(T198:T202)</f>
        <v>2.5487502688583201</v>
      </c>
      <c r="Z198" s="133">
        <f t="shared" ref="Z198" si="175">AVERAGE(U198:U202)</f>
        <v>2.2793821150176519</v>
      </c>
      <c r="AA198" s="132">
        <f t="shared" ref="AA198" si="176">AVERAGE(V198:V202)</f>
        <v>9.8398032167912017</v>
      </c>
      <c r="AB198" s="132">
        <f t="shared" ref="AB198" si="177">AVERAGE(W198:W202)</f>
        <v>76.926159788139813</v>
      </c>
      <c r="AC198" s="235">
        <v>161</v>
      </c>
      <c r="AD198" s="235">
        <v>124</v>
      </c>
      <c r="AE198" s="235">
        <v>41.5</v>
      </c>
      <c r="AF198" s="235">
        <v>56</v>
      </c>
    </row>
    <row r="199" spans="1:32">
      <c r="A199" s="1" t="s">
        <v>95</v>
      </c>
      <c r="B199" s="276"/>
      <c r="C199" s="135" t="s">
        <v>329</v>
      </c>
      <c r="D199" s="1" t="s">
        <v>308</v>
      </c>
      <c r="E199" s="127">
        <v>2.6082011391477402</v>
      </c>
      <c r="F199" s="127">
        <v>2.7129682717697099</v>
      </c>
      <c r="G199" s="127">
        <f t="shared" si="168"/>
        <v>4.1999999999999984</v>
      </c>
      <c r="H199" s="127">
        <v>4.0307101727447199</v>
      </c>
      <c r="I199" s="127">
        <v>1282.2</v>
      </c>
      <c r="J199" s="127">
        <v>783.2</v>
      </c>
      <c r="K199" s="127">
        <v>1283.0999999999999</v>
      </c>
      <c r="L199" s="127">
        <v>63.15</v>
      </c>
      <c r="M199" s="127">
        <v>63.24</v>
      </c>
      <c r="N199" s="127">
        <v>63.21</v>
      </c>
      <c r="O199" s="127">
        <v>63.37</v>
      </c>
      <c r="P199" s="127">
        <v>63.2425</v>
      </c>
      <c r="Q199" s="79">
        <v>16.899999999999999</v>
      </c>
      <c r="R199" s="79">
        <v>1.51</v>
      </c>
      <c r="S199" s="127">
        <f t="shared" si="169"/>
        <v>2.5649129825965202</v>
      </c>
      <c r="T199" s="127">
        <f t="shared" si="170"/>
        <v>2.5574747349469904</v>
      </c>
      <c r="U199" s="79">
        <f t="shared" si="171"/>
        <v>1.9448808391106409</v>
      </c>
      <c r="V199" s="127">
        <f t="shared" si="172"/>
        <v>9.5311815409079514</v>
      </c>
      <c r="W199" s="127">
        <f t="shared" si="173"/>
        <v>79.594546271485996</v>
      </c>
      <c r="AC199" s="235">
        <v>161</v>
      </c>
      <c r="AD199" s="235">
        <v>124</v>
      </c>
      <c r="AE199" s="235">
        <v>41.5</v>
      </c>
      <c r="AF199" s="235">
        <v>56</v>
      </c>
    </row>
    <row r="200" spans="1:32">
      <c r="A200" s="1" t="s">
        <v>95</v>
      </c>
      <c r="B200" s="276"/>
      <c r="C200" s="135" t="s">
        <v>329</v>
      </c>
      <c r="D200" s="1" t="s">
        <v>309</v>
      </c>
      <c r="E200" s="127">
        <v>2.6082011391477402</v>
      </c>
      <c r="F200" s="127">
        <v>2.7129682717697099</v>
      </c>
      <c r="G200" s="127">
        <f t="shared" si="168"/>
        <v>4.1999999999999984</v>
      </c>
      <c r="H200" s="127">
        <v>4.0307101727447199</v>
      </c>
      <c r="I200" s="127">
        <v>1283</v>
      </c>
      <c r="J200" s="127">
        <v>782.4</v>
      </c>
      <c r="K200" s="127">
        <v>1284.3</v>
      </c>
      <c r="L200" s="127">
        <v>63.9</v>
      </c>
      <c r="M200" s="127">
        <v>63.64</v>
      </c>
      <c r="N200" s="127">
        <v>63.67</v>
      </c>
      <c r="O200" s="127">
        <v>63.65</v>
      </c>
      <c r="P200" s="127">
        <v>63.715000000000003</v>
      </c>
      <c r="Q200" s="79">
        <v>16.66</v>
      </c>
      <c r="R200" s="79">
        <v>3.39</v>
      </c>
      <c r="S200" s="127">
        <f t="shared" si="169"/>
        <v>2.5562861127714687</v>
      </c>
      <c r="T200" s="127">
        <f t="shared" si="170"/>
        <v>2.5488728830444312</v>
      </c>
      <c r="U200" s="79">
        <f t="shared" si="171"/>
        <v>2.274681013393598</v>
      </c>
      <c r="V200" s="127">
        <f t="shared" si="172"/>
        <v>9.8354658286667984</v>
      </c>
      <c r="W200" s="127">
        <f t="shared" si="173"/>
        <v>76.872666195802012</v>
      </c>
      <c r="AC200" s="235">
        <v>161</v>
      </c>
      <c r="AD200" s="235">
        <v>124</v>
      </c>
      <c r="AE200" s="235">
        <v>41.5</v>
      </c>
      <c r="AF200" s="235">
        <v>56</v>
      </c>
    </row>
    <row r="201" spans="1:32">
      <c r="A201" s="1" t="s">
        <v>95</v>
      </c>
      <c r="B201" s="276"/>
      <c r="C201" s="135" t="s">
        <v>329</v>
      </c>
      <c r="D201" s="1" t="s">
        <v>310</v>
      </c>
      <c r="E201" s="127">
        <v>2.6082011391477402</v>
      </c>
      <c r="F201" s="127">
        <v>2.7129682717697099</v>
      </c>
      <c r="G201" s="127">
        <f t="shared" si="168"/>
        <v>4.1999999999999984</v>
      </c>
      <c r="H201" s="127">
        <v>4.0307101727447199</v>
      </c>
      <c r="I201" s="127">
        <v>1280.5999999999999</v>
      </c>
      <c r="J201" s="127">
        <v>781.9</v>
      </c>
      <c r="K201" s="127">
        <v>1281.5999999999999</v>
      </c>
      <c r="L201" s="127">
        <v>62.95</v>
      </c>
      <c r="M201" s="127">
        <v>63.25</v>
      </c>
      <c r="N201" s="127">
        <v>63.26</v>
      </c>
      <c r="O201" s="127">
        <v>62.96</v>
      </c>
      <c r="P201" s="127">
        <v>63.104999999999997</v>
      </c>
      <c r="Q201" s="79">
        <v>16.940000000000001</v>
      </c>
      <c r="R201" s="79">
        <v>1.7</v>
      </c>
      <c r="S201" s="127">
        <f t="shared" si="169"/>
        <v>2.5627376425855517</v>
      </c>
      <c r="T201" s="127">
        <f t="shared" si="170"/>
        <v>2.5553057034220537</v>
      </c>
      <c r="U201" s="79">
        <f t="shared" si="171"/>
        <v>2.0280428120267868</v>
      </c>
      <c r="V201" s="127">
        <f t="shared" si="172"/>
        <v>9.6079094618450114</v>
      </c>
      <c r="W201" s="127">
        <f t="shared" si="173"/>
        <v>78.891945015920868</v>
      </c>
      <c r="AC201" s="235">
        <v>161</v>
      </c>
      <c r="AD201" s="235">
        <v>124</v>
      </c>
      <c r="AE201" s="235">
        <v>41.5</v>
      </c>
      <c r="AF201" s="235">
        <v>56</v>
      </c>
    </row>
    <row r="202" spans="1:32">
      <c r="A202" s="1" t="s">
        <v>95</v>
      </c>
      <c r="B202" s="276"/>
      <c r="C202" s="135" t="s">
        <v>329</v>
      </c>
      <c r="D202" s="1" t="s">
        <v>311</v>
      </c>
      <c r="E202" s="127">
        <v>2.6082011391477402</v>
      </c>
      <c r="F202" s="127">
        <v>2.7129682717697099</v>
      </c>
      <c r="G202" s="127">
        <f t="shared" si="168"/>
        <v>4.1999999999999984</v>
      </c>
      <c r="H202" s="127">
        <v>4.0307101727447199</v>
      </c>
      <c r="I202" s="127">
        <v>1269.9000000000001</v>
      </c>
      <c r="J202" s="127">
        <v>774.4</v>
      </c>
      <c r="K202" s="127">
        <v>1270.8</v>
      </c>
      <c r="L202" s="127">
        <v>62.85</v>
      </c>
      <c r="M202" s="127">
        <v>62.73</v>
      </c>
      <c r="N202" s="127">
        <v>62.77</v>
      </c>
      <c r="O202" s="127">
        <v>62.83</v>
      </c>
      <c r="P202" s="127">
        <v>62.795000000000002</v>
      </c>
      <c r="Q202" s="79">
        <v>16.13</v>
      </c>
      <c r="R202" s="79">
        <v>1.19</v>
      </c>
      <c r="S202" s="127">
        <f t="shared" si="169"/>
        <v>2.5582191780821919</v>
      </c>
      <c r="T202" s="127">
        <f t="shared" si="170"/>
        <v>2.5508003424657537</v>
      </c>
      <c r="U202" s="79">
        <f t="shared" si="171"/>
        <v>2.2007810601885947</v>
      </c>
      <c r="V202" s="127">
        <f t="shared" si="172"/>
        <v>9.7672833461217721</v>
      </c>
      <c r="W202" s="127">
        <f t="shared" si="173"/>
        <v>77.467828236369897</v>
      </c>
      <c r="AC202" s="235">
        <v>161</v>
      </c>
      <c r="AD202" s="235">
        <v>124</v>
      </c>
      <c r="AE202" s="235">
        <v>41.5</v>
      </c>
      <c r="AF202" s="235">
        <v>56</v>
      </c>
    </row>
    <row r="203" spans="1:32">
      <c r="A203" s="1" t="s">
        <v>95</v>
      </c>
      <c r="B203" s="276"/>
      <c r="C203" s="1" t="s">
        <v>330</v>
      </c>
      <c r="D203" s="1" t="s">
        <v>307</v>
      </c>
      <c r="E203" s="127">
        <v>2.5366863639375201</v>
      </c>
      <c r="F203" s="127">
        <v>2.7129682717697099</v>
      </c>
      <c r="G203" s="127">
        <f t="shared" si="168"/>
        <v>4.6000000000000014</v>
      </c>
      <c r="H203" s="127">
        <v>4.3977055449330802</v>
      </c>
      <c r="I203" s="127">
        <v>1275.4000000000001</v>
      </c>
      <c r="J203" s="127">
        <v>771.1</v>
      </c>
      <c r="K203" s="127">
        <v>1277.7</v>
      </c>
      <c r="L203" s="127">
        <v>64.63</v>
      </c>
      <c r="M203" s="127">
        <v>65.12</v>
      </c>
      <c r="N203" s="127">
        <v>65.400000000000006</v>
      </c>
      <c r="O203" s="127">
        <v>65.17</v>
      </c>
      <c r="P203" s="127">
        <v>65.08</v>
      </c>
      <c r="Q203" s="79">
        <v>15.55</v>
      </c>
      <c r="R203" s="79">
        <v>1.88</v>
      </c>
      <c r="S203" s="127">
        <f t="shared" si="169"/>
        <v>2.5175681010659297</v>
      </c>
      <c r="T203" s="127">
        <f t="shared" si="170"/>
        <v>2.5102671535728383</v>
      </c>
      <c r="U203" s="79">
        <f t="shared" si="171"/>
        <v>1.0414850941080966</v>
      </c>
      <c r="V203" s="127">
        <f t="shared" si="172"/>
        <v>11.540690661964177</v>
      </c>
      <c r="W203" s="127">
        <f t="shared" si="173"/>
        <v>90.975539292976407</v>
      </c>
      <c r="X203" s="132">
        <f>AVERAGE(S203:S207)</f>
        <v>2.5225822172197963</v>
      </c>
      <c r="Y203" s="132">
        <f t="shared" ref="Y203" si="178">AVERAGE(T203:T207)</f>
        <v>2.5152667287898587</v>
      </c>
      <c r="Z203" s="133">
        <f t="shared" ref="Z203" si="179">AVERAGE(U203:U207)</f>
        <v>0.84439430322055919</v>
      </c>
      <c r="AA203" s="132">
        <f t="shared" ref="AA203" si="180">AVERAGE(V203:V207)</f>
        <v>11.364510620707719</v>
      </c>
      <c r="AB203" s="132">
        <f t="shared" ref="AB203" si="181">AVERAGE(W203:W207)</f>
        <v>92.622940341326427</v>
      </c>
      <c r="AC203" s="235">
        <v>111</v>
      </c>
      <c r="AD203" s="235">
        <v>124</v>
      </c>
      <c r="AE203" s="235">
        <v>41.5</v>
      </c>
      <c r="AF203" s="235">
        <v>56</v>
      </c>
    </row>
    <row r="204" spans="1:32">
      <c r="A204" s="1" t="s">
        <v>95</v>
      </c>
      <c r="B204" s="276"/>
      <c r="C204" s="1" t="s">
        <v>330</v>
      </c>
      <c r="D204" s="1" t="s">
        <v>308</v>
      </c>
      <c r="E204" s="127">
        <v>2.5366863639375201</v>
      </c>
      <c r="F204" s="127">
        <v>2.7129682717697099</v>
      </c>
      <c r="G204" s="127">
        <f t="shared" si="168"/>
        <v>4.6000000000000014</v>
      </c>
      <c r="H204" s="127">
        <v>4.3977055449330802</v>
      </c>
      <c r="I204" s="127">
        <v>1254.5</v>
      </c>
      <c r="J204" s="127">
        <v>757.4</v>
      </c>
      <c r="K204" s="127">
        <v>1256.9000000000001</v>
      </c>
      <c r="L204" s="127">
        <v>64.709999999999994</v>
      </c>
      <c r="M204" s="127">
        <v>64.760000000000005</v>
      </c>
      <c r="N204" s="127">
        <v>64.62</v>
      </c>
      <c r="O204" s="127">
        <v>64.900000000000006</v>
      </c>
      <c r="P204" s="127">
        <v>64.747500000000002</v>
      </c>
      <c r="Q204" s="79">
        <v>15.02</v>
      </c>
      <c r="R204" s="79">
        <v>1.53</v>
      </c>
      <c r="S204" s="127">
        <f t="shared" si="169"/>
        <v>2.511511511511511</v>
      </c>
      <c r="T204" s="127">
        <f t="shared" si="170"/>
        <v>2.5042281281281276</v>
      </c>
      <c r="U204" s="79">
        <f t="shared" si="171"/>
        <v>1.2795525797288487</v>
      </c>
      <c r="V204" s="127">
        <f t="shared" si="172"/>
        <v>11.753499891911531</v>
      </c>
      <c r="W204" s="127">
        <f t="shared" si="173"/>
        <v>89.113433517709851</v>
      </c>
      <c r="AC204" s="235">
        <v>111</v>
      </c>
      <c r="AD204" s="235">
        <v>124</v>
      </c>
      <c r="AE204" s="235">
        <v>41.5</v>
      </c>
      <c r="AF204" s="235">
        <v>56</v>
      </c>
    </row>
    <row r="205" spans="1:32">
      <c r="A205" s="1" t="s">
        <v>95</v>
      </c>
      <c r="B205" s="276"/>
      <c r="C205" s="1" t="s">
        <v>330</v>
      </c>
      <c r="D205" s="1" t="s">
        <v>309</v>
      </c>
      <c r="E205" s="127">
        <v>2.5366863639375201</v>
      </c>
      <c r="F205" s="127">
        <v>2.7129682717697099</v>
      </c>
      <c r="G205" s="127">
        <f t="shared" si="168"/>
        <v>4.6000000000000014</v>
      </c>
      <c r="H205" s="127">
        <v>4.3977055449330802</v>
      </c>
      <c r="I205" s="127">
        <v>1261.2</v>
      </c>
      <c r="J205" s="127">
        <v>764.6</v>
      </c>
      <c r="K205" s="127">
        <v>1262.5999999999999</v>
      </c>
      <c r="L205" s="127">
        <v>63.33</v>
      </c>
      <c r="M205" s="127">
        <v>63.28</v>
      </c>
      <c r="N205" s="127">
        <v>63.96</v>
      </c>
      <c r="O205" s="127">
        <v>64.13</v>
      </c>
      <c r="P205" s="127">
        <v>63.674999999999997</v>
      </c>
      <c r="Q205" s="79">
        <v>14.9</v>
      </c>
      <c r="R205" s="79">
        <v>2.16</v>
      </c>
      <c r="S205" s="127">
        <f t="shared" si="169"/>
        <v>2.5325301204819284</v>
      </c>
      <c r="T205" s="127">
        <f t="shared" si="170"/>
        <v>2.5251857831325308</v>
      </c>
      <c r="U205" s="79">
        <f t="shared" si="171"/>
        <v>0.45337023009568433</v>
      </c>
      <c r="V205" s="127">
        <f t="shared" si="172"/>
        <v>11.01497304452171</v>
      </c>
      <c r="W205" s="127">
        <f t="shared" si="173"/>
        <v>95.884055019806269</v>
      </c>
      <c r="AC205" s="235">
        <v>111</v>
      </c>
      <c r="AD205" s="235">
        <v>124</v>
      </c>
      <c r="AE205" s="235">
        <v>41.5</v>
      </c>
      <c r="AF205" s="235">
        <v>56</v>
      </c>
    </row>
    <row r="206" spans="1:32">
      <c r="A206" s="1" t="s">
        <v>95</v>
      </c>
      <c r="B206" s="276"/>
      <c r="C206" s="1" t="s">
        <v>330</v>
      </c>
      <c r="D206" s="1" t="s">
        <v>310</v>
      </c>
      <c r="E206" s="127">
        <v>2.5366863639375201</v>
      </c>
      <c r="F206" s="127">
        <v>2.7129682717697099</v>
      </c>
      <c r="G206" s="127">
        <f t="shared" si="168"/>
        <v>4.6000000000000014</v>
      </c>
      <c r="H206" s="127">
        <v>4.3977055449330802</v>
      </c>
      <c r="I206" s="127">
        <v>1258.9000000000001</v>
      </c>
      <c r="J206" s="127">
        <v>762.1</v>
      </c>
      <c r="K206" s="127">
        <v>1260.7</v>
      </c>
      <c r="L206" s="127">
        <v>65.02</v>
      </c>
      <c r="M206" s="127">
        <v>64.36</v>
      </c>
      <c r="N206" s="127">
        <v>64.25</v>
      </c>
      <c r="O206" s="127">
        <v>65.12</v>
      </c>
      <c r="P206" s="127">
        <v>64.6875</v>
      </c>
      <c r="Q206" s="79">
        <v>15</v>
      </c>
      <c r="R206" s="79">
        <v>1.59</v>
      </c>
      <c r="S206" s="127">
        <f t="shared" si="169"/>
        <v>2.5248696349779385</v>
      </c>
      <c r="T206" s="127">
        <f t="shared" si="170"/>
        <v>2.5175475130365026</v>
      </c>
      <c r="U206" s="79">
        <f t="shared" si="171"/>
        <v>0.7544823504041509</v>
      </c>
      <c r="V206" s="127">
        <f t="shared" si="172"/>
        <v>11.284138059994405</v>
      </c>
      <c r="W206" s="127">
        <f t="shared" si="173"/>
        <v>93.313779516053486</v>
      </c>
      <c r="AC206" s="235">
        <v>111</v>
      </c>
      <c r="AD206" s="235">
        <v>124</v>
      </c>
      <c r="AE206" s="235">
        <v>41.5</v>
      </c>
      <c r="AF206" s="235">
        <v>56</v>
      </c>
    </row>
    <row r="207" spans="1:32">
      <c r="A207" s="1" t="s">
        <v>95</v>
      </c>
      <c r="B207" s="276"/>
      <c r="C207" s="1" t="s">
        <v>330</v>
      </c>
      <c r="D207" s="1" t="s">
        <v>311</v>
      </c>
      <c r="E207" s="127">
        <v>2.5366863639375201</v>
      </c>
      <c r="F207" s="127">
        <v>2.7129682717697099</v>
      </c>
      <c r="G207" s="127">
        <f t="shared" si="168"/>
        <v>4.6000000000000014</v>
      </c>
      <c r="H207" s="127">
        <v>4.3977055449330802</v>
      </c>
      <c r="I207" s="127">
        <v>1261.7</v>
      </c>
      <c r="J207" s="127">
        <v>763.9</v>
      </c>
      <c r="K207" s="127">
        <v>1263.3</v>
      </c>
      <c r="L207" s="127">
        <v>64.349999999999994</v>
      </c>
      <c r="M207" s="127">
        <v>64.680000000000007</v>
      </c>
      <c r="N207" s="127">
        <v>64.760000000000005</v>
      </c>
      <c r="O207" s="127">
        <v>64.319999999999993</v>
      </c>
      <c r="P207" s="127">
        <v>64.527500000000003</v>
      </c>
      <c r="Q207" s="79">
        <v>16.13</v>
      </c>
      <c r="R207" s="79">
        <v>1.19</v>
      </c>
      <c r="S207" s="127">
        <f t="shared" si="169"/>
        <v>2.5264317180616742</v>
      </c>
      <c r="T207" s="127">
        <f t="shared" si="170"/>
        <v>2.5191050660792955</v>
      </c>
      <c r="U207" s="79">
        <f t="shared" si="171"/>
        <v>0.69308126176601537</v>
      </c>
      <c r="V207" s="127">
        <f t="shared" si="172"/>
        <v>11.229251445146772</v>
      </c>
      <c r="W207" s="127">
        <f t="shared" si="173"/>
        <v>93.82789436008612</v>
      </c>
      <c r="AC207" s="235">
        <v>111</v>
      </c>
      <c r="AD207" s="235">
        <v>124</v>
      </c>
      <c r="AE207" s="235">
        <v>41.5</v>
      </c>
      <c r="AF207" s="235">
        <v>56</v>
      </c>
    </row>
    <row r="208" spans="1:32">
      <c r="A208" s="1" t="s">
        <v>95</v>
      </c>
      <c r="B208" s="276"/>
      <c r="C208" s="1" t="s">
        <v>331</v>
      </c>
      <c r="D208" s="1" t="s">
        <v>307</v>
      </c>
      <c r="E208" s="127">
        <v>2.5366863639375201</v>
      </c>
      <c r="F208" s="127">
        <v>2.7129682717697099</v>
      </c>
      <c r="G208" s="127">
        <f t="shared" si="168"/>
        <v>4.8000000000000052</v>
      </c>
      <c r="H208" s="127">
        <v>4.5801526717557302</v>
      </c>
      <c r="I208" s="127">
        <v>1253.0999999999999</v>
      </c>
      <c r="J208" s="127">
        <v>748.7</v>
      </c>
      <c r="K208" s="127">
        <v>1259.3</v>
      </c>
      <c r="L208" s="127">
        <v>65.260000000000005</v>
      </c>
      <c r="M208" s="127">
        <v>65.540000000000006</v>
      </c>
      <c r="N208" s="127">
        <v>65.260000000000005</v>
      </c>
      <c r="O208" s="127">
        <v>65.319999999999993</v>
      </c>
      <c r="P208" s="127">
        <v>65.344999999999999</v>
      </c>
      <c r="Q208" s="79">
        <v>13.15</v>
      </c>
      <c r="R208" s="79">
        <v>2</v>
      </c>
      <c r="S208" s="127">
        <f t="shared" si="169"/>
        <v>2.4541715628672152</v>
      </c>
      <c r="T208" s="127">
        <f t="shared" si="170"/>
        <v>2.4470544653349</v>
      </c>
      <c r="U208" s="79">
        <f t="shared" si="171"/>
        <v>3.5334245445893808</v>
      </c>
      <c r="V208" s="127">
        <f t="shared" si="172"/>
        <v>13.932807133848044</v>
      </c>
      <c r="W208" s="127">
        <f t="shared" si="173"/>
        <v>74.639535948176885</v>
      </c>
      <c r="X208" s="132">
        <f>AVERAGE(S208:S212)</f>
        <v>2.4435624048232052</v>
      </c>
      <c r="Y208" s="132">
        <f t="shared" ref="Y208" si="182">AVERAGE(T208:T212)</f>
        <v>2.4364760738492182</v>
      </c>
      <c r="Z208" s="133">
        <f t="shared" ref="Z208" si="183">AVERAGE(U208:U212)</f>
        <v>3.9504406817070192</v>
      </c>
      <c r="AA208" s="132">
        <f t="shared" ref="AA208" si="184">AVERAGE(V208:V212)</f>
        <v>14.304867696091094</v>
      </c>
      <c r="AB208" s="132">
        <f t="shared" ref="AB208" si="185">AVERAGE(W208:W212)</f>
        <v>72.421643437304695</v>
      </c>
      <c r="AC208" s="235">
        <v>111</v>
      </c>
      <c r="AD208" s="235">
        <v>124</v>
      </c>
      <c r="AE208" s="235">
        <v>41.5</v>
      </c>
      <c r="AF208" s="235">
        <v>56</v>
      </c>
    </row>
    <row r="209" spans="1:32">
      <c r="A209" s="1" t="s">
        <v>95</v>
      </c>
      <c r="B209" s="276"/>
      <c r="C209" s="1" t="s">
        <v>331</v>
      </c>
      <c r="D209" s="1" t="s">
        <v>308</v>
      </c>
      <c r="E209" s="127">
        <v>2.5366863639375201</v>
      </c>
      <c r="F209" s="127">
        <v>2.7129682717697099</v>
      </c>
      <c r="G209" s="127">
        <f t="shared" si="168"/>
        <v>4.8000000000000052</v>
      </c>
      <c r="H209" s="127">
        <v>4.5801526717557302</v>
      </c>
      <c r="I209" s="127">
        <v>1232.5</v>
      </c>
      <c r="J209" s="127">
        <v>737.5</v>
      </c>
      <c r="K209" s="127">
        <v>1241</v>
      </c>
      <c r="L209" s="127">
        <v>64.41</v>
      </c>
      <c r="M209" s="127">
        <v>64.510000000000005</v>
      </c>
      <c r="N209" s="127">
        <v>64.8</v>
      </c>
      <c r="O209" s="127">
        <v>64.53</v>
      </c>
      <c r="P209" s="127">
        <v>64.5625</v>
      </c>
      <c r="Q209" s="79">
        <v>13.65</v>
      </c>
      <c r="R209" s="79">
        <v>1.83</v>
      </c>
      <c r="S209" s="127">
        <f t="shared" si="169"/>
        <v>2.4478649453823236</v>
      </c>
      <c r="T209" s="127">
        <f t="shared" si="170"/>
        <v>2.4407661370407148</v>
      </c>
      <c r="U209" s="79">
        <f t="shared" si="171"/>
        <v>3.7813199243092566</v>
      </c>
      <c r="V209" s="127">
        <f t="shared" si="172"/>
        <v>14.153978657313601</v>
      </c>
      <c r="W209" s="127">
        <f t="shared" si="173"/>
        <v>73.284402810969453</v>
      </c>
      <c r="AC209" s="235">
        <v>111</v>
      </c>
      <c r="AD209" s="235">
        <v>124</v>
      </c>
      <c r="AE209" s="235">
        <v>41.5</v>
      </c>
      <c r="AF209" s="235">
        <v>56</v>
      </c>
    </row>
    <row r="210" spans="1:32">
      <c r="A210" s="1" t="s">
        <v>95</v>
      </c>
      <c r="B210" s="276"/>
      <c r="C210" s="1" t="s">
        <v>331</v>
      </c>
      <c r="D210" s="1" t="s">
        <v>309</v>
      </c>
      <c r="E210" s="127">
        <v>2.5366863639375201</v>
      </c>
      <c r="F210" s="127">
        <v>2.7129682717697099</v>
      </c>
      <c r="G210" s="127">
        <f t="shared" si="168"/>
        <v>4.8000000000000052</v>
      </c>
      <c r="H210" s="127">
        <v>4.5801526717557302</v>
      </c>
      <c r="I210" s="127">
        <v>1220.5999999999999</v>
      </c>
      <c r="J210" s="127">
        <v>730.6</v>
      </c>
      <c r="K210" s="127">
        <v>1230.5999999999999</v>
      </c>
      <c r="L210" s="127">
        <v>65.31</v>
      </c>
      <c r="M210" s="127">
        <v>65</v>
      </c>
      <c r="N210" s="127">
        <v>64.989999999999995</v>
      </c>
      <c r="O210" s="127">
        <v>65.3</v>
      </c>
      <c r="P210" s="127">
        <v>65.150000000000006</v>
      </c>
      <c r="Q210" s="79">
        <v>13.45</v>
      </c>
      <c r="R210" s="79">
        <v>2.2200000000000002</v>
      </c>
      <c r="S210" s="127">
        <f t="shared" si="169"/>
        <v>2.4412000000000003</v>
      </c>
      <c r="T210" s="127">
        <f t="shared" si="170"/>
        <v>2.43412052</v>
      </c>
      <c r="U210" s="79">
        <f t="shared" si="171"/>
        <v>4.0433001649567091</v>
      </c>
      <c r="V210" s="127">
        <f t="shared" si="172"/>
        <v>14.387716651976305</v>
      </c>
      <c r="W210" s="127">
        <f t="shared" si="173"/>
        <v>71.897554957747104</v>
      </c>
      <c r="AC210" s="235">
        <v>111</v>
      </c>
      <c r="AD210" s="235">
        <v>124</v>
      </c>
      <c r="AE210" s="235">
        <v>41.5</v>
      </c>
      <c r="AF210" s="235">
        <v>56</v>
      </c>
    </row>
    <row r="211" spans="1:32">
      <c r="A211" s="1" t="s">
        <v>95</v>
      </c>
      <c r="B211" s="276"/>
      <c r="C211" s="1" t="s">
        <v>331</v>
      </c>
      <c r="D211" s="1" t="s">
        <v>310</v>
      </c>
      <c r="E211" s="127">
        <v>2.5366863639375201</v>
      </c>
      <c r="F211" s="127">
        <v>2.7129682717697099</v>
      </c>
      <c r="G211" s="127">
        <f t="shared" si="168"/>
        <v>4.8000000000000052</v>
      </c>
      <c r="H211" s="127">
        <v>4.5801526717557302</v>
      </c>
      <c r="I211" s="127">
        <v>1210.9000000000001</v>
      </c>
      <c r="J211" s="127">
        <v>724</v>
      </c>
      <c r="K211" s="127">
        <v>1219</v>
      </c>
      <c r="L211" s="127">
        <v>64.180000000000007</v>
      </c>
      <c r="M211" s="127">
        <v>64.16</v>
      </c>
      <c r="N211" s="127">
        <v>64.17</v>
      </c>
      <c r="O211" s="127">
        <v>63.82</v>
      </c>
      <c r="P211" s="127">
        <v>64.082499999999996</v>
      </c>
      <c r="Q211" s="79">
        <v>15.17</v>
      </c>
      <c r="R211" s="79">
        <v>1.64</v>
      </c>
      <c r="S211" s="127">
        <f t="shared" si="169"/>
        <v>2.4462626262626266</v>
      </c>
      <c r="T211" s="127">
        <f t="shared" si="170"/>
        <v>2.4391684646464649</v>
      </c>
      <c r="U211" s="79">
        <f t="shared" si="171"/>
        <v>3.8443025782535112</v>
      </c>
      <c r="V211" s="127">
        <f t="shared" si="172"/>
        <v>14.210171594594229</v>
      </c>
      <c r="W211" s="127">
        <f t="shared" si="173"/>
        <v>72.94682507763703</v>
      </c>
      <c r="AC211" s="235">
        <v>111</v>
      </c>
      <c r="AD211" s="235">
        <v>124</v>
      </c>
      <c r="AE211" s="235">
        <v>41.5</v>
      </c>
      <c r="AF211" s="235">
        <v>56</v>
      </c>
    </row>
    <row r="212" spans="1:32">
      <c r="A212" s="1" t="s">
        <v>95</v>
      </c>
      <c r="B212" s="276"/>
      <c r="C212" s="1" t="s">
        <v>331</v>
      </c>
      <c r="D212" s="1" t="s">
        <v>311</v>
      </c>
      <c r="E212" s="127">
        <v>2.5366863639375201</v>
      </c>
      <c r="F212" s="127">
        <v>2.7129682717697099</v>
      </c>
      <c r="G212" s="127">
        <f t="shared" si="168"/>
        <v>4.8000000000000052</v>
      </c>
      <c r="H212" s="127">
        <v>4.5801526717557302</v>
      </c>
      <c r="I212" s="127">
        <v>1207.5999999999999</v>
      </c>
      <c r="J212" s="127">
        <v>722.5</v>
      </c>
      <c r="K212" s="127">
        <v>1219.8</v>
      </c>
      <c r="L212" s="127">
        <v>67.03</v>
      </c>
      <c r="M212" s="127">
        <v>67.13</v>
      </c>
      <c r="N212" s="127">
        <v>67.349999999999994</v>
      </c>
      <c r="O212" s="127">
        <v>67.290000000000006</v>
      </c>
      <c r="P212" s="127">
        <v>67.2</v>
      </c>
      <c r="Q212" s="79">
        <v>13.5</v>
      </c>
      <c r="R212" s="79">
        <v>2.41</v>
      </c>
      <c r="S212" s="127">
        <f t="shared" si="169"/>
        <v>2.4283128896038608</v>
      </c>
      <c r="T212" s="127">
        <f t="shared" si="170"/>
        <v>2.4212707822240094</v>
      </c>
      <c r="U212" s="79">
        <f t="shared" si="171"/>
        <v>4.549856196426239</v>
      </c>
      <c r="V212" s="127">
        <f t="shared" si="172"/>
        <v>14.83966444272329</v>
      </c>
      <c r="W212" s="127">
        <f t="shared" si="173"/>
        <v>69.339898391993046</v>
      </c>
      <c r="AC212" s="235">
        <v>111</v>
      </c>
      <c r="AD212" s="235">
        <v>124</v>
      </c>
      <c r="AE212" s="235">
        <v>41.5</v>
      </c>
      <c r="AF212" s="235">
        <v>56</v>
      </c>
    </row>
    <row r="213" spans="1:32">
      <c r="A213" s="1" t="s">
        <v>98</v>
      </c>
      <c r="B213" s="280" t="s">
        <v>245</v>
      </c>
      <c r="C213" s="1" t="s">
        <v>324</v>
      </c>
      <c r="D213" s="1" t="s">
        <v>307</v>
      </c>
      <c r="E213" s="127">
        <v>2.5493203903511299</v>
      </c>
      <c r="F213" s="127">
        <v>2.7140785265385499</v>
      </c>
      <c r="G213" s="127">
        <f t="shared" si="168"/>
        <v>4.1999999999999984</v>
      </c>
      <c r="H213" s="127">
        <v>4.0307101727447199</v>
      </c>
      <c r="I213" s="127">
        <v>1200.9000000000001</v>
      </c>
      <c r="J213" s="127">
        <v>712.8</v>
      </c>
      <c r="K213" s="127">
        <v>1207.9000000000001</v>
      </c>
      <c r="L213" s="127">
        <v>64.63</v>
      </c>
      <c r="M213" s="127">
        <v>65.12</v>
      </c>
      <c r="N213" s="127">
        <v>65.400000000000006</v>
      </c>
      <c r="O213" s="127">
        <v>65.17</v>
      </c>
      <c r="P213" s="127">
        <v>65.08</v>
      </c>
      <c r="Q213" s="79">
        <v>17.52</v>
      </c>
      <c r="R213" s="79">
        <v>1.66</v>
      </c>
      <c r="S213" s="127">
        <f t="shared" si="169"/>
        <v>2.425570591799636</v>
      </c>
      <c r="T213" s="127">
        <f t="shared" si="170"/>
        <v>2.418536437083417</v>
      </c>
      <c r="U213" s="79">
        <f t="shared" si="171"/>
        <v>5.1301497356987529</v>
      </c>
      <c r="V213" s="127">
        <f t="shared" si="172"/>
        <v>14.481021083698906</v>
      </c>
      <c r="W213" s="127">
        <f t="shared" si="173"/>
        <v>64.573287297580862</v>
      </c>
      <c r="X213" s="132">
        <f>AVERAGE(S213:S217)</f>
        <v>2.4211537084979873</v>
      </c>
      <c r="Y213" s="132">
        <f t="shared" ref="Y213" si="186">AVERAGE(T213:T217)</f>
        <v>2.4141323627433433</v>
      </c>
      <c r="Z213" s="133">
        <f t="shared" ref="Z213" si="187">AVERAGE(U213:U217)</f>
        <v>5.3029045748606922</v>
      </c>
      <c r="AA213" s="132">
        <f t="shared" ref="AA213" si="188">AVERAGE(V213:V217)</f>
        <v>14.636748297421912</v>
      </c>
      <c r="AB213" s="132">
        <f t="shared" ref="AB213" si="189">AVERAGE(W213:W217)</f>
        <v>64.15159391493512</v>
      </c>
      <c r="AC213" s="235">
        <v>161</v>
      </c>
      <c r="AD213" s="235">
        <v>91</v>
      </c>
      <c r="AE213" s="235">
        <v>44</v>
      </c>
      <c r="AF213" s="235">
        <v>15</v>
      </c>
    </row>
    <row r="214" spans="1:32">
      <c r="A214" s="1" t="s">
        <v>98</v>
      </c>
      <c r="B214" s="276"/>
      <c r="C214" s="1" t="s">
        <v>324</v>
      </c>
      <c r="D214" s="1" t="s">
        <v>308</v>
      </c>
      <c r="E214" s="127">
        <v>2.5493203903511299</v>
      </c>
      <c r="F214" s="127">
        <v>2.7140785265385499</v>
      </c>
      <c r="G214" s="127">
        <f t="shared" si="168"/>
        <v>4.1999999999999984</v>
      </c>
      <c r="H214" s="127">
        <v>4.0307101727447199</v>
      </c>
      <c r="I214" s="127">
        <v>1200.9000000000001</v>
      </c>
      <c r="J214" s="127">
        <v>714.5</v>
      </c>
      <c r="K214" s="127">
        <v>1205.3</v>
      </c>
      <c r="L214" s="127">
        <v>64.709999999999994</v>
      </c>
      <c r="M214" s="127">
        <v>64.760000000000005</v>
      </c>
      <c r="N214" s="127">
        <v>64.62</v>
      </c>
      <c r="O214" s="127">
        <v>64.900000000000006</v>
      </c>
      <c r="P214" s="127">
        <v>64.747500000000002</v>
      </c>
      <c r="Q214" s="79">
        <v>16.899999999999999</v>
      </c>
      <c r="R214" s="79">
        <v>1.51</v>
      </c>
      <c r="S214" s="127">
        <f t="shared" si="169"/>
        <v>2.4468215158924211</v>
      </c>
      <c r="T214" s="127">
        <f t="shared" si="170"/>
        <v>2.4397257334963331</v>
      </c>
      <c r="U214" s="79">
        <f t="shared" si="171"/>
        <v>4.2989754159421967</v>
      </c>
      <c r="V214" s="127">
        <f t="shared" si="172"/>
        <v>13.731771675915454</v>
      </c>
      <c r="W214" s="127">
        <f t="shared" si="173"/>
        <v>68.693220966655801</v>
      </c>
      <c r="AC214" s="235">
        <v>161</v>
      </c>
      <c r="AD214" s="235">
        <v>91</v>
      </c>
      <c r="AE214" s="235">
        <v>44</v>
      </c>
      <c r="AF214" s="235">
        <v>15</v>
      </c>
    </row>
    <row r="215" spans="1:32">
      <c r="A215" s="1" t="s">
        <v>98</v>
      </c>
      <c r="B215" s="276"/>
      <c r="C215" s="1" t="s">
        <v>324</v>
      </c>
      <c r="D215" s="1" t="s">
        <v>309</v>
      </c>
      <c r="E215" s="127">
        <v>2.5493203903511299</v>
      </c>
      <c r="F215" s="127">
        <v>2.7140785265385499</v>
      </c>
      <c r="G215" s="127">
        <f t="shared" si="168"/>
        <v>4.1999999999999984</v>
      </c>
      <c r="H215" s="127">
        <v>4.0307101727447199</v>
      </c>
      <c r="I215" s="127">
        <v>1202.4000000000001</v>
      </c>
      <c r="J215" s="127">
        <v>717.2</v>
      </c>
      <c r="K215" s="127">
        <v>1206.3</v>
      </c>
      <c r="L215" s="127">
        <v>63.33</v>
      </c>
      <c r="M215" s="127">
        <v>63.28</v>
      </c>
      <c r="N215" s="127">
        <v>63.96</v>
      </c>
      <c r="O215" s="127">
        <v>64.13</v>
      </c>
      <c r="P215" s="127">
        <v>63.674999999999997</v>
      </c>
      <c r="Q215" s="79">
        <v>16.66</v>
      </c>
      <c r="R215" s="79">
        <v>3.39</v>
      </c>
      <c r="S215" s="127">
        <f t="shared" si="169"/>
        <v>2.4583929666734825</v>
      </c>
      <c r="T215" s="127">
        <f t="shared" si="170"/>
        <v>2.4512636270701296</v>
      </c>
      <c r="U215" s="79">
        <f t="shared" si="171"/>
        <v>3.8463883806889587</v>
      </c>
      <c r="V215" s="127">
        <f t="shared" si="172"/>
        <v>13.323793998942378</v>
      </c>
      <c r="W215" s="127">
        <f t="shared" si="173"/>
        <v>71.131433126373167</v>
      </c>
      <c r="AC215" s="235">
        <v>161</v>
      </c>
      <c r="AD215" s="235">
        <v>91</v>
      </c>
      <c r="AE215" s="235">
        <v>44</v>
      </c>
      <c r="AF215" s="235">
        <v>15</v>
      </c>
    </row>
    <row r="216" spans="1:32">
      <c r="A216" s="1" t="s">
        <v>98</v>
      </c>
      <c r="B216" s="276"/>
      <c r="C216" s="1" t="s">
        <v>324</v>
      </c>
      <c r="D216" s="1" t="s">
        <v>310</v>
      </c>
      <c r="E216" s="127">
        <v>2.5493203903511299</v>
      </c>
      <c r="F216" s="127">
        <v>2.7140785265385499</v>
      </c>
      <c r="G216" s="127">
        <f t="shared" si="168"/>
        <v>4.1999999999999984</v>
      </c>
      <c r="H216" s="127">
        <v>4.0307101727447199</v>
      </c>
      <c r="I216" s="127">
        <v>1199</v>
      </c>
      <c r="J216" s="127">
        <v>704.5</v>
      </c>
      <c r="K216" s="127">
        <v>1205.4000000000001</v>
      </c>
      <c r="L216" s="127">
        <v>65.02</v>
      </c>
      <c r="M216" s="127">
        <v>64.36</v>
      </c>
      <c r="N216" s="127">
        <v>64.25</v>
      </c>
      <c r="O216" s="127">
        <v>65.12</v>
      </c>
      <c r="P216" s="127">
        <v>64.6875</v>
      </c>
      <c r="Q216" s="79">
        <v>16.940000000000001</v>
      </c>
      <c r="R216" s="79">
        <v>1.7</v>
      </c>
      <c r="S216" s="127">
        <f t="shared" si="169"/>
        <v>2.3936913555599917</v>
      </c>
      <c r="T216" s="127">
        <f t="shared" si="170"/>
        <v>2.3867496506288677</v>
      </c>
      <c r="U216" s="79">
        <f t="shared" si="171"/>
        <v>6.3770226895596522</v>
      </c>
      <c r="V216" s="127">
        <f t="shared" si="172"/>
        <v>15.604995682114193</v>
      </c>
      <c r="W216" s="127">
        <f t="shared" si="173"/>
        <v>59.134735955943043</v>
      </c>
      <c r="AC216" s="235">
        <v>161</v>
      </c>
      <c r="AD216" s="235">
        <v>91</v>
      </c>
      <c r="AE216" s="235">
        <v>44</v>
      </c>
      <c r="AF216" s="235">
        <v>15</v>
      </c>
    </row>
    <row r="217" spans="1:32">
      <c r="A217" s="1" t="s">
        <v>98</v>
      </c>
      <c r="B217" s="276"/>
      <c r="C217" s="1" t="s">
        <v>324</v>
      </c>
      <c r="D217" s="1" t="s">
        <v>311</v>
      </c>
      <c r="E217" s="127">
        <v>2.5493203903511299</v>
      </c>
      <c r="F217" s="127">
        <v>2.7140785265385499</v>
      </c>
      <c r="G217" s="127">
        <f t="shared" si="168"/>
        <v>4.1999999999999984</v>
      </c>
      <c r="H217" s="127">
        <v>4.0307101727447199</v>
      </c>
      <c r="I217" s="127">
        <v>1201.5999999999999</v>
      </c>
      <c r="J217" s="127">
        <v>701.3</v>
      </c>
      <c r="K217" s="127">
        <v>1205.9000000000001</v>
      </c>
      <c r="L217" s="127">
        <v>64.349999999999994</v>
      </c>
      <c r="M217" s="127">
        <v>64.680000000000007</v>
      </c>
      <c r="N217" s="127">
        <v>64.760000000000005</v>
      </c>
      <c r="O217" s="127">
        <v>64.319999999999993</v>
      </c>
      <c r="P217" s="127">
        <v>64.527500000000003</v>
      </c>
      <c r="Q217" s="79">
        <v>16.13</v>
      </c>
      <c r="R217" s="79">
        <v>1.19</v>
      </c>
      <c r="S217" s="127">
        <f t="shared" si="169"/>
        <v>2.3812921125644064</v>
      </c>
      <c r="T217" s="127">
        <f t="shared" si="170"/>
        <v>2.3743863654379695</v>
      </c>
      <c r="U217" s="79">
        <f t="shared" si="171"/>
        <v>6.8619866524138988</v>
      </c>
      <c r="V217" s="127">
        <f t="shared" si="172"/>
        <v>16.042159046438627</v>
      </c>
      <c r="W217" s="127">
        <f t="shared" si="173"/>
        <v>57.225292228122711</v>
      </c>
      <c r="AC217" s="235">
        <v>161</v>
      </c>
      <c r="AD217" s="235">
        <v>91</v>
      </c>
      <c r="AE217" s="235">
        <v>44</v>
      </c>
      <c r="AF217" s="235">
        <v>15</v>
      </c>
    </row>
    <row r="218" spans="1:32">
      <c r="A218" s="1" t="s">
        <v>98</v>
      </c>
      <c r="B218" s="280" t="s">
        <v>246</v>
      </c>
      <c r="C218" s="1" t="s">
        <v>332</v>
      </c>
      <c r="D218" s="1" t="s">
        <v>307</v>
      </c>
      <c r="E218" s="127">
        <v>2.5366863639375201</v>
      </c>
      <c r="F218" s="127">
        <v>2.7140785265385499</v>
      </c>
      <c r="G218" s="127">
        <f t="shared" si="168"/>
        <v>4.1999999999999984</v>
      </c>
      <c r="H218" s="127">
        <v>4.0307101727447199</v>
      </c>
      <c r="I218" s="127">
        <v>1201</v>
      </c>
      <c r="J218" s="127">
        <v>710.6</v>
      </c>
      <c r="K218" s="127">
        <v>1204.5999999999999</v>
      </c>
      <c r="L218" s="127">
        <v>64.56</v>
      </c>
      <c r="M218" s="127">
        <v>64.400000000000006</v>
      </c>
      <c r="N218" s="127">
        <v>63.87</v>
      </c>
      <c r="O218" s="127">
        <v>64.62</v>
      </c>
      <c r="P218" s="127">
        <v>64.362499999999997</v>
      </c>
      <c r="Q218" s="79">
        <v>16.43</v>
      </c>
      <c r="R218" s="79">
        <v>1.41</v>
      </c>
      <c r="S218" s="127">
        <f t="shared" si="169"/>
        <v>2.4311740890688265</v>
      </c>
      <c r="T218" s="127">
        <f t="shared" si="170"/>
        <v>2.4241236842105267</v>
      </c>
      <c r="U218" s="79">
        <f t="shared" si="171"/>
        <v>4.4373904999540521</v>
      </c>
      <c r="V218" s="127">
        <f t="shared" si="172"/>
        <v>14.283457109909989</v>
      </c>
      <c r="W218" s="127">
        <f t="shared" si="173"/>
        <v>68.933357899220695</v>
      </c>
      <c r="X218" s="132">
        <f>AVERAGE(S218:S222)</f>
        <v>2.4293923524955572</v>
      </c>
      <c r="Y218" s="132">
        <f t="shared" ref="Y218" si="190">AVERAGE(T218:T222)</f>
        <v>2.4223471146733209</v>
      </c>
      <c r="Z218" s="133">
        <f t="shared" ref="Z218" si="191">AVERAGE(U218:U222)</f>
        <v>4.5074255489243331</v>
      </c>
      <c r="AA218" s="132">
        <f t="shared" ref="AA218" si="192">AVERAGE(V218:V222)</f>
        <v>14.346276263868612</v>
      </c>
      <c r="AB218" s="132">
        <f t="shared" ref="AB218" si="193">AVERAGE(W218:W222)</f>
        <v>68.598963966232461</v>
      </c>
      <c r="AC218" s="235">
        <v>144</v>
      </c>
      <c r="AD218" s="235">
        <v>107.8</v>
      </c>
      <c r="AE218" s="235">
        <v>43.95</v>
      </c>
      <c r="AF218" s="235">
        <v>60.3</v>
      </c>
    </row>
    <row r="219" spans="1:32">
      <c r="A219" s="1" t="s">
        <v>98</v>
      </c>
      <c r="B219" s="276"/>
      <c r="C219" s="1" t="s">
        <v>332</v>
      </c>
      <c r="D219" s="1" t="s">
        <v>308</v>
      </c>
      <c r="E219" s="127">
        <v>2.5366863639375201</v>
      </c>
      <c r="F219" s="127">
        <v>2.7140785265385499</v>
      </c>
      <c r="G219" s="127">
        <f t="shared" si="168"/>
        <v>4.1999999999999984</v>
      </c>
      <c r="H219" s="127">
        <v>4.0307101727447199</v>
      </c>
      <c r="I219" s="127">
        <v>1195.9000000000001</v>
      </c>
      <c r="J219" s="127">
        <v>706.8</v>
      </c>
      <c r="K219" s="127">
        <v>1200.3</v>
      </c>
      <c r="L219" s="127">
        <v>64.3</v>
      </c>
      <c r="M219" s="127">
        <v>64.58</v>
      </c>
      <c r="N219" s="127">
        <v>64.86</v>
      </c>
      <c r="O219" s="127">
        <v>64.47</v>
      </c>
      <c r="P219" s="127">
        <v>64.552499999999995</v>
      </c>
      <c r="Q219" s="79">
        <v>15.97</v>
      </c>
      <c r="R219" s="79">
        <v>1.44</v>
      </c>
      <c r="S219" s="127">
        <f t="shared" si="169"/>
        <v>2.4233029381965556</v>
      </c>
      <c r="T219" s="127">
        <f t="shared" si="170"/>
        <v>2.4162753596757858</v>
      </c>
      <c r="U219" s="79">
        <f t="shared" si="171"/>
        <v>4.7467832828504974</v>
      </c>
      <c r="V219" s="127">
        <f t="shared" si="172"/>
        <v>14.560972341900538</v>
      </c>
      <c r="W219" s="127">
        <f t="shared" si="173"/>
        <v>67.400643505164894</v>
      </c>
      <c r="AC219" s="235">
        <v>144</v>
      </c>
      <c r="AD219" s="235">
        <v>107.8</v>
      </c>
      <c r="AE219" s="235">
        <v>43.95</v>
      </c>
      <c r="AF219" s="235">
        <v>60.3</v>
      </c>
    </row>
    <row r="220" spans="1:32">
      <c r="A220" s="1" t="s">
        <v>98</v>
      </c>
      <c r="B220" s="276"/>
      <c r="C220" s="1" t="s">
        <v>332</v>
      </c>
      <c r="D220" s="1" t="s">
        <v>309</v>
      </c>
      <c r="E220" s="127">
        <v>2.5366863639375201</v>
      </c>
      <c r="F220" s="127">
        <v>2.7140785265385499</v>
      </c>
      <c r="G220" s="127">
        <f t="shared" si="168"/>
        <v>4.1999999999999984</v>
      </c>
      <c r="H220" s="127">
        <v>4.0307101727447199</v>
      </c>
      <c r="I220" s="127">
        <v>1206</v>
      </c>
      <c r="J220" s="127">
        <v>712.8</v>
      </c>
      <c r="K220" s="127">
        <v>1210.8</v>
      </c>
      <c r="L220" s="127">
        <v>65.98</v>
      </c>
      <c r="M220" s="127">
        <v>65.61</v>
      </c>
      <c r="N220" s="127">
        <v>65.37</v>
      </c>
      <c r="O220" s="127">
        <v>66.349999999999994</v>
      </c>
      <c r="P220" s="127">
        <v>65.827500000000001</v>
      </c>
      <c r="Q220" s="79">
        <v>15.73</v>
      </c>
      <c r="R220" s="79">
        <v>1.67</v>
      </c>
      <c r="S220" s="127">
        <f t="shared" si="169"/>
        <v>2.4216867469879517</v>
      </c>
      <c r="T220" s="127">
        <f t="shared" si="170"/>
        <v>2.4146638554216868</v>
      </c>
      <c r="U220" s="79">
        <f t="shared" si="171"/>
        <v>4.8103112095586926</v>
      </c>
      <c r="V220" s="127">
        <f t="shared" si="172"/>
        <v>14.617954819491828</v>
      </c>
      <c r="W220" s="127">
        <f t="shared" si="173"/>
        <v>67.093131228285486</v>
      </c>
      <c r="AC220" s="235">
        <v>144</v>
      </c>
      <c r="AD220" s="235">
        <v>107.8</v>
      </c>
      <c r="AE220" s="235">
        <v>43.95</v>
      </c>
      <c r="AF220" s="235">
        <v>60.3</v>
      </c>
    </row>
    <row r="221" spans="1:32">
      <c r="A221" s="1" t="s">
        <v>98</v>
      </c>
      <c r="B221" s="276"/>
      <c r="C221" s="1" t="s">
        <v>332</v>
      </c>
      <c r="D221" s="1" t="s">
        <v>310</v>
      </c>
      <c r="E221" s="127">
        <v>2.5366863639375201</v>
      </c>
      <c r="F221" s="127">
        <v>2.7140785265385499</v>
      </c>
      <c r="G221" s="127">
        <f t="shared" si="168"/>
        <v>4.1999999999999984</v>
      </c>
      <c r="H221" s="127">
        <v>4.0307101727447199</v>
      </c>
      <c r="I221" s="127">
        <v>1207</v>
      </c>
      <c r="J221" s="127">
        <v>713.8</v>
      </c>
      <c r="K221" s="127">
        <v>1209.9000000000001</v>
      </c>
      <c r="L221" s="127">
        <v>64.569999999999993</v>
      </c>
      <c r="M221" s="127">
        <v>65.03</v>
      </c>
      <c r="N221" s="127">
        <v>65.62</v>
      </c>
      <c r="O221" s="127">
        <v>65.38</v>
      </c>
      <c r="P221" s="127">
        <v>65.150000000000006</v>
      </c>
      <c r="Q221" s="79">
        <v>16.77</v>
      </c>
      <c r="R221" s="79">
        <v>1.86</v>
      </c>
      <c r="S221" s="127">
        <f t="shared" si="169"/>
        <v>2.4329772223342063</v>
      </c>
      <c r="T221" s="127">
        <f t="shared" si="170"/>
        <v>2.4259215883894369</v>
      </c>
      <c r="U221" s="79">
        <f t="shared" si="171"/>
        <v>4.3665144072501993</v>
      </c>
      <c r="V221" s="127">
        <f t="shared" si="172"/>
        <v>14.219883567162313</v>
      </c>
      <c r="W221" s="127">
        <f t="shared" si="173"/>
        <v>69.292896199700948</v>
      </c>
      <c r="AC221" s="235">
        <v>144</v>
      </c>
      <c r="AD221" s="235">
        <v>107.8</v>
      </c>
      <c r="AE221" s="235">
        <v>43.95</v>
      </c>
      <c r="AF221" s="235">
        <v>60.3</v>
      </c>
    </row>
    <row r="222" spans="1:32">
      <c r="A222" s="1" t="s">
        <v>98</v>
      </c>
      <c r="B222" s="276"/>
      <c r="C222" s="1" t="s">
        <v>332</v>
      </c>
      <c r="D222" s="1" t="s">
        <v>311</v>
      </c>
      <c r="E222" s="127">
        <v>2.5366863639375201</v>
      </c>
      <c r="F222" s="127">
        <v>2.7140785265385499</v>
      </c>
      <c r="G222" s="127">
        <f t="shared" si="168"/>
        <v>4.1999999999999984</v>
      </c>
      <c r="H222" s="127">
        <v>4.0307101727447199</v>
      </c>
      <c r="I222" s="127">
        <v>1235</v>
      </c>
      <c r="J222" s="127">
        <v>732.4</v>
      </c>
      <c r="K222" s="127">
        <v>1239</v>
      </c>
      <c r="L222" s="127">
        <v>65.84</v>
      </c>
      <c r="M222" s="127">
        <v>66.150000000000006</v>
      </c>
      <c r="N222" s="127">
        <v>66.52</v>
      </c>
      <c r="O222" s="127">
        <v>66.650000000000006</v>
      </c>
      <c r="P222" s="127">
        <v>66.290000000000006</v>
      </c>
      <c r="Q222" s="79">
        <v>15.87</v>
      </c>
      <c r="R222" s="79">
        <v>1.97</v>
      </c>
      <c r="S222" s="127">
        <f t="shared" si="169"/>
        <v>2.4378207658902484</v>
      </c>
      <c r="T222" s="127">
        <f t="shared" si="170"/>
        <v>2.4307510856691668</v>
      </c>
      <c r="U222" s="79">
        <f t="shared" si="171"/>
        <v>4.1761283450082232</v>
      </c>
      <c r="V222" s="127">
        <f t="shared" si="172"/>
        <v>14.04911348087839</v>
      </c>
      <c r="W222" s="127">
        <f t="shared" si="173"/>
        <v>70.274790998790337</v>
      </c>
      <c r="AC222" s="235">
        <v>144</v>
      </c>
      <c r="AD222" s="235">
        <v>107.8</v>
      </c>
      <c r="AE222" s="235">
        <v>43.95</v>
      </c>
      <c r="AF222" s="235">
        <v>60.3</v>
      </c>
    </row>
    <row r="223" spans="1:32">
      <c r="A223" s="1" t="s">
        <v>98</v>
      </c>
      <c r="B223" s="276"/>
      <c r="C223" s="1" t="s">
        <v>333</v>
      </c>
      <c r="D223" s="1" t="s">
        <v>307</v>
      </c>
      <c r="E223" s="127">
        <v>2.5366863639375201</v>
      </c>
      <c r="F223" s="127">
        <v>2.7140785265385499</v>
      </c>
      <c r="G223" s="127">
        <f t="shared" si="168"/>
        <v>4.1999999999999984</v>
      </c>
      <c r="H223" s="127">
        <v>4.0307101727447199</v>
      </c>
      <c r="I223" s="127">
        <v>1192.2</v>
      </c>
      <c r="J223" s="127">
        <v>707.8</v>
      </c>
      <c r="K223" s="127">
        <v>1195</v>
      </c>
      <c r="L223" s="127">
        <v>62.67</v>
      </c>
      <c r="M223" s="127">
        <v>62.8</v>
      </c>
      <c r="N223" s="127">
        <v>63</v>
      </c>
      <c r="O223" s="127">
        <v>62.68</v>
      </c>
      <c r="P223" s="127">
        <v>62.787500000000001</v>
      </c>
      <c r="Q223" s="79">
        <v>16.43</v>
      </c>
      <c r="R223" s="79">
        <v>1.41</v>
      </c>
      <c r="S223" s="127">
        <f t="shared" si="169"/>
        <v>2.4470443349753692</v>
      </c>
      <c r="T223" s="127">
        <f t="shared" si="170"/>
        <v>2.4399479064039404</v>
      </c>
      <c r="U223" s="79">
        <f t="shared" si="171"/>
        <v>3.8135758093254868</v>
      </c>
      <c r="V223" s="127">
        <f t="shared" si="172"/>
        <v>13.723915685031827</v>
      </c>
      <c r="W223" s="127">
        <f t="shared" si="173"/>
        <v>72.212188584888963</v>
      </c>
      <c r="X223" s="132">
        <f>AVERAGE(S223:S227)</f>
        <v>2.4432238435191151</v>
      </c>
      <c r="Y223" s="132">
        <f t="shared" ref="Y223" si="194">AVERAGE(T223:T227)</f>
        <v>2.4361384943729094</v>
      </c>
      <c r="Z223" s="133">
        <f t="shared" ref="Z223" si="195">AVERAGE(U223:U227)</f>
        <v>3.9637485734947986</v>
      </c>
      <c r="AA223" s="132">
        <f t="shared" ref="AA223" si="196">AVERAGE(V223:V227)</f>
        <v>13.858615754946053</v>
      </c>
      <c r="AB223" s="132">
        <f t="shared" ref="AB223" si="197">AVERAGE(W223:W227)</f>
        <v>71.427744793076869</v>
      </c>
      <c r="AC223" s="235">
        <v>144</v>
      </c>
      <c r="AD223" s="235">
        <v>107.8</v>
      </c>
      <c r="AE223" s="235">
        <v>43.95</v>
      </c>
      <c r="AF223" s="235">
        <v>60.3</v>
      </c>
    </row>
    <row r="224" spans="1:32">
      <c r="A224" s="1" t="s">
        <v>98</v>
      </c>
      <c r="B224" s="276"/>
      <c r="C224" s="1" t="s">
        <v>333</v>
      </c>
      <c r="D224" s="1" t="s">
        <v>308</v>
      </c>
      <c r="E224" s="127">
        <v>2.5366863639375201</v>
      </c>
      <c r="F224" s="127">
        <v>2.7140785265385499</v>
      </c>
      <c r="G224" s="127">
        <f t="shared" si="168"/>
        <v>4.1999999999999984</v>
      </c>
      <c r="H224" s="127">
        <v>4.0307101727447199</v>
      </c>
      <c r="I224" s="127">
        <v>1189.3</v>
      </c>
      <c r="J224" s="127">
        <v>705.8</v>
      </c>
      <c r="K224" s="127">
        <v>1193.9000000000001</v>
      </c>
      <c r="L224" s="127">
        <v>64.8</v>
      </c>
      <c r="M224" s="127">
        <v>64.72</v>
      </c>
      <c r="N224" s="127">
        <v>64.67</v>
      </c>
      <c r="O224" s="127">
        <v>64.739999999999995</v>
      </c>
      <c r="P224" s="127">
        <v>64.732500000000002</v>
      </c>
      <c r="Q224" s="79">
        <v>15.97</v>
      </c>
      <c r="R224" s="79">
        <v>1.44</v>
      </c>
      <c r="S224" s="127">
        <f t="shared" si="169"/>
        <v>2.4365908625281696</v>
      </c>
      <c r="T224" s="127">
        <f t="shared" si="170"/>
        <v>2.4295247490268377</v>
      </c>
      <c r="U224" s="79">
        <f t="shared" si="171"/>
        <v>4.2244723838994025</v>
      </c>
      <c r="V224" s="127">
        <f t="shared" si="172"/>
        <v>14.092476506488254</v>
      </c>
      <c r="W224" s="127">
        <f t="shared" si="173"/>
        <v>70.023207901361886</v>
      </c>
      <c r="AC224" s="235">
        <v>144</v>
      </c>
      <c r="AD224" s="235">
        <v>107.8</v>
      </c>
      <c r="AE224" s="235">
        <v>43.95</v>
      </c>
      <c r="AF224" s="235">
        <v>60.3</v>
      </c>
    </row>
    <row r="225" spans="1:32">
      <c r="A225" s="1" t="s">
        <v>98</v>
      </c>
      <c r="B225" s="276"/>
      <c r="C225" s="1" t="s">
        <v>333</v>
      </c>
      <c r="D225" s="1" t="s">
        <v>309</v>
      </c>
      <c r="E225" s="127">
        <v>2.5366863639375201</v>
      </c>
      <c r="F225" s="127">
        <v>2.7140785265385499</v>
      </c>
      <c r="G225" s="127">
        <f t="shared" si="168"/>
        <v>4.1999999999999984</v>
      </c>
      <c r="H225" s="127">
        <v>4.0307101727447199</v>
      </c>
      <c r="I225" s="127">
        <v>1188.4000000000001</v>
      </c>
      <c r="J225" s="127">
        <v>707.8</v>
      </c>
      <c r="K225" s="127">
        <v>1192.8</v>
      </c>
      <c r="L225" s="127">
        <v>63.04</v>
      </c>
      <c r="M225" s="127">
        <v>62.82</v>
      </c>
      <c r="N225" s="127">
        <v>63.02</v>
      </c>
      <c r="O225" s="127">
        <v>62.83</v>
      </c>
      <c r="P225" s="127">
        <v>62.927500000000002</v>
      </c>
      <c r="Q225" s="79">
        <v>15.73</v>
      </c>
      <c r="R225" s="79">
        <v>1.67</v>
      </c>
      <c r="S225" s="127">
        <f t="shared" si="169"/>
        <v>2.4503092783505158</v>
      </c>
      <c r="T225" s="127">
        <f t="shared" si="170"/>
        <v>2.4432033814432992</v>
      </c>
      <c r="U225" s="79">
        <f t="shared" si="171"/>
        <v>3.6852400763141224</v>
      </c>
      <c r="V225" s="127">
        <f t="shared" si="172"/>
        <v>13.608802719609983</v>
      </c>
      <c r="W225" s="127">
        <f t="shared" si="173"/>
        <v>72.920174153132706</v>
      </c>
      <c r="AC225" s="235">
        <v>144</v>
      </c>
      <c r="AD225" s="235">
        <v>107.8</v>
      </c>
      <c r="AE225" s="235">
        <v>43.95</v>
      </c>
      <c r="AF225" s="235">
        <v>60.3</v>
      </c>
    </row>
    <row r="226" spans="1:32">
      <c r="A226" s="1" t="s">
        <v>98</v>
      </c>
      <c r="B226" s="276"/>
      <c r="C226" s="1" t="s">
        <v>333</v>
      </c>
      <c r="D226" s="1" t="s">
        <v>310</v>
      </c>
      <c r="E226" s="127">
        <v>2.5366863639375201</v>
      </c>
      <c r="F226" s="127">
        <v>2.7140785265385499</v>
      </c>
      <c r="G226" s="127">
        <f t="shared" si="168"/>
        <v>4.1999999999999984</v>
      </c>
      <c r="H226" s="127">
        <v>4.0307101727447199</v>
      </c>
      <c r="I226" s="127">
        <v>1190.5999999999999</v>
      </c>
      <c r="J226" s="127">
        <v>704.6</v>
      </c>
      <c r="K226" s="127">
        <v>1194.0999999999999</v>
      </c>
      <c r="L226" s="127">
        <v>63.71</v>
      </c>
      <c r="M226" s="127">
        <v>63.5</v>
      </c>
      <c r="N226" s="127">
        <v>63.61</v>
      </c>
      <c r="O226" s="127">
        <v>63.7</v>
      </c>
      <c r="P226" s="127">
        <v>63.63</v>
      </c>
      <c r="Q226" s="79">
        <v>16.77</v>
      </c>
      <c r="R226" s="79">
        <v>1.86</v>
      </c>
      <c r="S226" s="127">
        <f t="shared" si="169"/>
        <v>2.432277834525026</v>
      </c>
      <c r="T226" s="127">
        <f t="shared" si="170"/>
        <v>2.4252242288049035</v>
      </c>
      <c r="U226" s="79">
        <f t="shared" si="171"/>
        <v>4.3940053731988282</v>
      </c>
      <c r="V226" s="127">
        <f t="shared" si="172"/>
        <v>14.244542066696312</v>
      </c>
      <c r="W226" s="127">
        <f t="shared" si="173"/>
        <v>69.153059799149347</v>
      </c>
      <c r="AC226" s="235">
        <v>144</v>
      </c>
      <c r="AD226" s="235">
        <v>107.8</v>
      </c>
      <c r="AE226" s="235">
        <v>43.95</v>
      </c>
      <c r="AF226" s="235">
        <v>60.3</v>
      </c>
    </row>
    <row r="227" spans="1:32">
      <c r="A227" s="1" t="s">
        <v>98</v>
      </c>
      <c r="B227" s="276"/>
      <c r="C227" s="1" t="s">
        <v>333</v>
      </c>
      <c r="D227" s="1" t="s">
        <v>311</v>
      </c>
      <c r="E227" s="127">
        <v>2.5366863639375201</v>
      </c>
      <c r="F227" s="127">
        <v>2.7140785265385499</v>
      </c>
      <c r="G227" s="127">
        <f t="shared" si="168"/>
        <v>4.1999999999999984</v>
      </c>
      <c r="H227" s="127">
        <v>4.0307101727447199</v>
      </c>
      <c r="I227" s="127">
        <v>1188.2</v>
      </c>
      <c r="J227" s="127">
        <v>707</v>
      </c>
      <c r="K227" s="127">
        <v>1192</v>
      </c>
      <c r="L227" s="127">
        <v>63.51</v>
      </c>
      <c r="M227" s="127">
        <v>63.57</v>
      </c>
      <c r="N227" s="127">
        <v>63.71</v>
      </c>
      <c r="O227" s="127">
        <v>63.82</v>
      </c>
      <c r="P227" s="127">
        <v>63.652500000000003</v>
      </c>
      <c r="Q227" s="79">
        <v>15.87</v>
      </c>
      <c r="R227" s="79">
        <v>1.97</v>
      </c>
      <c r="S227" s="127">
        <f t="shared" si="169"/>
        <v>2.4498969072164951</v>
      </c>
      <c r="T227" s="127">
        <f t="shared" si="170"/>
        <v>2.4427922061855671</v>
      </c>
      <c r="U227" s="79">
        <f t="shared" si="171"/>
        <v>3.701449224736153</v>
      </c>
      <c r="V227" s="127">
        <f t="shared" si="172"/>
        <v>13.623341796903887</v>
      </c>
      <c r="W227" s="127">
        <f t="shared" si="173"/>
        <v>72.830093526851357</v>
      </c>
      <c r="AC227" s="235">
        <v>144</v>
      </c>
      <c r="AD227" s="235">
        <v>107.8</v>
      </c>
      <c r="AE227" s="235">
        <v>43.95</v>
      </c>
      <c r="AF227" s="235">
        <v>60.3</v>
      </c>
    </row>
    <row r="228" spans="1:32">
      <c r="A228" s="1" t="s">
        <v>98</v>
      </c>
      <c r="B228" s="276"/>
      <c r="C228" s="1" t="s">
        <v>332</v>
      </c>
      <c r="D228" s="1" t="s">
        <v>307</v>
      </c>
      <c r="E228" s="127">
        <v>2.5366863639375201</v>
      </c>
      <c r="F228" s="127">
        <v>2.7140785265385499</v>
      </c>
      <c r="G228" s="127">
        <f t="shared" si="168"/>
        <v>4.1999999999999984</v>
      </c>
      <c r="H228" s="127">
        <v>4.0307101727447199</v>
      </c>
      <c r="I228" s="127">
        <v>1191</v>
      </c>
      <c r="J228" s="127">
        <v>708.3</v>
      </c>
      <c r="K228" s="127">
        <v>1193.8</v>
      </c>
      <c r="L228" s="127">
        <v>62.67</v>
      </c>
      <c r="M228" s="127">
        <v>62.8</v>
      </c>
      <c r="N228" s="127">
        <v>63</v>
      </c>
      <c r="O228" s="127">
        <v>62.68</v>
      </c>
      <c r="P228" s="127">
        <v>62.787500000000001</v>
      </c>
      <c r="Q228" s="79">
        <v>12.38</v>
      </c>
      <c r="R228" s="79">
        <v>1.89</v>
      </c>
      <c r="S228" s="127">
        <f t="shared" si="169"/>
        <v>2.4531410916580842</v>
      </c>
      <c r="T228" s="127">
        <f t="shared" si="170"/>
        <v>2.4460269824922758</v>
      </c>
      <c r="U228" s="79">
        <f t="shared" si="171"/>
        <v>3.5739294669649313</v>
      </c>
      <c r="V228" s="127">
        <f t="shared" si="172"/>
        <v>13.508960734650401</v>
      </c>
      <c r="W228" s="127">
        <f t="shared" si="173"/>
        <v>73.544008771912232</v>
      </c>
      <c r="X228" s="132">
        <f>AVERAGE(S228:S232)</f>
        <v>2.4411026792316566</v>
      </c>
      <c r="Y228" s="132">
        <f t="shared" ref="Y228" si="198">AVERAGE(T228:T232)</f>
        <v>2.4340234814618849</v>
      </c>
      <c r="Z228" s="133">
        <f t="shared" ref="Z228" si="199">AVERAGE(U228:U232)</f>
        <v>4.0471255703948605</v>
      </c>
      <c r="AA228" s="132">
        <f t="shared" ref="AA228" si="200">AVERAGE(V228:V232)</f>
        <v>13.933402200902492</v>
      </c>
      <c r="AB228" s="132">
        <f t="shared" ref="AB228" si="201">AVERAGE(W228:W232)</f>
        <v>70.98992009927457</v>
      </c>
      <c r="AC228" s="235">
        <v>144</v>
      </c>
      <c r="AD228" s="235">
        <v>107.8</v>
      </c>
      <c r="AE228" s="235">
        <v>43.95</v>
      </c>
      <c r="AF228" s="235">
        <v>60.3</v>
      </c>
    </row>
    <row r="229" spans="1:32">
      <c r="A229" s="1" t="s">
        <v>98</v>
      </c>
      <c r="B229" s="276"/>
      <c r="C229" s="1" t="s">
        <v>332</v>
      </c>
      <c r="D229" s="1" t="s">
        <v>308</v>
      </c>
      <c r="E229" s="127">
        <v>2.5366863639375201</v>
      </c>
      <c r="F229" s="127">
        <v>2.7140785265385499</v>
      </c>
      <c r="G229" s="127">
        <f t="shared" si="168"/>
        <v>4.1999999999999984</v>
      </c>
      <c r="H229" s="127">
        <v>4.0307101727447199</v>
      </c>
      <c r="I229" s="127">
        <v>1192.3</v>
      </c>
      <c r="J229" s="127">
        <v>709.1</v>
      </c>
      <c r="K229" s="127">
        <v>1196.4000000000001</v>
      </c>
      <c r="L229" s="127">
        <v>64.8</v>
      </c>
      <c r="M229" s="127">
        <v>64.72</v>
      </c>
      <c r="N229" s="127">
        <v>64.67</v>
      </c>
      <c r="O229" s="127">
        <v>64.739999999999995</v>
      </c>
      <c r="P229" s="127">
        <v>64.732500000000002</v>
      </c>
      <c r="Q229" s="79">
        <v>12.29</v>
      </c>
      <c r="R229" s="79">
        <v>1.47</v>
      </c>
      <c r="S229" s="127">
        <f t="shared" si="169"/>
        <v>2.4467473835419655</v>
      </c>
      <c r="T229" s="127">
        <f t="shared" si="170"/>
        <v>2.4396518161296936</v>
      </c>
      <c r="U229" s="79">
        <f t="shared" si="171"/>
        <v>3.8252481342315625</v>
      </c>
      <c r="V229" s="127">
        <f t="shared" si="172"/>
        <v>13.734385379650604</v>
      </c>
      <c r="W229" s="127">
        <f t="shared" si="173"/>
        <v>72.148385031490392</v>
      </c>
      <c r="AC229" s="235">
        <v>144</v>
      </c>
      <c r="AD229" s="235">
        <v>107.8</v>
      </c>
      <c r="AE229" s="235">
        <v>43.95</v>
      </c>
      <c r="AF229" s="235">
        <v>60.3</v>
      </c>
    </row>
    <row r="230" spans="1:32">
      <c r="A230" s="1" t="s">
        <v>98</v>
      </c>
      <c r="B230" s="276"/>
      <c r="C230" s="1" t="s">
        <v>332</v>
      </c>
      <c r="D230" s="1" t="s">
        <v>309</v>
      </c>
      <c r="E230" s="127">
        <v>2.5366863639375201</v>
      </c>
      <c r="F230" s="127">
        <v>2.7140785265385499</v>
      </c>
      <c r="G230" s="127">
        <f t="shared" si="168"/>
        <v>4.1999999999999984</v>
      </c>
      <c r="H230" s="127">
        <v>4.0307101727447199</v>
      </c>
      <c r="I230" s="127">
        <v>1192.0999999999999</v>
      </c>
      <c r="J230" s="127">
        <v>706.6</v>
      </c>
      <c r="K230" s="127">
        <v>1195</v>
      </c>
      <c r="L230" s="127">
        <v>63.04</v>
      </c>
      <c r="M230" s="127">
        <v>62.82</v>
      </c>
      <c r="N230" s="127">
        <v>63.02</v>
      </c>
      <c r="O230" s="127">
        <v>62.83</v>
      </c>
      <c r="P230" s="127">
        <v>62.927500000000002</v>
      </c>
      <c r="Q230" s="79">
        <v>12.92</v>
      </c>
      <c r="R230" s="79">
        <v>1.51</v>
      </c>
      <c r="S230" s="127">
        <f t="shared" si="169"/>
        <v>2.4408271908271906</v>
      </c>
      <c r="T230" s="127">
        <f t="shared" si="170"/>
        <v>2.4337487919737919</v>
      </c>
      <c r="U230" s="79">
        <f t="shared" si="171"/>
        <v>4.0579542440534633</v>
      </c>
      <c r="V230" s="127">
        <f t="shared" si="172"/>
        <v>13.943115167877295</v>
      </c>
      <c r="W230" s="127">
        <f t="shared" si="173"/>
        <v>70.896358559797747</v>
      </c>
      <c r="AC230" s="235">
        <v>144</v>
      </c>
      <c r="AD230" s="235">
        <v>107.8</v>
      </c>
      <c r="AE230" s="235">
        <v>43.95</v>
      </c>
      <c r="AF230" s="235">
        <v>60.3</v>
      </c>
    </row>
    <row r="231" spans="1:32">
      <c r="A231" s="1" t="s">
        <v>98</v>
      </c>
      <c r="B231" s="276"/>
      <c r="C231" s="1" t="s">
        <v>332</v>
      </c>
      <c r="D231" s="1" t="s">
        <v>310</v>
      </c>
      <c r="E231" s="127">
        <v>2.5366863639375201</v>
      </c>
      <c r="F231" s="127">
        <v>2.7140785265385499</v>
      </c>
      <c r="G231" s="127">
        <f t="shared" si="168"/>
        <v>4.1999999999999984</v>
      </c>
      <c r="H231" s="127">
        <v>4.0307101727447199</v>
      </c>
      <c r="I231" s="127">
        <v>1189.9000000000001</v>
      </c>
      <c r="J231" s="127">
        <v>703.7</v>
      </c>
      <c r="K231" s="127">
        <v>1193.4000000000001</v>
      </c>
      <c r="L231" s="127">
        <v>63.71</v>
      </c>
      <c r="M231" s="127">
        <v>63.5</v>
      </c>
      <c r="N231" s="127">
        <v>63.61</v>
      </c>
      <c r="O231" s="127">
        <v>63.7</v>
      </c>
      <c r="P231" s="127">
        <v>63.63</v>
      </c>
      <c r="Q231" s="79">
        <v>14.31</v>
      </c>
      <c r="R231" s="79">
        <v>1.83</v>
      </c>
      <c r="S231" s="127">
        <f t="shared" si="169"/>
        <v>2.4298550132734329</v>
      </c>
      <c r="T231" s="127">
        <f t="shared" si="170"/>
        <v>2.4228084337349398</v>
      </c>
      <c r="U231" s="79">
        <f t="shared" si="171"/>
        <v>4.4892396561715842</v>
      </c>
      <c r="V231" s="127">
        <f t="shared" si="172"/>
        <v>14.329964111403442</v>
      </c>
      <c r="W231" s="127">
        <f t="shared" si="173"/>
        <v>68.672359391331938</v>
      </c>
      <c r="AC231" s="235">
        <v>144</v>
      </c>
      <c r="AD231" s="235">
        <v>107.8</v>
      </c>
      <c r="AE231" s="235">
        <v>43.95</v>
      </c>
      <c r="AF231" s="235">
        <v>60.3</v>
      </c>
    </row>
    <row r="232" spans="1:32">
      <c r="A232" s="1" t="s">
        <v>98</v>
      </c>
      <c r="B232" s="276"/>
      <c r="C232" s="1" t="s">
        <v>332</v>
      </c>
      <c r="D232" s="1" t="s">
        <v>311</v>
      </c>
      <c r="E232" s="127">
        <v>2.5366863639375201</v>
      </c>
      <c r="F232" s="127">
        <v>2.7140785265385499</v>
      </c>
      <c r="G232" s="127">
        <f t="shared" si="168"/>
        <v>4.1999999999999984</v>
      </c>
      <c r="H232" s="127">
        <v>4.0307101727447199</v>
      </c>
      <c r="I232" s="127">
        <v>1190.2</v>
      </c>
      <c r="J232" s="127">
        <v>705.3</v>
      </c>
      <c r="K232" s="127">
        <v>1194.0999999999999</v>
      </c>
      <c r="L232" s="127">
        <v>63.51</v>
      </c>
      <c r="M232" s="127">
        <v>63.57</v>
      </c>
      <c r="N232" s="127">
        <v>63.71</v>
      </c>
      <c r="O232" s="127">
        <v>63.82</v>
      </c>
      <c r="P232" s="127">
        <v>63.652500000000003</v>
      </c>
      <c r="Q232" s="79">
        <v>12.56</v>
      </c>
      <c r="R232" s="79">
        <v>2.11</v>
      </c>
      <c r="S232" s="127">
        <f t="shared" si="169"/>
        <v>2.434942716857611</v>
      </c>
      <c r="T232" s="127">
        <f t="shared" si="170"/>
        <v>2.427881382978724</v>
      </c>
      <c r="U232" s="79">
        <f t="shared" si="171"/>
        <v>4.2892563505527619</v>
      </c>
      <c r="V232" s="127">
        <f t="shared" si="172"/>
        <v>14.150585610930719</v>
      </c>
      <c r="W232" s="127">
        <f t="shared" si="173"/>
        <v>69.688488741840501</v>
      </c>
      <c r="AC232" s="235">
        <v>144</v>
      </c>
      <c r="AD232" s="235">
        <v>107.8</v>
      </c>
      <c r="AE232" s="235">
        <v>43.95</v>
      </c>
      <c r="AF232" s="235">
        <v>60.3</v>
      </c>
    </row>
    <row r="233" spans="1:32">
      <c r="A233" s="1" t="s">
        <v>98</v>
      </c>
      <c r="B233" s="276"/>
      <c r="C233" s="1" t="s">
        <v>333</v>
      </c>
      <c r="D233" s="1" t="s">
        <v>307</v>
      </c>
      <c r="E233" s="127">
        <v>2.5366863639375201</v>
      </c>
      <c r="F233" s="127">
        <v>2.7140785265385499</v>
      </c>
      <c r="G233" s="127">
        <f t="shared" si="168"/>
        <v>4.1999999999999984</v>
      </c>
      <c r="H233" s="127">
        <v>4.0307101727447199</v>
      </c>
      <c r="I233" s="127">
        <v>1190.8</v>
      </c>
      <c r="J233" s="127">
        <v>707.3</v>
      </c>
      <c r="K233" s="127">
        <v>1192.8</v>
      </c>
      <c r="L233" s="127">
        <v>62.67</v>
      </c>
      <c r="M233" s="127">
        <v>62.8</v>
      </c>
      <c r="N233" s="127">
        <v>63</v>
      </c>
      <c r="O233" s="127">
        <v>62.68</v>
      </c>
      <c r="P233" s="127">
        <v>62.787500000000001</v>
      </c>
      <c r="Q233" s="79">
        <v>14.86</v>
      </c>
      <c r="R233" s="79">
        <v>1.95</v>
      </c>
      <c r="S233" s="127">
        <f t="shared" si="169"/>
        <v>2.4527291452111224</v>
      </c>
      <c r="T233" s="127">
        <f t="shared" si="170"/>
        <v>2.44561623069001</v>
      </c>
      <c r="U233" s="79">
        <f t="shared" si="171"/>
        <v>3.5901219221342151</v>
      </c>
      <c r="V233" s="127">
        <f t="shared" si="172"/>
        <v>13.523484838641238</v>
      </c>
      <c r="W233" s="127">
        <f t="shared" si="173"/>
        <v>73.452686456408003</v>
      </c>
      <c r="X233" s="132">
        <f>AVERAGE(S233:S237)</f>
        <v>2.4523381113715348</v>
      </c>
      <c r="Y233" s="132">
        <f t="shared" ref="Y233" si="202">AVERAGE(T233:T237)</f>
        <v>2.4452263308485578</v>
      </c>
      <c r="Z233" s="133">
        <f t="shared" ref="Z233" si="203">AVERAGE(U233:U237)</f>
        <v>3.6054923615781824</v>
      </c>
      <c r="AA233" s="132">
        <f t="shared" ref="AA233" si="204">AVERAGE(V233:V237)</f>
        <v>13.537271621345587</v>
      </c>
      <c r="AB233" s="132">
        <f t="shared" ref="AB233" si="205">AVERAGE(W233:W237)</f>
        <v>73.366812315841656</v>
      </c>
      <c r="AC233" s="235">
        <v>144</v>
      </c>
      <c r="AD233" s="235">
        <v>107.8</v>
      </c>
      <c r="AE233" s="235">
        <v>43.95</v>
      </c>
      <c r="AF233" s="235">
        <v>60.3</v>
      </c>
    </row>
    <row r="234" spans="1:32">
      <c r="A234" s="1" t="s">
        <v>98</v>
      </c>
      <c r="B234" s="276"/>
      <c r="C234" s="1" t="s">
        <v>333</v>
      </c>
      <c r="D234" s="1" t="s">
        <v>308</v>
      </c>
      <c r="E234" s="127">
        <v>2.5366863639375201</v>
      </c>
      <c r="F234" s="127">
        <v>2.7140785265385499</v>
      </c>
      <c r="G234" s="127">
        <f t="shared" si="168"/>
        <v>4.1999999999999984</v>
      </c>
      <c r="H234" s="127">
        <v>4.0307101727447199</v>
      </c>
      <c r="I234" s="127">
        <v>1191.0999999999999</v>
      </c>
      <c r="J234" s="127">
        <v>707.2</v>
      </c>
      <c r="K234" s="127">
        <v>1193.0999999999999</v>
      </c>
      <c r="L234" s="127">
        <v>64.8</v>
      </c>
      <c r="M234" s="127">
        <v>64.72</v>
      </c>
      <c r="N234" s="127">
        <v>64.67</v>
      </c>
      <c r="O234" s="127">
        <v>64.739999999999995</v>
      </c>
      <c r="P234" s="127">
        <v>64.732500000000002</v>
      </c>
      <c r="Q234" s="79">
        <v>16.18</v>
      </c>
      <c r="R234" s="79">
        <v>1.35</v>
      </c>
      <c r="S234" s="127">
        <f t="shared" si="169"/>
        <v>2.4513274336283191</v>
      </c>
      <c r="T234" s="127">
        <f t="shared" si="170"/>
        <v>2.4442185840707968</v>
      </c>
      <c r="U234" s="79">
        <f t="shared" si="171"/>
        <v>3.6452192585287535</v>
      </c>
      <c r="V234" s="127">
        <f t="shared" si="172"/>
        <v>13.572905351778118</v>
      </c>
      <c r="W234" s="127">
        <f t="shared" si="173"/>
        <v>73.143412084198971</v>
      </c>
      <c r="AC234" s="235">
        <v>144</v>
      </c>
      <c r="AD234" s="235">
        <v>107.8</v>
      </c>
      <c r="AE234" s="235">
        <v>43.95</v>
      </c>
      <c r="AF234" s="235">
        <v>60.3</v>
      </c>
    </row>
    <row r="235" spans="1:32">
      <c r="A235" s="1" t="s">
        <v>98</v>
      </c>
      <c r="B235" s="276"/>
      <c r="C235" s="1" t="s">
        <v>333</v>
      </c>
      <c r="D235" s="1" t="s">
        <v>309</v>
      </c>
      <c r="E235" s="127">
        <v>2.5366863639375201</v>
      </c>
      <c r="F235" s="127">
        <v>2.7140785265385499</v>
      </c>
      <c r="G235" s="127">
        <f t="shared" si="168"/>
        <v>4.1999999999999984</v>
      </c>
      <c r="H235" s="127">
        <v>4.0307101727447199</v>
      </c>
      <c r="I235" s="127">
        <v>1187</v>
      </c>
      <c r="J235" s="127">
        <v>706.1</v>
      </c>
      <c r="K235" s="127">
        <v>1190.0999999999999</v>
      </c>
      <c r="L235" s="127">
        <v>63.04</v>
      </c>
      <c r="M235" s="127">
        <v>62.82</v>
      </c>
      <c r="N235" s="127">
        <v>63.02</v>
      </c>
      <c r="O235" s="127">
        <v>62.83</v>
      </c>
      <c r="P235" s="127">
        <v>62.927500000000002</v>
      </c>
      <c r="Q235" s="79">
        <v>15.56</v>
      </c>
      <c r="R235" s="79">
        <v>1.1000000000000001</v>
      </c>
      <c r="S235" s="127">
        <f t="shared" si="169"/>
        <v>2.4524793388429758</v>
      </c>
      <c r="T235" s="127">
        <f t="shared" si="170"/>
        <v>2.4453671487603312</v>
      </c>
      <c r="U235" s="79">
        <f t="shared" si="171"/>
        <v>3.5999411072419885</v>
      </c>
      <c r="V235" s="127">
        <f t="shared" si="172"/>
        <v>13.532292327321585</v>
      </c>
      <c r="W235" s="127">
        <f t="shared" si="173"/>
        <v>73.397403631506407</v>
      </c>
      <c r="AC235" s="235">
        <v>144</v>
      </c>
      <c r="AD235" s="235">
        <v>107.8</v>
      </c>
      <c r="AE235" s="235">
        <v>43.95</v>
      </c>
      <c r="AF235" s="235">
        <v>60.3</v>
      </c>
    </row>
    <row r="236" spans="1:32">
      <c r="A236" s="1" t="s">
        <v>98</v>
      </c>
      <c r="B236" s="276"/>
      <c r="C236" s="1" t="s">
        <v>333</v>
      </c>
      <c r="D236" s="1" t="s">
        <v>310</v>
      </c>
      <c r="E236" s="127">
        <v>2.5366863639375201</v>
      </c>
      <c r="F236" s="127">
        <v>2.7140785265385499</v>
      </c>
      <c r="G236" s="127">
        <f t="shared" si="168"/>
        <v>4.1999999999999984</v>
      </c>
      <c r="H236" s="127">
        <v>4.0307101727447199</v>
      </c>
      <c r="I236" s="127">
        <v>1190.2</v>
      </c>
      <c r="J236" s="127">
        <v>707.7</v>
      </c>
      <c r="K236" s="127">
        <v>1192.7</v>
      </c>
      <c r="L236" s="127">
        <v>63.71</v>
      </c>
      <c r="M236" s="127">
        <v>63.5</v>
      </c>
      <c r="N236" s="127">
        <v>63.61</v>
      </c>
      <c r="O236" s="127">
        <v>63.7</v>
      </c>
      <c r="P236" s="127">
        <v>63.63</v>
      </c>
      <c r="Q236" s="79">
        <v>15.62</v>
      </c>
      <c r="R236" s="79">
        <v>1.33</v>
      </c>
      <c r="S236" s="127">
        <f t="shared" si="169"/>
        <v>2.4540206185567013</v>
      </c>
      <c r="T236" s="127">
        <f t="shared" si="170"/>
        <v>2.4469039587628867</v>
      </c>
      <c r="U236" s="79">
        <f t="shared" si="171"/>
        <v>3.5393577405158805</v>
      </c>
      <c r="V236" s="127">
        <f t="shared" si="172"/>
        <v>13.47795102396482</v>
      </c>
      <c r="W236" s="127">
        <f t="shared" si="173"/>
        <v>73.739645334645942</v>
      </c>
      <c r="AC236" s="235">
        <v>144</v>
      </c>
      <c r="AD236" s="235">
        <v>107.8</v>
      </c>
      <c r="AE236" s="235">
        <v>43.95</v>
      </c>
      <c r="AF236" s="235">
        <v>60.3</v>
      </c>
    </row>
    <row r="237" spans="1:32">
      <c r="A237" s="1" t="s">
        <v>98</v>
      </c>
      <c r="B237" s="276"/>
      <c r="C237" s="1" t="s">
        <v>333</v>
      </c>
      <c r="D237" s="1" t="s">
        <v>311</v>
      </c>
      <c r="E237" s="127">
        <v>2.5366863639375201</v>
      </c>
      <c r="F237" s="127">
        <v>2.7140785265385499</v>
      </c>
      <c r="G237" s="127">
        <f t="shared" si="168"/>
        <v>4.1999999999999984</v>
      </c>
      <c r="H237" s="127">
        <v>4.0307101727447199</v>
      </c>
      <c r="I237" s="127">
        <v>1188.8</v>
      </c>
      <c r="J237" s="127">
        <v>707.2</v>
      </c>
      <c r="K237" s="127">
        <v>1192.2</v>
      </c>
      <c r="L237" s="127">
        <v>63.51</v>
      </c>
      <c r="M237" s="127">
        <v>63.57</v>
      </c>
      <c r="N237" s="127">
        <v>63.71</v>
      </c>
      <c r="O237" s="127">
        <v>63.82</v>
      </c>
      <c r="P237" s="127">
        <v>63.652500000000003</v>
      </c>
      <c r="Q237" s="79">
        <v>15.46</v>
      </c>
      <c r="R237" s="79">
        <v>1.27</v>
      </c>
      <c r="S237" s="127">
        <f t="shared" si="169"/>
        <v>2.4511340206185568</v>
      </c>
      <c r="T237" s="127">
        <f t="shared" si="170"/>
        <v>2.4440257319587628</v>
      </c>
      <c r="U237" s="79">
        <f t="shared" si="171"/>
        <v>3.6528217794700724</v>
      </c>
      <c r="V237" s="127">
        <f t="shared" si="172"/>
        <v>13.579724565022175</v>
      </c>
      <c r="W237" s="127">
        <f t="shared" si="173"/>
        <v>73.100914072448958</v>
      </c>
      <c r="AC237" s="235">
        <v>144</v>
      </c>
      <c r="AD237" s="235">
        <v>107.8</v>
      </c>
      <c r="AE237" s="235">
        <v>43.95</v>
      </c>
      <c r="AF237" s="235">
        <v>60.3</v>
      </c>
    </row>
    <row r="238" spans="1:32">
      <c r="A238" s="1" t="s">
        <v>100</v>
      </c>
      <c r="B238" s="280" t="s">
        <v>218</v>
      </c>
      <c r="C238" s="1" t="s">
        <v>306</v>
      </c>
      <c r="D238" s="1" t="s">
        <v>307</v>
      </c>
      <c r="E238" s="127">
        <v>2.5046539685862599</v>
      </c>
      <c r="F238" s="127">
        <v>2.6458717972216701</v>
      </c>
      <c r="G238" s="127">
        <v>4.8</v>
      </c>
      <c r="H238" s="127">
        <v>4.5801526717557302</v>
      </c>
      <c r="I238" s="127">
        <v>1214.7</v>
      </c>
      <c r="J238" s="127">
        <v>715.8</v>
      </c>
      <c r="K238" s="127">
        <v>1219.0999999999999</v>
      </c>
      <c r="L238" s="127">
        <v>64.63</v>
      </c>
      <c r="M238" s="127">
        <v>65.12</v>
      </c>
      <c r="N238" s="127">
        <v>65.400000000000006</v>
      </c>
      <c r="O238" s="127">
        <v>65.17</v>
      </c>
      <c r="P238" s="127">
        <v>65.08</v>
      </c>
      <c r="Q238" s="79">
        <v>17.52</v>
      </c>
      <c r="R238" s="79">
        <v>1.66</v>
      </c>
      <c r="S238" s="127">
        <f t="shared" si="169"/>
        <v>2.4134710908007158</v>
      </c>
      <c r="T238" s="127">
        <f t="shared" si="170"/>
        <v>2.4064720246373938</v>
      </c>
      <c r="U238" s="79">
        <f t="shared" si="171"/>
        <v>3.9199803717510862</v>
      </c>
      <c r="V238" s="127">
        <f t="shared" si="172"/>
        <v>13.213787065680307</v>
      </c>
      <c r="W238" s="127">
        <f t="shared" si="173"/>
        <v>70.334164216008077</v>
      </c>
      <c r="X238" s="132">
        <f>AVERAGE(S238:S242)</f>
        <v>2.4198729910307577</v>
      </c>
      <c r="Y238" s="132">
        <f t="shared" ref="Y238" si="206">AVERAGE(T238:T242)</f>
        <v>2.4128553593567692</v>
      </c>
      <c r="Z238" s="133">
        <f t="shared" ref="Z238" si="207">AVERAGE(U238:U242)</f>
        <v>3.6651214251885733</v>
      </c>
      <c r="AA238" s="132">
        <f t="shared" ref="AA238" si="208">AVERAGE(V238:V242)</f>
        <v>12.983580588931336</v>
      </c>
      <c r="AB238" s="132">
        <f t="shared" ref="AB238" si="209">AVERAGE(W238:W242)</f>
        <v>71.786250901316123</v>
      </c>
      <c r="AC238" s="235">
        <v>161</v>
      </c>
      <c r="AD238" s="235">
        <v>91</v>
      </c>
      <c r="AE238" s="235">
        <v>44</v>
      </c>
      <c r="AF238" s="235">
        <v>15</v>
      </c>
    </row>
    <row r="239" spans="1:32">
      <c r="A239" s="1" t="s">
        <v>100</v>
      </c>
      <c r="B239" s="276"/>
      <c r="C239" s="1" t="s">
        <v>306</v>
      </c>
      <c r="D239" s="1" t="s">
        <v>308</v>
      </c>
      <c r="E239" s="127">
        <v>2.5046539685862599</v>
      </c>
      <c r="F239" s="127">
        <v>2.6458717972216701</v>
      </c>
      <c r="G239" s="127">
        <v>4.8</v>
      </c>
      <c r="H239" s="127">
        <v>4.5801526717557302</v>
      </c>
      <c r="I239" s="127">
        <v>1212.7</v>
      </c>
      <c r="J239" s="127">
        <v>714.3</v>
      </c>
      <c r="K239" s="127">
        <v>1216.5</v>
      </c>
      <c r="L239" s="127">
        <v>64.709999999999994</v>
      </c>
      <c r="M239" s="127">
        <v>64.760000000000005</v>
      </c>
      <c r="N239" s="127">
        <v>64.62</v>
      </c>
      <c r="O239" s="127">
        <v>64.900000000000006</v>
      </c>
      <c r="P239" s="127">
        <v>64.747500000000002</v>
      </c>
      <c r="Q239" s="79">
        <v>16.899999999999999</v>
      </c>
      <c r="R239" s="79">
        <v>1.51</v>
      </c>
      <c r="S239" s="127">
        <f t="shared" si="169"/>
        <v>2.4147749900438069</v>
      </c>
      <c r="T239" s="127">
        <f t="shared" si="170"/>
        <v>2.4077721425726799</v>
      </c>
      <c r="U239" s="79">
        <f t="shared" si="171"/>
        <v>3.868072285780233</v>
      </c>
      <c r="V239" s="127">
        <f t="shared" si="172"/>
        <v>13.166900041515348</v>
      </c>
      <c r="W239" s="127">
        <f t="shared" si="173"/>
        <v>70.62275650620748</v>
      </c>
      <c r="AC239" s="235">
        <v>161</v>
      </c>
      <c r="AD239" s="235">
        <v>91</v>
      </c>
      <c r="AE239" s="235">
        <v>44</v>
      </c>
      <c r="AF239" s="235">
        <v>15</v>
      </c>
    </row>
    <row r="240" spans="1:32">
      <c r="A240" s="1" t="s">
        <v>100</v>
      </c>
      <c r="B240" s="276"/>
      <c r="C240" s="1" t="s">
        <v>306</v>
      </c>
      <c r="D240" s="1" t="s">
        <v>309</v>
      </c>
      <c r="E240" s="127">
        <v>2.5046539685862599</v>
      </c>
      <c r="F240" s="127">
        <v>2.6458717972216701</v>
      </c>
      <c r="G240" s="127">
        <v>4.8</v>
      </c>
      <c r="H240" s="127">
        <v>4.5801526717557302</v>
      </c>
      <c r="I240" s="127">
        <v>1212.9000000000001</v>
      </c>
      <c r="J240" s="127">
        <v>715.9</v>
      </c>
      <c r="K240" s="127">
        <v>1216.5999999999999</v>
      </c>
      <c r="L240" s="127">
        <v>63.33</v>
      </c>
      <c r="M240" s="127">
        <v>63.28</v>
      </c>
      <c r="N240" s="127">
        <v>63.96</v>
      </c>
      <c r="O240" s="127">
        <v>64.13</v>
      </c>
      <c r="P240" s="127">
        <v>63.674999999999997</v>
      </c>
      <c r="Q240" s="79">
        <v>16.66</v>
      </c>
      <c r="R240" s="79">
        <v>3.39</v>
      </c>
      <c r="S240" s="127">
        <f t="shared" si="169"/>
        <v>2.4224086279209112</v>
      </c>
      <c r="T240" s="127">
        <f t="shared" si="170"/>
        <v>2.4153836428999407</v>
      </c>
      <c r="U240" s="79">
        <f t="shared" si="171"/>
        <v>3.5641779984764699</v>
      </c>
      <c r="V240" s="127">
        <f t="shared" si="172"/>
        <v>12.892401405591727</v>
      </c>
      <c r="W240" s="127">
        <f t="shared" si="173"/>
        <v>72.354428889170279</v>
      </c>
      <c r="AC240" s="235">
        <v>161</v>
      </c>
      <c r="AD240" s="235">
        <v>91</v>
      </c>
      <c r="AE240" s="235">
        <v>44</v>
      </c>
      <c r="AF240" s="235">
        <v>15</v>
      </c>
    </row>
    <row r="241" spans="1:32">
      <c r="A241" s="1" t="s">
        <v>100</v>
      </c>
      <c r="B241" s="276"/>
      <c r="C241" s="1" t="s">
        <v>306</v>
      </c>
      <c r="D241" s="1" t="s">
        <v>310</v>
      </c>
      <c r="E241" s="127">
        <v>2.5046539685862599</v>
      </c>
      <c r="F241" s="127">
        <v>2.6458717972216701</v>
      </c>
      <c r="G241" s="127">
        <v>4.8</v>
      </c>
      <c r="H241" s="127">
        <v>4.5801526717557302</v>
      </c>
      <c r="I241" s="127">
        <v>1213.8</v>
      </c>
      <c r="J241" s="127">
        <v>717.7</v>
      </c>
      <c r="K241" s="127">
        <v>1218</v>
      </c>
      <c r="L241" s="127">
        <v>65.02</v>
      </c>
      <c r="M241" s="127">
        <v>64.36</v>
      </c>
      <c r="N241" s="127">
        <v>64.25</v>
      </c>
      <c r="O241" s="127">
        <v>65.12</v>
      </c>
      <c r="P241" s="127">
        <v>64.6875</v>
      </c>
      <c r="Q241" s="79">
        <v>16.940000000000001</v>
      </c>
      <c r="R241" s="79">
        <v>1.7</v>
      </c>
      <c r="S241" s="127">
        <f t="shared" si="169"/>
        <v>2.4261443134119531</v>
      </c>
      <c r="T241" s="127">
        <f t="shared" si="170"/>
        <v>2.4191084949030586</v>
      </c>
      <c r="U241" s="79">
        <f t="shared" si="171"/>
        <v>3.4154607684784066</v>
      </c>
      <c r="V241" s="127">
        <f t="shared" si="172"/>
        <v>12.758069572193364</v>
      </c>
      <c r="W241" s="127">
        <f t="shared" si="173"/>
        <v>73.22901596396278</v>
      </c>
      <c r="AC241" s="235">
        <v>161</v>
      </c>
      <c r="AD241" s="235">
        <v>91</v>
      </c>
      <c r="AE241" s="235">
        <v>44</v>
      </c>
      <c r="AF241" s="235">
        <v>15</v>
      </c>
    </row>
    <row r="242" spans="1:32">
      <c r="A242" s="1" t="s">
        <v>100</v>
      </c>
      <c r="B242" s="276"/>
      <c r="C242" s="1" t="s">
        <v>306</v>
      </c>
      <c r="D242" s="1" t="s">
        <v>311</v>
      </c>
      <c r="E242" s="127">
        <v>2.5046539685862599</v>
      </c>
      <c r="F242" s="127">
        <v>2.6458717972216701</v>
      </c>
      <c r="G242" s="127">
        <v>4.8</v>
      </c>
      <c r="H242" s="127">
        <v>4.5801526717557302</v>
      </c>
      <c r="I242" s="127">
        <v>1221.7</v>
      </c>
      <c r="J242" s="127">
        <v>720.7</v>
      </c>
      <c r="K242" s="127">
        <v>1225</v>
      </c>
      <c r="L242" s="127">
        <v>64.349999999999994</v>
      </c>
      <c r="M242" s="127">
        <v>64.680000000000007</v>
      </c>
      <c r="N242" s="127">
        <v>64.760000000000005</v>
      </c>
      <c r="O242" s="127">
        <v>64.319999999999993</v>
      </c>
      <c r="P242" s="127">
        <v>64.527500000000003</v>
      </c>
      <c r="Q242" s="79">
        <v>16.13</v>
      </c>
      <c r="R242" s="79">
        <v>1.19</v>
      </c>
      <c r="S242" s="127">
        <f t="shared" si="169"/>
        <v>2.4225659329764033</v>
      </c>
      <c r="T242" s="127">
        <f t="shared" si="170"/>
        <v>2.4155404917707717</v>
      </c>
      <c r="U242" s="79">
        <f t="shared" si="171"/>
        <v>3.5579157014566709</v>
      </c>
      <c r="V242" s="127">
        <f t="shared" si="172"/>
        <v>12.886744859675929</v>
      </c>
      <c r="W242" s="127">
        <f t="shared" si="173"/>
        <v>72.390888931232055</v>
      </c>
      <c r="AC242" s="235">
        <v>161</v>
      </c>
      <c r="AD242" s="235">
        <v>91</v>
      </c>
      <c r="AE242" s="235">
        <v>44</v>
      </c>
      <c r="AF242" s="235">
        <v>15</v>
      </c>
    </row>
    <row r="243" spans="1:32">
      <c r="A243" s="1" t="s">
        <v>100</v>
      </c>
      <c r="B243" s="276"/>
      <c r="C243" s="1" t="s">
        <v>312</v>
      </c>
      <c r="D243" s="1" t="s">
        <v>307</v>
      </c>
      <c r="E243" s="127">
        <v>2.5046539685862599</v>
      </c>
      <c r="F243" s="127">
        <v>2.6458717972216701</v>
      </c>
      <c r="G243" s="127">
        <v>4.8</v>
      </c>
      <c r="H243" s="127">
        <v>4.5801526717557302</v>
      </c>
      <c r="I243" s="127">
        <v>1214.8</v>
      </c>
      <c r="J243" s="127">
        <v>712.5</v>
      </c>
      <c r="K243" s="127">
        <v>1218.2</v>
      </c>
      <c r="L243" s="127">
        <v>64.63</v>
      </c>
      <c r="M243" s="127">
        <v>65.12</v>
      </c>
      <c r="N243" s="127">
        <v>65.400000000000006</v>
      </c>
      <c r="O243" s="127">
        <v>65.17</v>
      </c>
      <c r="P243" s="127">
        <v>65.08</v>
      </c>
      <c r="Q243" s="79">
        <v>23.81</v>
      </c>
      <c r="R243" s="79">
        <v>1.31</v>
      </c>
      <c r="S243" s="127">
        <f t="shared" si="169"/>
        <v>2.4022147518291472</v>
      </c>
      <c r="T243" s="127">
        <f t="shared" si="170"/>
        <v>2.3952483290488429</v>
      </c>
      <c r="U243" s="79">
        <f t="shared" si="171"/>
        <v>4.3680939926073137</v>
      </c>
      <c r="V243" s="127">
        <f t="shared" si="172"/>
        <v>13.618554719442969</v>
      </c>
      <c r="W243" s="127">
        <f t="shared" si="173"/>
        <v>67.925421730904645</v>
      </c>
      <c r="X243" s="132">
        <f>AVERAGE(S243:S247)</f>
        <v>2.413807071046409</v>
      </c>
      <c r="Y243" s="132">
        <f t="shared" ref="Y243" si="210">AVERAGE(T243:T247)</f>
        <v>2.4068070305403744</v>
      </c>
      <c r="Z243" s="133">
        <f t="shared" ref="Z243" si="211">AVERAGE(U243:U247)</f>
        <v>3.906605034990716</v>
      </c>
      <c r="AA243" s="132">
        <f t="shared" ref="AA243" si="212">AVERAGE(V243:V247)</f>
        <v>13.201705523350842</v>
      </c>
      <c r="AB243" s="132">
        <f t="shared" ref="AB243" si="213">AVERAGE(W243:W247)</f>
        <v>70.438776422865345</v>
      </c>
      <c r="AC243" s="235">
        <v>161</v>
      </c>
      <c r="AD243" s="235">
        <v>91</v>
      </c>
      <c r="AE243" s="235">
        <v>44</v>
      </c>
      <c r="AF243" s="235">
        <v>15</v>
      </c>
    </row>
    <row r="244" spans="1:32">
      <c r="A244" s="1" t="s">
        <v>100</v>
      </c>
      <c r="B244" s="276"/>
      <c r="C244" s="1" t="s">
        <v>312</v>
      </c>
      <c r="D244" s="1" t="s">
        <v>308</v>
      </c>
      <c r="E244" s="127">
        <v>2.5046539685862599</v>
      </c>
      <c r="F244" s="127">
        <v>2.6458717972216701</v>
      </c>
      <c r="G244" s="127">
        <v>4.8</v>
      </c>
      <c r="H244" s="127">
        <v>4.5801526717557302</v>
      </c>
      <c r="I244" s="127">
        <v>1208.2</v>
      </c>
      <c r="J244" s="127">
        <v>710.8</v>
      </c>
      <c r="K244" s="127">
        <v>1211.9000000000001</v>
      </c>
      <c r="L244" s="127">
        <v>64.709999999999994</v>
      </c>
      <c r="M244" s="127">
        <v>64.760000000000005</v>
      </c>
      <c r="N244" s="127">
        <v>64.62</v>
      </c>
      <c r="O244" s="127">
        <v>64.900000000000006</v>
      </c>
      <c r="P244" s="127">
        <v>64.747500000000002</v>
      </c>
      <c r="Q244" s="79">
        <v>23.07</v>
      </c>
      <c r="R244" s="79">
        <v>1.8</v>
      </c>
      <c r="S244" s="127">
        <f t="shared" si="169"/>
        <v>2.4110955897026538</v>
      </c>
      <c r="T244" s="127">
        <f t="shared" si="170"/>
        <v>2.4041034124925162</v>
      </c>
      <c r="U244" s="79">
        <f t="shared" si="171"/>
        <v>4.0145488101296039</v>
      </c>
      <c r="V244" s="127">
        <f t="shared" si="172"/>
        <v>13.299207912405137</v>
      </c>
      <c r="W244" s="127">
        <f t="shared" si="173"/>
        <v>69.813624716815326</v>
      </c>
      <c r="AC244" s="235">
        <v>161</v>
      </c>
      <c r="AD244" s="235">
        <v>91</v>
      </c>
      <c r="AE244" s="235">
        <v>44</v>
      </c>
      <c r="AF244" s="235">
        <v>15</v>
      </c>
    </row>
    <row r="245" spans="1:32">
      <c r="A245" s="1" t="s">
        <v>100</v>
      </c>
      <c r="B245" s="276"/>
      <c r="C245" s="1" t="s">
        <v>312</v>
      </c>
      <c r="D245" s="1" t="s">
        <v>309</v>
      </c>
      <c r="E245" s="127">
        <v>2.5046539685862599</v>
      </c>
      <c r="F245" s="127">
        <v>2.6458717972216701</v>
      </c>
      <c r="G245" s="127">
        <v>4.8</v>
      </c>
      <c r="H245" s="127">
        <v>4.5801526717557302</v>
      </c>
      <c r="I245" s="127">
        <v>1217.8</v>
      </c>
      <c r="J245" s="127">
        <v>716.6</v>
      </c>
      <c r="K245" s="127">
        <v>1219.9000000000001</v>
      </c>
      <c r="L245" s="127">
        <v>63.33</v>
      </c>
      <c r="M245" s="127">
        <v>63.28</v>
      </c>
      <c r="N245" s="127">
        <v>63.96</v>
      </c>
      <c r="O245" s="127">
        <v>64.13</v>
      </c>
      <c r="P245" s="127">
        <v>63.674999999999997</v>
      </c>
      <c r="Q245" s="79">
        <v>22.96</v>
      </c>
      <c r="R245" s="79">
        <v>1.86</v>
      </c>
      <c r="S245" s="127">
        <f t="shared" si="169"/>
        <v>2.419630439101927</v>
      </c>
      <c r="T245" s="127">
        <f t="shared" si="170"/>
        <v>2.4126135108285314</v>
      </c>
      <c r="U245" s="79">
        <f t="shared" si="171"/>
        <v>3.6747773908936576</v>
      </c>
      <c r="V245" s="127">
        <f t="shared" si="172"/>
        <v>12.992302534441023</v>
      </c>
      <c r="W245" s="127">
        <f t="shared" si="173"/>
        <v>71.715734134482574</v>
      </c>
      <c r="AC245" s="235">
        <v>161</v>
      </c>
      <c r="AD245" s="235">
        <v>91</v>
      </c>
      <c r="AE245" s="235">
        <v>44</v>
      </c>
      <c r="AF245" s="235">
        <v>15</v>
      </c>
    </row>
    <row r="246" spans="1:32">
      <c r="A246" s="1" t="s">
        <v>100</v>
      </c>
      <c r="B246" s="276"/>
      <c r="C246" s="1" t="s">
        <v>312</v>
      </c>
      <c r="D246" s="1" t="s">
        <v>310</v>
      </c>
      <c r="E246" s="127">
        <v>2.5046539685862599</v>
      </c>
      <c r="F246" s="127">
        <v>2.6458717972216701</v>
      </c>
      <c r="G246" s="127">
        <v>4.8</v>
      </c>
      <c r="H246" s="127">
        <v>4.5801526717557302</v>
      </c>
      <c r="I246" s="127">
        <v>1216.5999999999999</v>
      </c>
      <c r="J246" s="127">
        <v>716.7</v>
      </c>
      <c r="K246" s="127">
        <v>1220.8</v>
      </c>
      <c r="L246" s="127">
        <v>65.02</v>
      </c>
      <c r="M246" s="127">
        <v>64.36</v>
      </c>
      <c r="N246" s="127">
        <v>64.25</v>
      </c>
      <c r="O246" s="127">
        <v>65.12</v>
      </c>
      <c r="P246" s="127">
        <v>64.6875</v>
      </c>
      <c r="Q246" s="79">
        <v>20.49</v>
      </c>
      <c r="R246" s="79">
        <v>1.86</v>
      </c>
      <c r="S246" s="127">
        <f t="shared" si="169"/>
        <v>2.4134100376909347</v>
      </c>
      <c r="T246" s="127">
        <f t="shared" si="170"/>
        <v>2.4064111485816309</v>
      </c>
      <c r="U246" s="79">
        <f t="shared" si="171"/>
        <v>3.9224108893605614</v>
      </c>
      <c r="V246" s="127">
        <f t="shared" si="172"/>
        <v>13.21598247966557</v>
      </c>
      <c r="W246" s="127">
        <f t="shared" si="173"/>
        <v>70.320701503685569</v>
      </c>
      <c r="AC246" s="235">
        <v>161</v>
      </c>
      <c r="AD246" s="235">
        <v>91</v>
      </c>
      <c r="AE246" s="235">
        <v>44</v>
      </c>
      <c r="AF246" s="235">
        <v>15</v>
      </c>
    </row>
    <row r="247" spans="1:32">
      <c r="A247" s="1" t="s">
        <v>100</v>
      </c>
      <c r="B247" s="276"/>
      <c r="C247" s="1" t="s">
        <v>312</v>
      </c>
      <c r="D247" s="1" t="s">
        <v>311</v>
      </c>
      <c r="E247" s="127">
        <v>2.5046539685862599</v>
      </c>
      <c r="F247" s="127">
        <v>2.6458717972216701</v>
      </c>
      <c r="G247" s="127">
        <v>4.8</v>
      </c>
      <c r="H247" s="127">
        <v>4.5801526717557302</v>
      </c>
      <c r="I247" s="127">
        <v>1211.0999999999999</v>
      </c>
      <c r="J247" s="127">
        <v>713.1</v>
      </c>
      <c r="K247" s="127">
        <v>1213</v>
      </c>
      <c r="L247" s="127">
        <v>64.349999999999994</v>
      </c>
      <c r="M247" s="127">
        <v>64.680000000000007</v>
      </c>
      <c r="N247" s="127">
        <v>64.760000000000005</v>
      </c>
      <c r="O247" s="127">
        <v>64.319999999999993</v>
      </c>
      <c r="P247" s="127">
        <v>64.527500000000003</v>
      </c>
      <c r="Q247" s="79">
        <v>23.24</v>
      </c>
      <c r="R247" s="79">
        <v>1.83</v>
      </c>
      <c r="S247" s="127">
        <f t="shared" si="169"/>
        <v>2.4226845369073815</v>
      </c>
      <c r="T247" s="127">
        <f t="shared" si="170"/>
        <v>2.4156587517503501</v>
      </c>
      <c r="U247" s="79">
        <f t="shared" si="171"/>
        <v>3.5531940919624416</v>
      </c>
      <c r="V247" s="127">
        <f t="shared" si="172"/>
        <v>12.882479970799508</v>
      </c>
      <c r="W247" s="127">
        <f t="shared" si="173"/>
        <v>72.418400028438583</v>
      </c>
      <c r="AC247" s="235">
        <v>161</v>
      </c>
      <c r="AD247" s="235">
        <v>91</v>
      </c>
      <c r="AE247" s="235">
        <v>44</v>
      </c>
      <c r="AF247" s="235">
        <v>15</v>
      </c>
    </row>
    <row r="248" spans="1:32">
      <c r="A248" s="1" t="s">
        <v>101</v>
      </c>
      <c r="B248" s="280" t="s">
        <v>218</v>
      </c>
      <c r="C248" s="1" t="s">
        <v>306</v>
      </c>
      <c r="D248" s="1" t="s">
        <v>307</v>
      </c>
      <c r="E248" s="127">
        <v>2.58</v>
      </c>
      <c r="F248" s="127">
        <v>2.7195501013287302</v>
      </c>
      <c r="G248" s="127">
        <v>4.5999999999999996</v>
      </c>
      <c r="H248" s="127">
        <v>4.3977055449330802</v>
      </c>
      <c r="I248" s="127">
        <v>1269</v>
      </c>
      <c r="J248" s="127">
        <v>750.6</v>
      </c>
      <c r="K248" s="127">
        <v>1272.7</v>
      </c>
      <c r="L248" s="127">
        <v>64.63</v>
      </c>
      <c r="M248" s="127">
        <v>65.12</v>
      </c>
      <c r="N248" s="127">
        <v>65.400000000000006</v>
      </c>
      <c r="O248" s="127">
        <v>65.17</v>
      </c>
      <c r="P248" s="127">
        <v>65.08</v>
      </c>
      <c r="Q248" s="79">
        <v>17.52</v>
      </c>
      <c r="R248" s="79">
        <v>1.66</v>
      </c>
      <c r="S248" s="127">
        <f t="shared" si="169"/>
        <v>2.4305688565408925</v>
      </c>
      <c r="T248" s="127">
        <f t="shared" si="170"/>
        <v>2.4235202068569239</v>
      </c>
      <c r="U248" s="79">
        <f t="shared" si="171"/>
        <v>6.0651082613595424</v>
      </c>
      <c r="V248" s="127">
        <f t="shared" si="172"/>
        <v>14.804256659754799</v>
      </c>
      <c r="W248" s="127">
        <f t="shared" si="173"/>
        <v>59.031321864018544</v>
      </c>
      <c r="X248" s="132">
        <f>AVERAGE(S248:S252)</f>
        <v>2.4341081244455034</v>
      </c>
      <c r="Y248" s="132">
        <f t="shared" ref="Y248" si="214">AVERAGE(T248:T252)</f>
        <v>2.4270492108846113</v>
      </c>
      <c r="Z248" s="133">
        <f t="shared" ref="Z248" si="215">AVERAGE(U248:U252)</f>
        <v>5.9283251595111839</v>
      </c>
      <c r="AA248" s="132">
        <f t="shared" ref="AA248" si="216">AVERAGE(V248:V252)</f>
        <v>14.680199051099862</v>
      </c>
      <c r="AB248" s="132">
        <f t="shared" ref="AB248" si="217">AVERAGE(W248:W252)</f>
        <v>59.637727197917833</v>
      </c>
      <c r="AC248" s="235">
        <v>161</v>
      </c>
      <c r="AD248" s="235">
        <v>91</v>
      </c>
      <c r="AE248" s="235">
        <v>44</v>
      </c>
      <c r="AF248" s="235">
        <v>15</v>
      </c>
    </row>
    <row r="249" spans="1:32">
      <c r="A249" s="1" t="s">
        <v>101</v>
      </c>
      <c r="B249" s="276"/>
      <c r="C249" s="1" t="s">
        <v>306</v>
      </c>
      <c r="D249" s="1" t="s">
        <v>308</v>
      </c>
      <c r="E249" s="127">
        <v>2.58</v>
      </c>
      <c r="F249" s="127">
        <v>2.7195501013287302</v>
      </c>
      <c r="G249" s="127">
        <v>4.5999999999999996</v>
      </c>
      <c r="H249" s="127">
        <v>4.3977055449330802</v>
      </c>
      <c r="I249" s="127">
        <v>1230.3</v>
      </c>
      <c r="J249" s="127">
        <v>731.2</v>
      </c>
      <c r="K249" s="127">
        <v>1235.0999999999999</v>
      </c>
      <c r="L249" s="127">
        <v>64.709999999999994</v>
      </c>
      <c r="M249" s="127">
        <v>64.760000000000005</v>
      </c>
      <c r="N249" s="127">
        <v>64.62</v>
      </c>
      <c r="O249" s="127">
        <v>64.900000000000006</v>
      </c>
      <c r="P249" s="127">
        <v>64.747500000000002</v>
      </c>
      <c r="Q249" s="79">
        <v>16.899999999999999</v>
      </c>
      <c r="R249" s="79">
        <v>1.51</v>
      </c>
      <c r="S249" s="127">
        <f t="shared" si="169"/>
        <v>2.441555864258782</v>
      </c>
      <c r="T249" s="127">
        <f t="shared" si="170"/>
        <v>2.4344753522524316</v>
      </c>
      <c r="U249" s="79">
        <f t="shared" si="171"/>
        <v>5.640490222773975</v>
      </c>
      <c r="V249" s="127">
        <f t="shared" si="172"/>
        <v>14.419142579529648</v>
      </c>
      <c r="W249" s="127">
        <f t="shared" si="173"/>
        <v>60.881930450000674</v>
      </c>
      <c r="AC249" s="235">
        <v>161</v>
      </c>
      <c r="AD249" s="235">
        <v>91</v>
      </c>
      <c r="AE249" s="235">
        <v>44</v>
      </c>
      <c r="AF249" s="235">
        <v>15</v>
      </c>
    </row>
    <row r="250" spans="1:32">
      <c r="A250" s="1" t="s">
        <v>101</v>
      </c>
      <c r="B250" s="276"/>
      <c r="C250" s="1" t="s">
        <v>306</v>
      </c>
      <c r="D250" s="1" t="s">
        <v>309</v>
      </c>
      <c r="E250" s="127">
        <v>2.58</v>
      </c>
      <c r="F250" s="127">
        <v>2.7195501013287302</v>
      </c>
      <c r="G250" s="127">
        <v>4.5999999999999996</v>
      </c>
      <c r="H250" s="127">
        <v>4.3977055449330802</v>
      </c>
      <c r="I250" s="127">
        <v>1214.5</v>
      </c>
      <c r="J250" s="127">
        <v>722.6</v>
      </c>
      <c r="K250" s="127">
        <v>1219.5999999999999</v>
      </c>
      <c r="L250" s="127">
        <v>63.33</v>
      </c>
      <c r="M250" s="127">
        <v>63.28</v>
      </c>
      <c r="N250" s="127">
        <v>63.96</v>
      </c>
      <c r="O250" s="127">
        <v>64.13</v>
      </c>
      <c r="P250" s="127">
        <v>63.674999999999997</v>
      </c>
      <c r="Q250" s="79">
        <v>16.66</v>
      </c>
      <c r="R250" s="79">
        <v>3.39</v>
      </c>
      <c r="S250" s="127">
        <f t="shared" si="169"/>
        <v>2.4436619718309864</v>
      </c>
      <c r="T250" s="127">
        <f t="shared" si="170"/>
        <v>2.4365753521126767</v>
      </c>
      <c r="U250" s="79">
        <f t="shared" si="171"/>
        <v>5.559094879353621</v>
      </c>
      <c r="V250" s="127">
        <f t="shared" si="172"/>
        <v>14.345319778877197</v>
      </c>
      <c r="W250" s="127">
        <f t="shared" si="173"/>
        <v>61.248023989405077</v>
      </c>
      <c r="AC250" s="235">
        <v>161</v>
      </c>
      <c r="AD250" s="235">
        <v>91</v>
      </c>
      <c r="AE250" s="235">
        <v>44</v>
      </c>
      <c r="AF250" s="235">
        <v>15</v>
      </c>
    </row>
    <row r="251" spans="1:32">
      <c r="A251" s="1" t="s">
        <v>101</v>
      </c>
      <c r="B251" s="276"/>
      <c r="C251" s="1" t="s">
        <v>306</v>
      </c>
      <c r="D251" s="1" t="s">
        <v>310</v>
      </c>
      <c r="E251" s="127">
        <v>2.58</v>
      </c>
      <c r="F251" s="127">
        <v>2.7195501013287302</v>
      </c>
      <c r="G251" s="127">
        <v>4.5999999999999996</v>
      </c>
      <c r="H251" s="127">
        <v>4.3977055449330802</v>
      </c>
      <c r="I251" s="127">
        <v>1216.4000000000001</v>
      </c>
      <c r="J251" s="127">
        <v>720</v>
      </c>
      <c r="K251" s="127">
        <v>1221.5999999999999</v>
      </c>
      <c r="L251" s="127">
        <v>65.02</v>
      </c>
      <c r="M251" s="127">
        <v>64.36</v>
      </c>
      <c r="N251" s="127">
        <v>64.25</v>
      </c>
      <c r="O251" s="127">
        <v>65.12</v>
      </c>
      <c r="P251" s="127">
        <v>64.6875</v>
      </c>
      <c r="Q251" s="79">
        <v>16.940000000000001</v>
      </c>
      <c r="R251" s="79">
        <v>1.7</v>
      </c>
      <c r="S251" s="127">
        <f t="shared" si="169"/>
        <v>2.425039872408294</v>
      </c>
      <c r="T251" s="127">
        <f t="shared" si="170"/>
        <v>2.41800725677831</v>
      </c>
      <c r="U251" s="79">
        <f t="shared" si="171"/>
        <v>6.2787884969647383</v>
      </c>
      <c r="V251" s="127">
        <f t="shared" si="172"/>
        <v>14.998057346300058</v>
      </c>
      <c r="W251" s="127">
        <f t="shared" si="173"/>
        <v>58.135988201740787</v>
      </c>
      <c r="AC251" s="235">
        <v>161</v>
      </c>
      <c r="AD251" s="235">
        <v>91</v>
      </c>
      <c r="AE251" s="235">
        <v>44</v>
      </c>
      <c r="AF251" s="235">
        <v>15</v>
      </c>
    </row>
    <row r="252" spans="1:32">
      <c r="A252" s="1" t="s">
        <v>101</v>
      </c>
      <c r="B252" s="276"/>
      <c r="C252" s="1" t="s">
        <v>306</v>
      </c>
      <c r="D252" s="1" t="s">
        <v>311</v>
      </c>
      <c r="E252" s="127">
        <v>2.58</v>
      </c>
      <c r="F252" s="127">
        <v>2.7195501013287302</v>
      </c>
      <c r="G252" s="127">
        <v>4.5999999999999996</v>
      </c>
      <c r="H252" s="127">
        <v>4.3977055449330802</v>
      </c>
      <c r="I252" s="127">
        <v>1215.0999999999999</v>
      </c>
      <c r="J252" s="127">
        <v>721.7</v>
      </c>
      <c r="K252" s="127">
        <v>1221.8</v>
      </c>
      <c r="L252" s="127">
        <v>64.349999999999994</v>
      </c>
      <c r="M252" s="127">
        <v>64.680000000000007</v>
      </c>
      <c r="N252" s="127">
        <v>64.760000000000005</v>
      </c>
      <c r="O252" s="127">
        <v>64.319999999999993</v>
      </c>
      <c r="P252" s="127">
        <v>64.527500000000003</v>
      </c>
      <c r="Q252" s="79">
        <v>16.13</v>
      </c>
      <c r="R252" s="79">
        <v>1.19</v>
      </c>
      <c r="S252" s="127">
        <f t="shared" si="169"/>
        <v>2.4297140571885625</v>
      </c>
      <c r="T252" s="127">
        <f t="shared" si="170"/>
        <v>2.4226678864227158</v>
      </c>
      <c r="U252" s="79">
        <f t="shared" si="171"/>
        <v>6.0981439371040391</v>
      </c>
      <c r="V252" s="127">
        <f t="shared" si="172"/>
        <v>14.834218891037608</v>
      </c>
      <c r="W252" s="127">
        <f t="shared" si="173"/>
        <v>58.891371484424063</v>
      </c>
      <c r="AC252" s="235">
        <v>161</v>
      </c>
      <c r="AD252" s="235">
        <v>91</v>
      </c>
      <c r="AE252" s="235">
        <v>44</v>
      </c>
      <c r="AF252" s="235">
        <v>15</v>
      </c>
    </row>
    <row r="253" spans="1:32">
      <c r="A253" s="1" t="s">
        <v>101</v>
      </c>
      <c r="B253" s="276"/>
      <c r="C253" s="1" t="s">
        <v>312</v>
      </c>
      <c r="D253" s="1" t="s">
        <v>307</v>
      </c>
      <c r="E253" s="127">
        <v>2.57</v>
      </c>
      <c r="F253" s="127">
        <v>2.7195501013287302</v>
      </c>
      <c r="G253" s="127">
        <v>4.9000000000000004</v>
      </c>
      <c r="H253" s="136">
        <f>100*G253/(100+G253)</f>
        <v>4.6711153479504297</v>
      </c>
      <c r="I253" s="127">
        <v>1212.7</v>
      </c>
      <c r="J253" s="127">
        <v>720.5</v>
      </c>
      <c r="K253" s="127">
        <v>1222</v>
      </c>
      <c r="L253" s="127">
        <v>64.63</v>
      </c>
      <c r="M253" s="127">
        <v>65.12</v>
      </c>
      <c r="N253" s="127">
        <v>65.400000000000006</v>
      </c>
      <c r="O253" s="127">
        <v>65.17</v>
      </c>
      <c r="P253" s="127">
        <v>65.08</v>
      </c>
      <c r="Q253" s="79">
        <v>17.52</v>
      </c>
      <c r="R253" s="79">
        <v>1.66</v>
      </c>
      <c r="S253" s="127">
        <f t="shared" si="169"/>
        <v>2.4181455633100697</v>
      </c>
      <c r="T253" s="127">
        <f t="shared" si="170"/>
        <v>2.4111329411764704</v>
      </c>
      <c r="U253" s="79">
        <f t="shared" si="171"/>
        <v>6.1815976195925826</v>
      </c>
      <c r="V253" s="127">
        <f t="shared" si="172"/>
        <v>15.482118193789731</v>
      </c>
      <c r="W253" s="127">
        <f t="shared" si="173"/>
        <v>60.072662266122094</v>
      </c>
      <c r="X253" s="132">
        <f>AVERAGE(S253:S257)</f>
        <v>2.4305334381311501</v>
      </c>
      <c r="Y253" s="132">
        <f t="shared" ref="Y253" si="218">AVERAGE(T253:T257)</f>
        <v>2.4234848911605695</v>
      </c>
      <c r="Z253" s="133">
        <f t="shared" ref="Z253" si="219">AVERAGE(U253:U257)</f>
        <v>5.7009769976432079</v>
      </c>
      <c r="AA253" s="132">
        <f t="shared" ref="AA253" si="220">AVERAGE(V253:V257)</f>
        <v>15.049143042978304</v>
      </c>
      <c r="AB253" s="132">
        <f t="shared" ref="AB253" si="221">AVERAGE(W253:W257)</f>
        <v>62.16160344750547</v>
      </c>
      <c r="AC253" s="235">
        <v>161</v>
      </c>
      <c r="AD253" s="235">
        <v>91</v>
      </c>
      <c r="AE253" s="235">
        <v>44</v>
      </c>
      <c r="AF253" s="235">
        <v>15</v>
      </c>
    </row>
    <row r="254" spans="1:32">
      <c r="A254" s="1" t="s">
        <v>101</v>
      </c>
      <c r="B254" s="276"/>
      <c r="C254" s="1" t="s">
        <v>312</v>
      </c>
      <c r="D254" s="1" t="s">
        <v>308</v>
      </c>
      <c r="E254" s="127">
        <v>2.57</v>
      </c>
      <c r="F254" s="127">
        <v>2.7195501013287302</v>
      </c>
      <c r="G254" s="127">
        <v>4.9000000000000004</v>
      </c>
      <c r="H254" s="136">
        <f>100*G254/(100+G254)</f>
        <v>4.6711153479504297</v>
      </c>
      <c r="I254" s="127">
        <v>1215.5999999999999</v>
      </c>
      <c r="J254" s="127">
        <v>717.9</v>
      </c>
      <c r="K254" s="127">
        <v>1218.5999999999999</v>
      </c>
      <c r="L254" s="127">
        <v>64.709999999999994</v>
      </c>
      <c r="M254" s="127">
        <v>64.760000000000005</v>
      </c>
      <c r="N254" s="127">
        <v>64.62</v>
      </c>
      <c r="O254" s="127">
        <v>64.900000000000006</v>
      </c>
      <c r="P254" s="127">
        <v>64.747500000000002</v>
      </c>
      <c r="Q254" s="79">
        <v>16.899999999999999</v>
      </c>
      <c r="R254" s="79">
        <v>1.51</v>
      </c>
      <c r="S254" s="127">
        <f t="shared" si="169"/>
        <v>2.4278010784901141</v>
      </c>
      <c r="T254" s="127">
        <f t="shared" si="170"/>
        <v>2.4207604553624926</v>
      </c>
      <c r="U254" s="79">
        <f t="shared" si="171"/>
        <v>5.8069861726656509</v>
      </c>
      <c r="V254" s="127">
        <f t="shared" si="172"/>
        <v>15.144643186847645</v>
      </c>
      <c r="W254" s="127">
        <f t="shared" si="173"/>
        <v>61.656500578972214</v>
      </c>
      <c r="AC254" s="235">
        <v>161</v>
      </c>
      <c r="AD254" s="235">
        <v>91</v>
      </c>
      <c r="AE254" s="235">
        <v>44</v>
      </c>
      <c r="AF254" s="235">
        <v>15</v>
      </c>
    </row>
    <row r="255" spans="1:32">
      <c r="A255" s="1" t="s">
        <v>101</v>
      </c>
      <c r="B255" s="276"/>
      <c r="C255" s="1" t="s">
        <v>312</v>
      </c>
      <c r="D255" s="1" t="s">
        <v>309</v>
      </c>
      <c r="E255" s="127">
        <v>2.57</v>
      </c>
      <c r="F255" s="127">
        <v>2.7195501013287302</v>
      </c>
      <c r="G255" s="127">
        <v>4.9000000000000004</v>
      </c>
      <c r="H255" s="136">
        <f>100*G255/(100+G255)</f>
        <v>4.6711153479504297</v>
      </c>
      <c r="I255" s="127">
        <v>1216.5</v>
      </c>
      <c r="J255" s="127">
        <v>718.9</v>
      </c>
      <c r="K255" s="127">
        <v>1219.5</v>
      </c>
      <c r="L255" s="127">
        <v>63.33</v>
      </c>
      <c r="M255" s="127">
        <v>63.28</v>
      </c>
      <c r="N255" s="127">
        <v>63.96</v>
      </c>
      <c r="O255" s="127">
        <v>64.13</v>
      </c>
      <c r="P255" s="127">
        <v>63.674999999999997</v>
      </c>
      <c r="Q255" s="79">
        <v>16.66</v>
      </c>
      <c r="R255" s="79">
        <v>3.39</v>
      </c>
      <c r="S255" s="127">
        <f t="shared" si="169"/>
        <v>2.4300838993208149</v>
      </c>
      <c r="T255" s="127">
        <f t="shared" si="170"/>
        <v>2.4230366560127847</v>
      </c>
      <c r="U255" s="79">
        <f t="shared" si="171"/>
        <v>5.7184180539772367</v>
      </c>
      <c r="V255" s="127">
        <f t="shared" si="172"/>
        <v>15.064855111191079</v>
      </c>
      <c r="W255" s="127">
        <f t="shared" si="173"/>
        <v>62.041333874301564</v>
      </c>
      <c r="AC255" s="235">
        <v>161</v>
      </c>
      <c r="AD255" s="235">
        <v>91</v>
      </c>
      <c r="AE255" s="235">
        <v>44</v>
      </c>
      <c r="AF255" s="235">
        <v>15</v>
      </c>
    </row>
    <row r="256" spans="1:32">
      <c r="A256" s="1" t="s">
        <v>101</v>
      </c>
      <c r="B256" s="276"/>
      <c r="C256" s="1" t="s">
        <v>312</v>
      </c>
      <c r="D256" s="1" t="s">
        <v>310</v>
      </c>
      <c r="E256" s="127">
        <v>2.57</v>
      </c>
      <c r="F256" s="127">
        <v>2.7195501013287302</v>
      </c>
      <c r="G256" s="127">
        <v>4.9000000000000004</v>
      </c>
      <c r="H256" s="136">
        <f>100*G256/(100+G256)</f>
        <v>4.6711153479504297</v>
      </c>
      <c r="I256" s="127">
        <v>1214.5999999999999</v>
      </c>
      <c r="J256" s="127">
        <v>722.3</v>
      </c>
      <c r="K256" s="127">
        <v>1218.0999999999999</v>
      </c>
      <c r="L256" s="127">
        <v>65.02</v>
      </c>
      <c r="M256" s="127">
        <v>64.36</v>
      </c>
      <c r="N256" s="127">
        <v>64.25</v>
      </c>
      <c r="O256" s="127">
        <v>65.12</v>
      </c>
      <c r="P256" s="127">
        <v>64.6875</v>
      </c>
      <c r="Q256" s="79">
        <v>16.940000000000001</v>
      </c>
      <c r="R256" s="79">
        <v>1.7</v>
      </c>
      <c r="S256" s="127">
        <f t="shared" si="169"/>
        <v>2.4497781363453006</v>
      </c>
      <c r="T256" s="127">
        <f t="shared" si="170"/>
        <v>2.4426737797498994</v>
      </c>
      <c r="U256" s="79">
        <f t="shared" si="171"/>
        <v>4.9543276361906807</v>
      </c>
      <c r="V256" s="127">
        <f t="shared" si="172"/>
        <v>14.376511438934855</v>
      </c>
      <c r="W256" s="127">
        <f t="shared" si="173"/>
        <v>65.538735476721868</v>
      </c>
      <c r="AC256" s="235">
        <v>161</v>
      </c>
      <c r="AD256" s="235">
        <v>91</v>
      </c>
      <c r="AE256" s="235">
        <v>44</v>
      </c>
      <c r="AF256" s="235">
        <v>15</v>
      </c>
    </row>
    <row r="257" spans="1:32">
      <c r="A257" s="1" t="s">
        <v>101</v>
      </c>
      <c r="B257" s="276"/>
      <c r="C257" s="1" t="s">
        <v>312</v>
      </c>
      <c r="D257" s="1" t="s">
        <v>311</v>
      </c>
      <c r="E257" s="127">
        <v>2.57</v>
      </c>
      <c r="F257" s="127">
        <v>2.7195501013287302</v>
      </c>
      <c r="G257" s="127">
        <v>4.9000000000000004</v>
      </c>
      <c r="H257" s="136">
        <f>100*G257/(100+G257)</f>
        <v>4.6711153479504297</v>
      </c>
      <c r="I257" s="127">
        <v>1214.4000000000001</v>
      </c>
      <c r="J257" s="127">
        <v>719.4</v>
      </c>
      <c r="K257" s="127">
        <v>1219.8</v>
      </c>
      <c r="L257" s="127">
        <v>64.349999999999994</v>
      </c>
      <c r="M257" s="127">
        <v>64.680000000000007</v>
      </c>
      <c r="N257" s="127">
        <v>64.760000000000005</v>
      </c>
      <c r="O257" s="127">
        <v>64.319999999999993</v>
      </c>
      <c r="P257" s="127">
        <v>64.527500000000003</v>
      </c>
      <c r="Q257" s="79">
        <v>16.13</v>
      </c>
      <c r="R257" s="79">
        <v>1.19</v>
      </c>
      <c r="S257" s="127">
        <f t="shared" si="169"/>
        <v>2.4268585131894489</v>
      </c>
      <c r="T257" s="127">
        <f t="shared" si="170"/>
        <v>2.4198206235011996</v>
      </c>
      <c r="U257" s="79">
        <f t="shared" si="171"/>
        <v>5.8435555057898885</v>
      </c>
      <c r="V257" s="127">
        <f t="shared" si="172"/>
        <v>15.177587284128208</v>
      </c>
      <c r="W257" s="127">
        <f t="shared" si="173"/>
        <v>61.498785041409569</v>
      </c>
      <c r="AC257" s="235">
        <v>161</v>
      </c>
      <c r="AD257" s="235">
        <v>91</v>
      </c>
      <c r="AE257" s="235">
        <v>44</v>
      </c>
      <c r="AF257" s="235">
        <v>15</v>
      </c>
    </row>
    <row r="258" spans="1:32">
      <c r="A258" s="1" t="s">
        <v>101</v>
      </c>
      <c r="B258" s="276"/>
      <c r="C258" s="1" t="s">
        <v>313</v>
      </c>
      <c r="D258" s="1" t="s">
        <v>307</v>
      </c>
      <c r="E258" s="127">
        <v>2.59</v>
      </c>
      <c r="F258" s="127">
        <v>2.7195501013287302</v>
      </c>
      <c r="G258" s="127">
        <v>4.8</v>
      </c>
      <c r="H258" s="127">
        <v>4.5801526717557302</v>
      </c>
      <c r="I258" s="127">
        <v>1211.3</v>
      </c>
      <c r="J258" s="127">
        <v>719.2</v>
      </c>
      <c r="K258" s="127">
        <v>1214.2</v>
      </c>
      <c r="L258" s="127">
        <v>64.63</v>
      </c>
      <c r="M258" s="127">
        <v>65.12</v>
      </c>
      <c r="N258" s="127">
        <v>65.400000000000006</v>
      </c>
      <c r="O258" s="127">
        <v>65.17</v>
      </c>
      <c r="P258" s="127">
        <v>65.08</v>
      </c>
      <c r="Q258" s="79">
        <v>17.52</v>
      </c>
      <c r="R258" s="79">
        <v>1.66</v>
      </c>
      <c r="S258" s="127">
        <f t="shared" si="169"/>
        <v>2.447070707070707</v>
      </c>
      <c r="T258" s="127">
        <f t="shared" si="170"/>
        <v>2.4399742020202018</v>
      </c>
      <c r="U258" s="79">
        <f t="shared" si="171"/>
        <v>5.7925018525018519</v>
      </c>
      <c r="V258" s="127">
        <f t="shared" si="172"/>
        <v>14.389528720993567</v>
      </c>
      <c r="W258" s="127">
        <f t="shared" si="173"/>
        <v>59.745020390758903</v>
      </c>
      <c r="X258" s="132">
        <f>AVERAGE(S258:S262)</f>
        <v>2.4385704309256759</v>
      </c>
      <c r="Y258" s="132">
        <f t="shared" ref="Y258" si="222">AVERAGE(T258:T262)</f>
        <v>2.4314985766759913</v>
      </c>
      <c r="Z258" s="133">
        <f t="shared" ref="Z258" si="223">AVERAGE(U258:U262)</f>
        <v>6.1197460742860406</v>
      </c>
      <c r="AA258" s="132">
        <f t="shared" ref="AA258" si="224">AVERAGE(V258:V262)</f>
        <v>14.686909848835558</v>
      </c>
      <c r="AB258" s="132">
        <f t="shared" ref="AB258" si="225">AVERAGE(W258:W262)</f>
        <v>58.35785086803903</v>
      </c>
      <c r="AC258" s="235">
        <v>161</v>
      </c>
      <c r="AD258" s="235">
        <v>91</v>
      </c>
      <c r="AE258" s="235">
        <v>44</v>
      </c>
      <c r="AF258" s="235">
        <v>15</v>
      </c>
    </row>
    <row r="259" spans="1:32">
      <c r="A259" s="1" t="s">
        <v>101</v>
      </c>
      <c r="B259" s="276"/>
      <c r="C259" s="1" t="s">
        <v>313</v>
      </c>
      <c r="D259" s="1" t="s">
        <v>308</v>
      </c>
      <c r="E259" s="127">
        <v>2.59</v>
      </c>
      <c r="F259" s="127">
        <v>2.7195501013287302</v>
      </c>
      <c r="G259" s="127">
        <v>4.8</v>
      </c>
      <c r="H259" s="127">
        <v>4.5801526717557302</v>
      </c>
      <c r="I259" s="127">
        <v>1216.0999999999999</v>
      </c>
      <c r="J259" s="127">
        <v>722.2</v>
      </c>
      <c r="K259" s="127">
        <v>1218.5999999999999</v>
      </c>
      <c r="L259" s="127">
        <v>64.709999999999994</v>
      </c>
      <c r="M259" s="127">
        <v>64.760000000000005</v>
      </c>
      <c r="N259" s="127">
        <v>64.62</v>
      </c>
      <c r="O259" s="127">
        <v>64.900000000000006</v>
      </c>
      <c r="P259" s="127">
        <v>64.747500000000002</v>
      </c>
      <c r="Q259" s="79">
        <v>16.899999999999999</v>
      </c>
      <c r="R259" s="79">
        <v>1.51</v>
      </c>
      <c r="S259" s="127">
        <f t="shared" ref="S259:S322" si="226">I259/(K259-J259)</f>
        <v>2.4498388396454476</v>
      </c>
      <c r="T259" s="127">
        <f t="shared" ref="T259:T322" si="227">0.9971*S259</f>
        <v>2.4427343070104759</v>
      </c>
      <c r="U259" s="79">
        <f t="shared" ref="U259:U322" si="228">100*(1-T259/E259)</f>
        <v>5.6859340922596147</v>
      </c>
      <c r="V259" s="127">
        <f t="shared" ref="V259:V322" si="229">100-T259*(100-H259)/F259</f>
        <v>14.29268593929477</v>
      </c>
      <c r="W259" s="127">
        <f t="shared" ref="W259:W322" si="230">100*(V259-U259)/V259</f>
        <v>60.217875657455536</v>
      </c>
      <c r="AC259" s="235">
        <v>161</v>
      </c>
      <c r="AD259" s="235">
        <v>91</v>
      </c>
      <c r="AE259" s="235">
        <v>44</v>
      </c>
      <c r="AF259" s="235">
        <v>15</v>
      </c>
    </row>
    <row r="260" spans="1:32">
      <c r="A260" s="1" t="s">
        <v>101</v>
      </c>
      <c r="B260" s="276"/>
      <c r="C260" s="1" t="s">
        <v>313</v>
      </c>
      <c r="D260" s="1" t="s">
        <v>309</v>
      </c>
      <c r="E260" s="127">
        <v>2.59</v>
      </c>
      <c r="F260" s="127">
        <v>2.7195501013287302</v>
      </c>
      <c r="G260" s="127">
        <v>4.8</v>
      </c>
      <c r="H260" s="127">
        <v>4.5801526717557302</v>
      </c>
      <c r="I260" s="127">
        <v>1215.2</v>
      </c>
      <c r="J260" s="127">
        <v>718.2</v>
      </c>
      <c r="K260" s="127">
        <v>1217.7</v>
      </c>
      <c r="L260" s="127">
        <v>63.33</v>
      </c>
      <c r="M260" s="127">
        <v>63.28</v>
      </c>
      <c r="N260" s="127">
        <v>63.96</v>
      </c>
      <c r="O260" s="127">
        <v>64.13</v>
      </c>
      <c r="P260" s="127">
        <v>63.674999999999997</v>
      </c>
      <c r="Q260" s="79">
        <v>16.66</v>
      </c>
      <c r="R260" s="79">
        <v>3.39</v>
      </c>
      <c r="S260" s="127">
        <f t="shared" si="226"/>
        <v>2.4328328328328328</v>
      </c>
      <c r="T260" s="127">
        <f t="shared" si="227"/>
        <v>2.4257776176176176</v>
      </c>
      <c r="U260" s="79">
        <f t="shared" si="228"/>
        <v>6.3406325244163009</v>
      </c>
      <c r="V260" s="127">
        <f t="shared" si="229"/>
        <v>14.887639020787361</v>
      </c>
      <c r="W260" s="127">
        <f t="shared" si="230"/>
        <v>57.410086881049573</v>
      </c>
      <c r="AC260" s="235">
        <v>161</v>
      </c>
      <c r="AD260" s="235">
        <v>91</v>
      </c>
      <c r="AE260" s="235">
        <v>44</v>
      </c>
      <c r="AF260" s="235">
        <v>15</v>
      </c>
    </row>
    <row r="261" spans="1:32">
      <c r="A261" s="1" t="s">
        <v>101</v>
      </c>
      <c r="B261" s="276"/>
      <c r="C261" s="1" t="s">
        <v>313</v>
      </c>
      <c r="D261" s="1" t="s">
        <v>310</v>
      </c>
      <c r="E261" s="127">
        <v>2.59</v>
      </c>
      <c r="F261" s="127">
        <v>2.7195501013287302</v>
      </c>
      <c r="G261" s="127">
        <v>4.8</v>
      </c>
      <c r="H261" s="127">
        <v>4.5801526717557302</v>
      </c>
      <c r="I261" s="127">
        <v>1217.9000000000001</v>
      </c>
      <c r="J261" s="127">
        <v>719.5</v>
      </c>
      <c r="K261" s="127">
        <v>1220.4000000000001</v>
      </c>
      <c r="L261" s="127">
        <v>65.02</v>
      </c>
      <c r="M261" s="127">
        <v>64.36</v>
      </c>
      <c r="N261" s="127">
        <v>64.25</v>
      </c>
      <c r="O261" s="127">
        <v>65.12</v>
      </c>
      <c r="P261" s="127">
        <v>64.6875</v>
      </c>
      <c r="Q261" s="79">
        <v>16.940000000000001</v>
      </c>
      <c r="R261" s="79">
        <v>1.7</v>
      </c>
      <c r="S261" s="127">
        <f t="shared" si="226"/>
        <v>2.4314234378119384</v>
      </c>
      <c r="T261" s="127">
        <f t="shared" si="227"/>
        <v>2.4243723098422838</v>
      </c>
      <c r="U261" s="79">
        <f t="shared" si="228"/>
        <v>6.3948915118809291</v>
      </c>
      <c r="V261" s="127">
        <f t="shared" si="229"/>
        <v>14.936946534300731</v>
      </c>
      <c r="W261" s="127">
        <f t="shared" si="230"/>
        <v>57.18742450342242</v>
      </c>
      <c r="AC261" s="235">
        <v>161</v>
      </c>
      <c r="AD261" s="235">
        <v>91</v>
      </c>
      <c r="AE261" s="235">
        <v>44</v>
      </c>
      <c r="AF261" s="235">
        <v>15</v>
      </c>
    </row>
    <row r="262" spans="1:32">
      <c r="A262" s="1" t="s">
        <v>101</v>
      </c>
      <c r="B262" s="276"/>
      <c r="C262" s="1" t="s">
        <v>313</v>
      </c>
      <c r="D262" s="1" t="s">
        <v>311</v>
      </c>
      <c r="E262" s="127">
        <v>2.59</v>
      </c>
      <c r="F262" s="127">
        <v>2.7195501013287302</v>
      </c>
      <c r="G262" s="127">
        <v>4.8</v>
      </c>
      <c r="H262" s="127">
        <v>4.5801526717557302</v>
      </c>
      <c r="I262" s="127">
        <v>1215.5999999999999</v>
      </c>
      <c r="J262" s="127">
        <v>719.6</v>
      </c>
      <c r="K262" s="127">
        <v>1219.5</v>
      </c>
      <c r="L262" s="127">
        <v>64.349999999999994</v>
      </c>
      <c r="M262" s="127">
        <v>64.680000000000007</v>
      </c>
      <c r="N262" s="127">
        <v>64.760000000000005</v>
      </c>
      <c r="O262" s="127">
        <v>64.319999999999993</v>
      </c>
      <c r="P262" s="127">
        <v>64.527500000000003</v>
      </c>
      <c r="Q262" s="79">
        <v>16.13</v>
      </c>
      <c r="R262" s="79">
        <v>1.19</v>
      </c>
      <c r="S262" s="127">
        <f t="shared" si="226"/>
        <v>2.4316863372674535</v>
      </c>
      <c r="T262" s="127">
        <f t="shared" si="227"/>
        <v>2.4246344468893777</v>
      </c>
      <c r="U262" s="79">
        <f t="shared" si="228"/>
        <v>6.3847703903715081</v>
      </c>
      <c r="V262" s="127">
        <f t="shared" si="229"/>
        <v>14.927749028801358</v>
      </c>
      <c r="W262" s="127">
        <f t="shared" si="230"/>
        <v>57.228846907508732</v>
      </c>
      <c r="AC262" s="235">
        <v>161</v>
      </c>
      <c r="AD262" s="235">
        <v>91</v>
      </c>
      <c r="AE262" s="235">
        <v>44</v>
      </c>
      <c r="AF262" s="235">
        <v>15</v>
      </c>
    </row>
    <row r="263" spans="1:32">
      <c r="A263" s="1" t="s">
        <v>101</v>
      </c>
      <c r="B263" s="276"/>
      <c r="C263" s="1" t="s">
        <v>325</v>
      </c>
      <c r="D263" s="1" t="s">
        <v>307</v>
      </c>
      <c r="E263" s="127">
        <v>2.59</v>
      </c>
      <c r="F263" s="127">
        <v>2.7195501013287302</v>
      </c>
      <c r="G263" s="127">
        <v>4.8</v>
      </c>
      <c r="H263" s="127">
        <v>4.5801526717557302</v>
      </c>
      <c r="I263" s="127">
        <v>1224.0999999999999</v>
      </c>
      <c r="J263" s="127">
        <v>732.4</v>
      </c>
      <c r="K263" s="127">
        <v>1225.3</v>
      </c>
      <c r="L263" s="127">
        <v>64.63</v>
      </c>
      <c r="M263" s="127">
        <v>65.12</v>
      </c>
      <c r="N263" s="127">
        <v>65.400000000000006</v>
      </c>
      <c r="O263" s="127">
        <v>65.17</v>
      </c>
      <c r="P263" s="127">
        <v>65.08</v>
      </c>
      <c r="Q263" s="79">
        <v>17.52</v>
      </c>
      <c r="R263" s="79">
        <v>1.66</v>
      </c>
      <c r="S263" s="127">
        <f t="shared" si="226"/>
        <v>2.4834652059241225</v>
      </c>
      <c r="T263" s="127">
        <f t="shared" si="227"/>
        <v>2.4762631568269424</v>
      </c>
      <c r="U263" s="79">
        <f t="shared" si="228"/>
        <v>4.3913839062956539</v>
      </c>
      <c r="V263" s="127">
        <f t="shared" si="229"/>
        <v>13.116271601858699</v>
      </c>
      <c r="W263" s="127">
        <f t="shared" si="230"/>
        <v>66.519571722856412</v>
      </c>
      <c r="X263" s="132">
        <f>AVERAGE(S263:S267)</f>
        <v>2.4842578837760043</v>
      </c>
      <c r="Y263" s="132">
        <f t="shared" ref="Y263" si="231">AVERAGE(T263:T267)</f>
        <v>2.4770535359130541</v>
      </c>
      <c r="Z263" s="133">
        <f t="shared" ref="Z263" si="232">AVERAGE(U263:U267)</f>
        <v>4.3608673392643187</v>
      </c>
      <c r="AA263" s="132">
        <f t="shared" ref="AA263" si="233">AVERAGE(V263:V267)</f>
        <v>13.088539863549716</v>
      </c>
      <c r="AB263" s="132">
        <f t="shared" ref="AB263" si="234">AVERAGE(W263:W267)</f>
        <v>66.682431917777592</v>
      </c>
      <c r="AC263" s="235">
        <v>161</v>
      </c>
      <c r="AD263" s="235">
        <v>91</v>
      </c>
      <c r="AE263" s="235">
        <v>44</v>
      </c>
      <c r="AF263" s="235">
        <v>15</v>
      </c>
    </row>
    <row r="264" spans="1:32">
      <c r="A264" s="1" t="s">
        <v>101</v>
      </c>
      <c r="B264" s="276"/>
      <c r="C264" s="1" t="s">
        <v>325</v>
      </c>
      <c r="D264" s="1" t="s">
        <v>308</v>
      </c>
      <c r="E264" s="127">
        <v>2.59</v>
      </c>
      <c r="F264" s="127">
        <v>2.7195501013287302</v>
      </c>
      <c r="G264" s="127">
        <v>4.8</v>
      </c>
      <c r="H264" s="127">
        <v>4.5801526717557302</v>
      </c>
      <c r="I264" s="127">
        <v>1217.5999999999999</v>
      </c>
      <c r="J264" s="127">
        <v>728.9</v>
      </c>
      <c r="K264" s="127">
        <v>1218.9000000000001</v>
      </c>
      <c r="L264" s="127">
        <v>64.709999999999994</v>
      </c>
      <c r="M264" s="127">
        <v>64.760000000000005</v>
      </c>
      <c r="N264" s="127">
        <v>64.62</v>
      </c>
      <c r="O264" s="127">
        <v>64.900000000000006</v>
      </c>
      <c r="P264" s="127">
        <v>64.747500000000002</v>
      </c>
      <c r="Q264" s="79">
        <v>16.899999999999999</v>
      </c>
      <c r="R264" s="79">
        <v>1.51</v>
      </c>
      <c r="S264" s="127">
        <f t="shared" si="226"/>
        <v>2.4848979591836726</v>
      </c>
      <c r="T264" s="127">
        <f t="shared" si="227"/>
        <v>2.4776917551020401</v>
      </c>
      <c r="U264" s="79">
        <f t="shared" si="228"/>
        <v>4.3362256717358942</v>
      </c>
      <c r="V264" s="127">
        <f t="shared" si="229"/>
        <v>13.066146903204825</v>
      </c>
      <c r="W264" s="127">
        <f t="shared" si="230"/>
        <v>66.813279355734792</v>
      </c>
      <c r="AC264" s="235">
        <v>161</v>
      </c>
      <c r="AD264" s="235">
        <v>91</v>
      </c>
      <c r="AE264" s="235">
        <v>44</v>
      </c>
      <c r="AF264" s="235">
        <v>15</v>
      </c>
    </row>
    <row r="265" spans="1:32">
      <c r="A265" s="1" t="s">
        <v>101</v>
      </c>
      <c r="B265" s="276"/>
      <c r="C265" s="1" t="s">
        <v>325</v>
      </c>
      <c r="D265" s="1" t="s">
        <v>309</v>
      </c>
      <c r="E265" s="127">
        <v>2.59</v>
      </c>
      <c r="F265" s="127">
        <v>2.7195501013287302</v>
      </c>
      <c r="G265" s="127">
        <v>4.8</v>
      </c>
      <c r="H265" s="127">
        <v>4.5801526717557302</v>
      </c>
      <c r="I265" s="127">
        <v>1223.8</v>
      </c>
      <c r="J265" s="127">
        <v>733.3</v>
      </c>
      <c r="K265" s="127">
        <v>1225.5999999999999</v>
      </c>
      <c r="L265" s="127">
        <v>63.33</v>
      </c>
      <c r="M265" s="127">
        <v>63.28</v>
      </c>
      <c r="N265" s="127">
        <v>63.96</v>
      </c>
      <c r="O265" s="127">
        <v>64.13</v>
      </c>
      <c r="P265" s="127">
        <v>63.674999999999997</v>
      </c>
      <c r="Q265" s="79">
        <v>16.66</v>
      </c>
      <c r="R265" s="79">
        <v>3.39</v>
      </c>
      <c r="S265" s="127">
        <f t="shared" si="226"/>
        <v>2.485882591915499</v>
      </c>
      <c r="T265" s="127">
        <f t="shared" si="227"/>
        <v>2.4786735323989442</v>
      </c>
      <c r="U265" s="79">
        <f t="shared" si="228"/>
        <v>4.2983192123959739</v>
      </c>
      <c r="V265" s="127">
        <f t="shared" si="229"/>
        <v>13.031699646750468</v>
      </c>
      <c r="W265" s="127">
        <f t="shared" si="230"/>
        <v>67.016434318544285</v>
      </c>
      <c r="AC265" s="235">
        <v>161</v>
      </c>
      <c r="AD265" s="235">
        <v>91</v>
      </c>
      <c r="AE265" s="235">
        <v>44</v>
      </c>
      <c r="AF265" s="235">
        <v>15</v>
      </c>
    </row>
    <row r="266" spans="1:32">
      <c r="A266" s="1" t="s">
        <v>101</v>
      </c>
      <c r="B266" s="276"/>
      <c r="C266" s="1" t="s">
        <v>325</v>
      </c>
      <c r="D266" s="1" t="s">
        <v>310</v>
      </c>
      <c r="E266" s="127">
        <v>2.59</v>
      </c>
      <c r="F266" s="127">
        <v>2.7195501013287302</v>
      </c>
      <c r="G266" s="127">
        <v>4.8</v>
      </c>
      <c r="H266" s="127">
        <v>4.5801526717557302</v>
      </c>
      <c r="I266" s="127">
        <v>1223.5</v>
      </c>
      <c r="J266" s="127">
        <v>733.8</v>
      </c>
      <c r="K266" s="127">
        <v>1226.3</v>
      </c>
      <c r="L266" s="127">
        <v>65.02</v>
      </c>
      <c r="M266" s="127">
        <v>64.36</v>
      </c>
      <c r="N266" s="127">
        <v>64.25</v>
      </c>
      <c r="O266" s="127">
        <v>65.12</v>
      </c>
      <c r="P266" s="127">
        <v>64.6875</v>
      </c>
      <c r="Q266" s="79">
        <v>16.940000000000001</v>
      </c>
      <c r="R266" s="79">
        <v>1.7</v>
      </c>
      <c r="S266" s="127">
        <f t="shared" si="226"/>
        <v>2.4842639593908631</v>
      </c>
      <c r="T266" s="127">
        <f t="shared" si="227"/>
        <v>2.4770595939086295</v>
      </c>
      <c r="U266" s="79">
        <f t="shared" si="228"/>
        <v>4.3606334398212487</v>
      </c>
      <c r="V266" s="127">
        <f t="shared" si="229"/>
        <v>13.088327308902294</v>
      </c>
      <c r="W266" s="127">
        <f t="shared" si="230"/>
        <v>66.683034914207283</v>
      </c>
      <c r="AC266" s="235">
        <v>161</v>
      </c>
      <c r="AD266" s="235">
        <v>91</v>
      </c>
      <c r="AE266" s="235">
        <v>44</v>
      </c>
      <c r="AF266" s="235">
        <v>15</v>
      </c>
    </row>
    <row r="267" spans="1:32">
      <c r="A267" s="1" t="s">
        <v>101</v>
      </c>
      <c r="B267" s="276"/>
      <c r="C267" s="1" t="s">
        <v>325</v>
      </c>
      <c r="D267" s="1" t="s">
        <v>311</v>
      </c>
      <c r="E267" s="127">
        <v>2.59</v>
      </c>
      <c r="F267" s="127">
        <v>2.7195501013287302</v>
      </c>
      <c r="G267" s="127">
        <v>4.8</v>
      </c>
      <c r="H267" s="127">
        <v>4.5801526717557302</v>
      </c>
      <c r="I267" s="127">
        <v>1218.3</v>
      </c>
      <c r="J267" s="127">
        <v>729.2</v>
      </c>
      <c r="K267" s="127">
        <v>1219.9000000000001</v>
      </c>
      <c r="L267" s="127">
        <v>64.349999999999994</v>
      </c>
      <c r="M267" s="127">
        <v>64.680000000000007</v>
      </c>
      <c r="N267" s="127">
        <v>64.760000000000005</v>
      </c>
      <c r="O267" s="127">
        <v>64.319999999999993</v>
      </c>
      <c r="P267" s="127">
        <v>64.527500000000003</v>
      </c>
      <c r="Q267" s="79">
        <v>16.13</v>
      </c>
      <c r="R267" s="79">
        <v>1.19</v>
      </c>
      <c r="S267" s="127">
        <f t="shared" si="226"/>
        <v>2.4827797024658649</v>
      </c>
      <c r="T267" s="127">
        <f t="shared" si="227"/>
        <v>2.4755796413287139</v>
      </c>
      <c r="U267" s="79">
        <f t="shared" si="228"/>
        <v>4.4177744660728209</v>
      </c>
      <c r="V267" s="127">
        <f t="shared" si="229"/>
        <v>13.140253857032292</v>
      </c>
      <c r="W267" s="127">
        <f t="shared" si="230"/>
        <v>66.379839277545216</v>
      </c>
      <c r="AC267" s="235">
        <v>161</v>
      </c>
      <c r="AD267" s="235">
        <v>91</v>
      </c>
      <c r="AE267" s="235">
        <v>44</v>
      </c>
      <c r="AF267" s="235">
        <v>15</v>
      </c>
    </row>
    <row r="268" spans="1:32">
      <c r="A268" s="1" t="s">
        <v>102</v>
      </c>
      <c r="B268" s="280" t="s">
        <v>218</v>
      </c>
      <c r="C268" s="1" t="s">
        <v>306</v>
      </c>
      <c r="D268" s="1" t="s">
        <v>307</v>
      </c>
      <c r="E268" s="127">
        <v>2.5351559405831101</v>
      </c>
      <c r="F268" s="127">
        <v>2.65340859569447</v>
      </c>
      <c r="G268" s="127">
        <v>4.8</v>
      </c>
      <c r="H268" s="127">
        <v>4.5801526717557302</v>
      </c>
      <c r="I268" s="127">
        <v>1208.7</v>
      </c>
      <c r="J268" s="127">
        <v>711.7</v>
      </c>
      <c r="K268" s="127">
        <v>1210.5</v>
      </c>
      <c r="L268" s="127">
        <v>63.5</v>
      </c>
      <c r="M268" s="127">
        <v>63.27</v>
      </c>
      <c r="N268" s="127">
        <v>63.24</v>
      </c>
      <c r="O268" s="127">
        <v>63.35</v>
      </c>
      <c r="P268" s="127">
        <v>63.34</v>
      </c>
      <c r="Q268" s="79">
        <v>14.6</v>
      </c>
      <c r="R268" s="79">
        <v>1.82</v>
      </c>
      <c r="S268" s="127">
        <f t="shared" si="226"/>
        <v>2.4232157177225342</v>
      </c>
      <c r="T268" s="127">
        <f t="shared" si="227"/>
        <v>2.4161883921411387</v>
      </c>
      <c r="U268" s="79">
        <f t="shared" si="228"/>
        <v>4.692711266298188</v>
      </c>
      <c r="V268" s="127">
        <f t="shared" si="229"/>
        <v>13.110883914189785</v>
      </c>
      <c r="W268" s="127">
        <f t="shared" si="230"/>
        <v>64.207514176681016</v>
      </c>
      <c r="X268" s="132">
        <f>AVERAGE(S268:S272)</f>
        <v>2.4212926654126758</v>
      </c>
      <c r="Y268" s="132">
        <f t="shared" ref="Y268" si="235">AVERAGE(T268:T272)</f>
        <v>2.414270916682979</v>
      </c>
      <c r="Z268" s="133">
        <f t="shared" ref="Z268" si="236">AVERAGE(U268:U272)</f>
        <v>4.7683466711056139</v>
      </c>
      <c r="AA268" s="132">
        <f t="shared" ref="AA268" si="237">AVERAGE(V268:V272)</f>
        <v>13.179838697772732</v>
      </c>
      <c r="AB268" s="132">
        <f t="shared" ref="AB268" si="238">AVERAGE(W268:W272)</f>
        <v>63.842049645456484</v>
      </c>
      <c r="AC268" s="235">
        <v>161</v>
      </c>
      <c r="AD268" s="235">
        <v>91</v>
      </c>
      <c r="AE268" s="235">
        <v>44</v>
      </c>
      <c r="AF268" s="235">
        <v>15</v>
      </c>
    </row>
    <row r="269" spans="1:32">
      <c r="A269" s="1" t="s">
        <v>102</v>
      </c>
      <c r="B269" s="276"/>
      <c r="C269" s="1" t="s">
        <v>306</v>
      </c>
      <c r="D269" s="1" t="s">
        <v>308</v>
      </c>
      <c r="E269" s="127">
        <v>2.5351559405831101</v>
      </c>
      <c r="F269" s="127">
        <v>2.65340859569447</v>
      </c>
      <c r="G269" s="127">
        <v>4.8</v>
      </c>
      <c r="H269" s="127">
        <v>4.5801526717557302</v>
      </c>
      <c r="I269" s="127">
        <v>1212.0999999999999</v>
      </c>
      <c r="J269" s="127">
        <v>714.9</v>
      </c>
      <c r="K269" s="127">
        <v>1213.9000000000001</v>
      </c>
      <c r="L269" s="127">
        <v>63.94</v>
      </c>
      <c r="M269" s="127">
        <v>64.040000000000006</v>
      </c>
      <c r="N269" s="127">
        <v>63.98</v>
      </c>
      <c r="O269" s="127">
        <v>64.11</v>
      </c>
      <c r="P269" s="127">
        <v>64.017499999999998</v>
      </c>
      <c r="Q269" s="79">
        <v>13.99</v>
      </c>
      <c r="R269" s="79">
        <v>1.85</v>
      </c>
      <c r="S269" s="127">
        <f t="shared" si="226"/>
        <v>2.429058116232464</v>
      </c>
      <c r="T269" s="127">
        <f t="shared" si="227"/>
        <v>2.4220138476953901</v>
      </c>
      <c r="U269" s="79">
        <f t="shared" si="228"/>
        <v>4.4629243935856771</v>
      </c>
      <c r="V269" s="127">
        <f t="shared" si="229"/>
        <v>12.901393344020491</v>
      </c>
      <c r="W269" s="127">
        <f t="shared" si="230"/>
        <v>65.407423255921856</v>
      </c>
      <c r="AC269" s="235">
        <v>161</v>
      </c>
      <c r="AD269" s="235">
        <v>91</v>
      </c>
      <c r="AE269" s="235">
        <v>44</v>
      </c>
      <c r="AF269" s="235">
        <v>15</v>
      </c>
    </row>
    <row r="270" spans="1:32">
      <c r="A270" s="1" t="s">
        <v>102</v>
      </c>
      <c r="B270" s="276"/>
      <c r="C270" s="1" t="s">
        <v>306</v>
      </c>
      <c r="D270" s="1" t="s">
        <v>309</v>
      </c>
      <c r="E270" s="127">
        <v>2.5351559405831101</v>
      </c>
      <c r="F270" s="127">
        <v>2.65340859569447</v>
      </c>
      <c r="G270" s="127">
        <v>4.8</v>
      </c>
      <c r="H270" s="127">
        <v>4.5801526717557302</v>
      </c>
      <c r="I270" s="127">
        <v>1206.4000000000001</v>
      </c>
      <c r="J270" s="127">
        <v>708</v>
      </c>
      <c r="K270" s="127">
        <v>1208.5</v>
      </c>
      <c r="L270" s="127">
        <v>63.92</v>
      </c>
      <c r="M270" s="127">
        <v>63.88</v>
      </c>
      <c r="N270" s="127">
        <v>64.13</v>
      </c>
      <c r="O270" s="127">
        <v>64</v>
      </c>
      <c r="P270" s="127">
        <v>63.982500000000002</v>
      </c>
      <c r="Q270" s="79">
        <v>13.25</v>
      </c>
      <c r="R270" s="79">
        <v>1.54</v>
      </c>
      <c r="S270" s="127">
        <f t="shared" si="226"/>
        <v>2.4103896103896107</v>
      </c>
      <c r="T270" s="127">
        <f t="shared" si="227"/>
        <v>2.4033994805194809</v>
      </c>
      <c r="U270" s="79">
        <f t="shared" si="228"/>
        <v>5.1971737893695025</v>
      </c>
      <c r="V270" s="127">
        <f t="shared" si="229"/>
        <v>13.570788957240126</v>
      </c>
      <c r="W270" s="127">
        <f t="shared" si="230"/>
        <v>61.70323032990084</v>
      </c>
      <c r="AC270" s="235">
        <v>161</v>
      </c>
      <c r="AD270" s="235">
        <v>91</v>
      </c>
      <c r="AE270" s="235">
        <v>44</v>
      </c>
      <c r="AF270" s="235">
        <v>15</v>
      </c>
    </row>
    <row r="271" spans="1:32">
      <c r="A271" s="1" t="s">
        <v>102</v>
      </c>
      <c r="B271" s="276"/>
      <c r="C271" s="1" t="s">
        <v>306</v>
      </c>
      <c r="D271" s="1" t="s">
        <v>310</v>
      </c>
      <c r="E271" s="127">
        <v>2.5351559405831101</v>
      </c>
      <c r="F271" s="127">
        <v>2.65340859569447</v>
      </c>
      <c r="G271" s="127">
        <v>4.8</v>
      </c>
      <c r="H271" s="127">
        <v>4.5801526717557302</v>
      </c>
      <c r="I271" s="127">
        <v>1206.3</v>
      </c>
      <c r="J271" s="127">
        <v>710.6</v>
      </c>
      <c r="K271" s="127">
        <v>1209.2</v>
      </c>
      <c r="L271" s="127">
        <v>63.56</v>
      </c>
      <c r="M271" s="127">
        <v>63.64</v>
      </c>
      <c r="N271" s="127">
        <v>63.91</v>
      </c>
      <c r="O271" s="127">
        <v>63.9</v>
      </c>
      <c r="P271" s="127">
        <v>63.752499999999998</v>
      </c>
      <c r="Q271" s="79">
        <v>13.92</v>
      </c>
      <c r="R271" s="79">
        <v>1.5</v>
      </c>
      <c r="S271" s="127">
        <f t="shared" si="226"/>
        <v>2.4193742478941034</v>
      </c>
      <c r="T271" s="127">
        <f t="shared" si="227"/>
        <v>2.4123580625752106</v>
      </c>
      <c r="U271" s="79">
        <f t="shared" si="228"/>
        <v>4.8437997853360777</v>
      </c>
      <c r="V271" s="127">
        <f t="shared" si="229"/>
        <v>13.248627291893015</v>
      </c>
      <c r="W271" s="127">
        <f t="shared" si="230"/>
        <v>63.439232770174961</v>
      </c>
      <c r="AC271" s="235">
        <v>161</v>
      </c>
      <c r="AD271" s="235">
        <v>91</v>
      </c>
      <c r="AE271" s="235">
        <v>44</v>
      </c>
      <c r="AF271" s="235">
        <v>15</v>
      </c>
    </row>
    <row r="272" spans="1:32">
      <c r="A272" s="1" t="s">
        <v>102</v>
      </c>
      <c r="B272" s="276"/>
      <c r="C272" s="1" t="s">
        <v>306</v>
      </c>
      <c r="D272" s="1" t="s">
        <v>311</v>
      </c>
      <c r="E272" s="127">
        <v>2.5351559405831101</v>
      </c>
      <c r="F272" s="127">
        <v>2.65340859569447</v>
      </c>
      <c r="G272" s="127">
        <v>4.8</v>
      </c>
      <c r="H272" s="127">
        <v>4.5801526717557302</v>
      </c>
      <c r="I272" s="127">
        <v>1203</v>
      </c>
      <c r="J272" s="127">
        <v>708.7</v>
      </c>
      <c r="K272" s="127">
        <v>1204.9000000000001</v>
      </c>
      <c r="L272" s="127">
        <v>63.1</v>
      </c>
      <c r="M272" s="127">
        <v>62.76</v>
      </c>
      <c r="N272" s="127">
        <v>62.94</v>
      </c>
      <c r="O272" s="127">
        <v>62.94</v>
      </c>
      <c r="P272" s="127">
        <v>62.935000000000002</v>
      </c>
      <c r="Q272" s="79">
        <v>13.5</v>
      </c>
      <c r="R272" s="79">
        <v>1.6</v>
      </c>
      <c r="S272" s="127">
        <f t="shared" si="226"/>
        <v>2.4244256348246673</v>
      </c>
      <c r="T272" s="127">
        <f t="shared" si="227"/>
        <v>2.4173948004836756</v>
      </c>
      <c r="U272" s="79">
        <f t="shared" si="228"/>
        <v>4.6451241209386263</v>
      </c>
      <c r="V272" s="127">
        <f t="shared" si="229"/>
        <v>13.067499981520243</v>
      </c>
      <c r="W272" s="127">
        <f t="shared" si="230"/>
        <v>64.452847694603761</v>
      </c>
      <c r="AC272" s="235">
        <v>161</v>
      </c>
      <c r="AD272" s="235">
        <v>91</v>
      </c>
      <c r="AE272" s="235">
        <v>44</v>
      </c>
      <c r="AF272" s="235">
        <v>15</v>
      </c>
    </row>
    <row r="273" spans="1:32">
      <c r="A273" s="1" t="s">
        <v>102</v>
      </c>
      <c r="B273" s="276"/>
      <c r="C273" s="1" t="s">
        <v>312</v>
      </c>
      <c r="D273" s="1" t="s">
        <v>307</v>
      </c>
      <c r="E273" s="127">
        <v>2.5041191226951902</v>
      </c>
      <c r="F273" s="127">
        <v>2.65340859569447</v>
      </c>
      <c r="G273" s="127">
        <v>4.9000000000000004</v>
      </c>
      <c r="H273" s="127">
        <v>4.6711153479504297</v>
      </c>
      <c r="I273" s="127">
        <v>1207.7</v>
      </c>
      <c r="J273" s="127">
        <v>706.7</v>
      </c>
      <c r="K273" s="127">
        <v>1209.4000000000001</v>
      </c>
      <c r="L273" s="127">
        <v>64.44</v>
      </c>
      <c r="M273" s="127">
        <v>64.209999999999994</v>
      </c>
      <c r="N273" s="127">
        <v>64.66</v>
      </c>
      <c r="O273" s="127">
        <v>64.239999999999995</v>
      </c>
      <c r="P273" s="127">
        <v>64.387500000000003</v>
      </c>
      <c r="Q273" s="79">
        <v>13.42</v>
      </c>
      <c r="R273" s="79">
        <v>2</v>
      </c>
      <c r="S273" s="127">
        <f t="shared" si="226"/>
        <v>2.4024268947682512</v>
      </c>
      <c r="T273" s="127">
        <f t="shared" si="227"/>
        <v>2.3954598567734231</v>
      </c>
      <c r="U273" s="79">
        <f t="shared" si="228"/>
        <v>4.3392211231874978</v>
      </c>
      <c r="V273" s="127">
        <f t="shared" si="229"/>
        <v>13.938427445547021</v>
      </c>
      <c r="W273" s="127">
        <f t="shared" si="230"/>
        <v>68.868646480103678</v>
      </c>
      <c r="X273" s="132">
        <f>AVERAGE(S273:S277)</f>
        <v>2.4109912856758067</v>
      </c>
      <c r="Y273" s="132">
        <f t="shared" ref="Y273" si="239">AVERAGE(T273:T277)</f>
        <v>2.403999410947347</v>
      </c>
      <c r="Z273" s="133">
        <f t="shared" ref="Z273" si="240">AVERAGE(U273:U277)</f>
        <v>3.9982008379890659</v>
      </c>
      <c r="AA273" s="132">
        <f t="shared" ref="AA273" si="241">AVERAGE(V273:V277)</f>
        <v>13.631627288139356</v>
      </c>
      <c r="AB273" s="132">
        <f t="shared" ref="AB273" si="242">AVERAGE(W273:W277)</f>
        <v>70.683732575935252</v>
      </c>
      <c r="AC273" s="235">
        <v>161</v>
      </c>
      <c r="AD273" s="235">
        <v>91</v>
      </c>
      <c r="AE273" s="235">
        <v>44</v>
      </c>
      <c r="AF273" s="235">
        <v>15</v>
      </c>
    </row>
    <row r="274" spans="1:32">
      <c r="A274" s="1" t="s">
        <v>102</v>
      </c>
      <c r="B274" s="276"/>
      <c r="C274" s="1" t="s">
        <v>312</v>
      </c>
      <c r="D274" s="1" t="s">
        <v>308</v>
      </c>
      <c r="E274" s="127">
        <v>2.5041191226951902</v>
      </c>
      <c r="F274" s="127">
        <v>2.65340859569447</v>
      </c>
      <c r="G274" s="127">
        <v>4.9000000000000004</v>
      </c>
      <c r="H274" s="127">
        <v>4.6711153479504297</v>
      </c>
      <c r="I274" s="127">
        <v>1213.3</v>
      </c>
      <c r="J274" s="127">
        <v>713</v>
      </c>
      <c r="K274" s="127">
        <v>1216.0999999999999</v>
      </c>
      <c r="L274" s="127">
        <v>64.790000000000006</v>
      </c>
      <c r="M274" s="127">
        <v>64.55</v>
      </c>
      <c r="N274" s="127">
        <v>64.53</v>
      </c>
      <c r="O274" s="127">
        <v>64.52</v>
      </c>
      <c r="P274" s="127">
        <v>64.597499999999997</v>
      </c>
      <c r="Q274" s="79">
        <v>15.34</v>
      </c>
      <c r="R274" s="79">
        <v>1.84</v>
      </c>
      <c r="S274" s="127">
        <f t="shared" si="226"/>
        <v>2.4116477837408072</v>
      </c>
      <c r="T274" s="127">
        <f t="shared" si="227"/>
        <v>2.4046540051679588</v>
      </c>
      <c r="U274" s="79">
        <f t="shared" si="228"/>
        <v>3.972060139861755</v>
      </c>
      <c r="V274" s="127">
        <f t="shared" si="229"/>
        <v>13.608109712651029</v>
      </c>
      <c r="W274" s="127">
        <f t="shared" si="230"/>
        <v>70.811080864750409</v>
      </c>
      <c r="AC274" s="235">
        <v>161</v>
      </c>
      <c r="AD274" s="235">
        <v>91</v>
      </c>
      <c r="AE274" s="235">
        <v>44</v>
      </c>
      <c r="AF274" s="235">
        <v>15</v>
      </c>
    </row>
    <row r="275" spans="1:32">
      <c r="A275" s="1" t="s">
        <v>102</v>
      </c>
      <c r="B275" s="276"/>
      <c r="C275" s="1" t="s">
        <v>312</v>
      </c>
      <c r="D275" s="1" t="s">
        <v>309</v>
      </c>
      <c r="E275" s="127">
        <v>2.5041191226951902</v>
      </c>
      <c r="F275" s="127">
        <v>2.65340859569447</v>
      </c>
      <c r="G275" s="127">
        <v>4.9000000000000004</v>
      </c>
      <c r="H275" s="127">
        <v>4.6711153479504297</v>
      </c>
      <c r="I275" s="127">
        <v>1211.3</v>
      </c>
      <c r="J275" s="127">
        <v>711.4</v>
      </c>
      <c r="K275" s="127">
        <v>1214.2</v>
      </c>
      <c r="L275" s="127">
        <v>63.84</v>
      </c>
      <c r="M275" s="127">
        <v>64.09</v>
      </c>
      <c r="N275" s="127">
        <v>64.16</v>
      </c>
      <c r="O275" s="127">
        <v>63.76</v>
      </c>
      <c r="P275" s="127">
        <v>63.962499999999999</v>
      </c>
      <c r="Q275" s="79">
        <v>13.24</v>
      </c>
      <c r="R275" s="79">
        <v>1.54</v>
      </c>
      <c r="S275" s="127">
        <f t="shared" si="226"/>
        <v>2.4091089896579154</v>
      </c>
      <c r="T275" s="127">
        <f t="shared" si="227"/>
        <v>2.4021225735879073</v>
      </c>
      <c r="U275" s="79">
        <f t="shared" si="228"/>
        <v>4.0731508410631783</v>
      </c>
      <c r="V275" s="127">
        <f t="shared" si="229"/>
        <v>13.699056334852699</v>
      </c>
      <c r="W275" s="127">
        <f t="shared" si="230"/>
        <v>70.266923928910359</v>
      </c>
      <c r="AC275" s="235">
        <v>161</v>
      </c>
      <c r="AD275" s="235">
        <v>91</v>
      </c>
      <c r="AE275" s="235">
        <v>44</v>
      </c>
      <c r="AF275" s="235">
        <v>15</v>
      </c>
    </row>
    <row r="276" spans="1:32">
      <c r="A276" s="1" t="s">
        <v>102</v>
      </c>
      <c r="B276" s="276"/>
      <c r="C276" s="1" t="s">
        <v>312</v>
      </c>
      <c r="D276" s="1" t="s">
        <v>310</v>
      </c>
      <c r="E276" s="127">
        <v>2.5041191226951902</v>
      </c>
      <c r="F276" s="127">
        <v>2.65340859569447</v>
      </c>
      <c r="G276" s="127">
        <v>4.9000000000000004</v>
      </c>
      <c r="H276" s="127">
        <v>4.6711153479504297</v>
      </c>
      <c r="I276" s="127">
        <v>1210.5</v>
      </c>
      <c r="J276" s="127">
        <v>711.9</v>
      </c>
      <c r="K276" s="127">
        <v>1212.9000000000001</v>
      </c>
      <c r="L276" s="127">
        <v>64.239999999999995</v>
      </c>
      <c r="M276" s="127">
        <v>64.150000000000006</v>
      </c>
      <c r="N276" s="127">
        <v>63.95</v>
      </c>
      <c r="O276" s="127">
        <v>63.58</v>
      </c>
      <c r="P276" s="127">
        <v>63.98</v>
      </c>
      <c r="Q276" s="79">
        <v>14.56</v>
      </c>
      <c r="R276" s="79">
        <v>1.68</v>
      </c>
      <c r="S276" s="127">
        <f t="shared" si="226"/>
        <v>2.4161676646706582</v>
      </c>
      <c r="T276" s="127">
        <f t="shared" si="227"/>
        <v>2.4091607784431135</v>
      </c>
      <c r="U276" s="79">
        <f t="shared" si="228"/>
        <v>3.7920857435038036</v>
      </c>
      <c r="V276" s="127">
        <f t="shared" si="229"/>
        <v>13.446195083144929</v>
      </c>
      <c r="W276" s="127">
        <f t="shared" si="230"/>
        <v>71.798075812113879</v>
      </c>
      <c r="AC276" s="235">
        <v>161</v>
      </c>
      <c r="AD276" s="235">
        <v>91</v>
      </c>
      <c r="AE276" s="235">
        <v>44</v>
      </c>
      <c r="AF276" s="235">
        <v>15</v>
      </c>
    </row>
    <row r="277" spans="1:32">
      <c r="A277" s="1" t="s">
        <v>102</v>
      </c>
      <c r="B277" s="276"/>
      <c r="C277" s="1" t="s">
        <v>312</v>
      </c>
      <c r="D277" s="1" t="s">
        <v>311</v>
      </c>
      <c r="E277" s="127">
        <v>2.5041191226951902</v>
      </c>
      <c r="F277" s="127">
        <v>2.65340859569447</v>
      </c>
      <c r="G277" s="127">
        <v>4.9000000000000004</v>
      </c>
      <c r="H277" s="127">
        <v>4.6711153479504297</v>
      </c>
      <c r="I277" s="127">
        <v>1213.5999999999999</v>
      </c>
      <c r="J277" s="127">
        <v>713.6</v>
      </c>
      <c r="K277" s="127">
        <v>1216</v>
      </c>
      <c r="L277" s="127">
        <v>64.63</v>
      </c>
      <c r="M277" s="127">
        <v>64.239999999999995</v>
      </c>
      <c r="N277" s="127">
        <v>64.790000000000006</v>
      </c>
      <c r="O277" s="127">
        <v>64.849999999999994</v>
      </c>
      <c r="P277" s="127">
        <v>64.627499999999998</v>
      </c>
      <c r="Q277" s="79">
        <v>12.62</v>
      </c>
      <c r="R277" s="79">
        <v>1.47</v>
      </c>
      <c r="S277" s="127">
        <f t="shared" si="226"/>
        <v>2.4156050955414012</v>
      </c>
      <c r="T277" s="127">
        <f t="shared" si="227"/>
        <v>2.4085998407643312</v>
      </c>
      <c r="U277" s="79">
        <f t="shared" si="228"/>
        <v>3.8144863423290931</v>
      </c>
      <c r="V277" s="127">
        <f t="shared" si="229"/>
        <v>13.466347864501103</v>
      </c>
      <c r="W277" s="127">
        <f t="shared" si="230"/>
        <v>71.673935793797995</v>
      </c>
      <c r="AC277" s="235">
        <v>161</v>
      </c>
      <c r="AD277" s="235">
        <v>91</v>
      </c>
      <c r="AE277" s="235">
        <v>44</v>
      </c>
      <c r="AF277" s="235">
        <v>15</v>
      </c>
    </row>
    <row r="278" spans="1:32">
      <c r="A278" s="1" t="s">
        <v>103</v>
      </c>
      <c r="B278" s="280" t="s">
        <v>218</v>
      </c>
      <c r="C278" s="1" t="s">
        <v>306</v>
      </c>
      <c r="D278" s="1" t="s">
        <v>307</v>
      </c>
      <c r="E278" s="127">
        <v>2.51543653139418</v>
      </c>
      <c r="F278" s="127">
        <v>2.6907751543448102</v>
      </c>
      <c r="G278" s="127">
        <v>4.9000000000000004</v>
      </c>
      <c r="H278" s="127">
        <v>4.6711153479504297</v>
      </c>
      <c r="I278" s="127">
        <v>1239.5999999999999</v>
      </c>
      <c r="J278" s="127">
        <v>738.9</v>
      </c>
      <c r="K278" s="127">
        <v>1240.9000000000001</v>
      </c>
      <c r="L278" s="127">
        <v>63.6</v>
      </c>
      <c r="M278" s="127">
        <v>63.33</v>
      </c>
      <c r="N278" s="127">
        <v>63.58</v>
      </c>
      <c r="O278" s="127">
        <v>63.67</v>
      </c>
      <c r="P278" s="127">
        <v>63.545000000000002</v>
      </c>
      <c r="Q278" s="79">
        <v>14.84</v>
      </c>
      <c r="R278" s="79">
        <v>3.4</v>
      </c>
      <c r="S278" s="127">
        <f t="shared" si="226"/>
        <v>2.4693227091633458</v>
      </c>
      <c r="T278" s="127">
        <f t="shared" si="227"/>
        <v>2.4621616733067722</v>
      </c>
      <c r="U278" s="79">
        <f t="shared" si="228"/>
        <v>2.1179170065515507</v>
      </c>
      <c r="V278" s="127">
        <f t="shared" si="229"/>
        <v>12.770442461398986</v>
      </c>
      <c r="W278" s="127">
        <f t="shared" si="230"/>
        <v>83.415476691952179</v>
      </c>
      <c r="X278" s="132">
        <f>AVERAGE(S278:S282)</f>
        <v>2.482179986700622</v>
      </c>
      <c r="Y278" s="132">
        <f t="shared" ref="Y278" si="243">AVERAGE(T278:T282)</f>
        <v>2.47498166473919</v>
      </c>
      <c r="Z278" s="133">
        <f t="shared" ref="Z278" si="244">AVERAGE(U278:U282)</f>
        <v>1.6082642575190587</v>
      </c>
      <c r="AA278" s="132">
        <f t="shared" ref="AA278" si="245">AVERAGE(V278:V282)</f>
        <v>12.316255316654514</v>
      </c>
      <c r="AB278" s="132">
        <f t="shared" ref="AB278" si="246">AVERAGE(W278:W282)</f>
        <v>87.004740410044462</v>
      </c>
      <c r="AC278" s="235">
        <v>161</v>
      </c>
      <c r="AD278" s="235">
        <v>91</v>
      </c>
      <c r="AE278" s="235">
        <v>44</v>
      </c>
      <c r="AF278" s="235">
        <v>15</v>
      </c>
    </row>
    <row r="279" spans="1:32">
      <c r="A279" s="1" t="s">
        <v>103</v>
      </c>
      <c r="B279" s="276"/>
      <c r="C279" s="1" t="s">
        <v>306</v>
      </c>
      <c r="D279" s="1" t="s">
        <v>308</v>
      </c>
      <c r="E279" s="127">
        <v>2.51543653139418</v>
      </c>
      <c r="F279" s="127">
        <v>2.6907751543448102</v>
      </c>
      <c r="G279" s="127">
        <v>4.9000000000000004</v>
      </c>
      <c r="H279" s="127">
        <v>4.6711153479504297</v>
      </c>
      <c r="I279" s="127">
        <v>1232.5999999999999</v>
      </c>
      <c r="J279" s="127">
        <v>738.6</v>
      </c>
      <c r="K279" s="127">
        <v>1233.9000000000001</v>
      </c>
      <c r="L279" s="127">
        <v>63.93</v>
      </c>
      <c r="M279" s="127">
        <v>63.36</v>
      </c>
      <c r="N279" s="127">
        <v>62.36</v>
      </c>
      <c r="O279" s="127">
        <v>62.38</v>
      </c>
      <c r="P279" s="127">
        <v>63.0075</v>
      </c>
      <c r="Q279" s="79">
        <v>16.7</v>
      </c>
      <c r="R279" s="79">
        <v>3.68</v>
      </c>
      <c r="S279" s="127">
        <f t="shared" si="226"/>
        <v>2.4885927720573386</v>
      </c>
      <c r="T279" s="127">
        <f t="shared" si="227"/>
        <v>2.4813758530183723</v>
      </c>
      <c r="U279" s="79">
        <f t="shared" si="228"/>
        <v>1.3540663002508557</v>
      </c>
      <c r="V279" s="127">
        <f t="shared" si="229"/>
        <v>12.089721770763333</v>
      </c>
      <c r="W279" s="127">
        <f t="shared" si="230"/>
        <v>88.799855563877372</v>
      </c>
      <c r="AC279" s="235">
        <v>161</v>
      </c>
      <c r="AD279" s="235">
        <v>91</v>
      </c>
      <c r="AE279" s="235">
        <v>44</v>
      </c>
      <c r="AF279" s="235">
        <v>15</v>
      </c>
    </row>
    <row r="280" spans="1:32">
      <c r="A280" s="1" t="s">
        <v>103</v>
      </c>
      <c r="B280" s="276"/>
      <c r="C280" s="1" t="s">
        <v>306</v>
      </c>
      <c r="D280" s="1" t="s">
        <v>309</v>
      </c>
      <c r="E280" s="127">
        <v>2.51543653139418</v>
      </c>
      <c r="F280" s="127">
        <v>2.6907751543448102</v>
      </c>
      <c r="G280" s="127">
        <v>4.9000000000000004</v>
      </c>
      <c r="H280" s="127">
        <v>4.6711153479504297</v>
      </c>
      <c r="I280" s="127">
        <v>1241.4000000000001</v>
      </c>
      <c r="J280" s="127">
        <v>744.8</v>
      </c>
      <c r="K280" s="127">
        <v>1242.5</v>
      </c>
      <c r="L280" s="127">
        <v>63.1</v>
      </c>
      <c r="M280" s="127">
        <v>63.07</v>
      </c>
      <c r="N280" s="127">
        <v>63.26</v>
      </c>
      <c r="O280" s="127">
        <v>62.87</v>
      </c>
      <c r="P280" s="127">
        <v>63.075000000000003</v>
      </c>
      <c r="Q280" s="79">
        <v>16.14</v>
      </c>
      <c r="R280" s="79">
        <v>3.42</v>
      </c>
      <c r="S280" s="127">
        <f t="shared" si="226"/>
        <v>2.4942736588306209</v>
      </c>
      <c r="T280" s="127">
        <f t="shared" si="227"/>
        <v>2.4870402652200121</v>
      </c>
      <c r="U280" s="79">
        <f t="shared" si="228"/>
        <v>1.1288802488063299</v>
      </c>
      <c r="V280" s="127">
        <f t="shared" si="229"/>
        <v>11.889042759542392</v>
      </c>
      <c r="W280" s="127">
        <f t="shared" si="230"/>
        <v>90.504868460496823</v>
      </c>
      <c r="AC280" s="235">
        <v>161</v>
      </c>
      <c r="AD280" s="235">
        <v>91</v>
      </c>
      <c r="AE280" s="235">
        <v>44</v>
      </c>
      <c r="AF280" s="235">
        <v>15</v>
      </c>
    </row>
    <row r="281" spans="1:32">
      <c r="A281" s="1" t="s">
        <v>103</v>
      </c>
      <c r="B281" s="276"/>
      <c r="C281" s="1" t="s">
        <v>306</v>
      </c>
      <c r="D281" s="1" t="s">
        <v>310</v>
      </c>
      <c r="E281" s="127">
        <v>2.51543653139418</v>
      </c>
      <c r="F281" s="127">
        <v>2.6907751543448102</v>
      </c>
      <c r="G281" s="127">
        <v>4.9000000000000004</v>
      </c>
      <c r="H281" s="127">
        <v>4.6711153479504297</v>
      </c>
      <c r="I281" s="127">
        <v>1216.3</v>
      </c>
      <c r="J281" s="127">
        <v>727.8</v>
      </c>
      <c r="K281" s="127">
        <v>1217.8</v>
      </c>
      <c r="L281" s="127">
        <v>63.31</v>
      </c>
      <c r="M281" s="127">
        <v>62.28</v>
      </c>
      <c r="N281" s="127">
        <v>62.25</v>
      </c>
      <c r="O281" s="127">
        <v>62.49</v>
      </c>
      <c r="P281" s="127">
        <v>62.582500000000003</v>
      </c>
      <c r="Q281" s="79">
        <v>13.35</v>
      </c>
      <c r="R281" s="79">
        <v>2.74</v>
      </c>
      <c r="S281" s="127">
        <f t="shared" si="226"/>
        <v>2.4822448979591836</v>
      </c>
      <c r="T281" s="127">
        <f t="shared" si="227"/>
        <v>2.4750463877551021</v>
      </c>
      <c r="U281" s="79">
        <f t="shared" si="228"/>
        <v>1.605691224365402</v>
      </c>
      <c r="V281" s="127">
        <f t="shared" si="229"/>
        <v>12.313962307181669</v>
      </c>
      <c r="W281" s="127">
        <f t="shared" si="230"/>
        <v>86.960401661868502</v>
      </c>
      <c r="AC281" s="235">
        <v>161</v>
      </c>
      <c r="AD281" s="235">
        <v>91</v>
      </c>
      <c r="AE281" s="235">
        <v>44</v>
      </c>
      <c r="AF281" s="235">
        <v>15</v>
      </c>
    </row>
    <row r="282" spans="1:32">
      <c r="A282" s="1" t="s">
        <v>103</v>
      </c>
      <c r="B282" s="276"/>
      <c r="C282" s="1" t="s">
        <v>306</v>
      </c>
      <c r="D282" s="1" t="s">
        <v>311</v>
      </c>
      <c r="E282" s="127">
        <v>2.51543653139418</v>
      </c>
      <c r="F282" s="127">
        <v>2.6907751543448102</v>
      </c>
      <c r="G282" s="127">
        <v>4.9000000000000004</v>
      </c>
      <c r="H282" s="127">
        <v>4.6711153479504297</v>
      </c>
      <c r="I282" s="127">
        <v>1241.7</v>
      </c>
      <c r="J282" s="127">
        <v>741.6</v>
      </c>
      <c r="K282" s="127">
        <v>1243</v>
      </c>
      <c r="L282" s="127">
        <v>62.13</v>
      </c>
      <c r="M282" s="127">
        <v>63.18</v>
      </c>
      <c r="N282" s="127">
        <v>63.48</v>
      </c>
      <c r="O282" s="127">
        <v>63.21</v>
      </c>
      <c r="P282" s="127">
        <v>63</v>
      </c>
      <c r="Q282" s="79">
        <v>15.12</v>
      </c>
      <c r="R282" s="79">
        <v>3.63</v>
      </c>
      <c r="S282" s="127">
        <f t="shared" si="226"/>
        <v>2.4764658954926211</v>
      </c>
      <c r="T282" s="127">
        <f t="shared" si="227"/>
        <v>2.4692841443956923</v>
      </c>
      <c r="U282" s="79">
        <f t="shared" si="228"/>
        <v>1.834766507621155</v>
      </c>
      <c r="V282" s="127">
        <f t="shared" si="229"/>
        <v>12.51810728438619</v>
      </c>
      <c r="W282" s="127">
        <f t="shared" si="230"/>
        <v>85.343099672027449</v>
      </c>
      <c r="AC282" s="235">
        <v>161</v>
      </c>
      <c r="AD282" s="235">
        <v>91</v>
      </c>
      <c r="AE282" s="235">
        <v>44</v>
      </c>
      <c r="AF282" s="235">
        <v>15</v>
      </c>
    </row>
    <row r="283" spans="1:32">
      <c r="A283" s="1" t="s">
        <v>103</v>
      </c>
      <c r="B283" s="276"/>
      <c r="C283" s="1" t="s">
        <v>312</v>
      </c>
      <c r="D283" s="1" t="s">
        <v>307</v>
      </c>
      <c r="E283" s="127">
        <v>2.5532744338590598</v>
      </c>
      <c r="F283" s="127">
        <v>2.6907751543448102</v>
      </c>
      <c r="G283" s="127">
        <v>4.9000000000000004</v>
      </c>
      <c r="H283" s="127">
        <v>4.6711153479504297</v>
      </c>
      <c r="I283" s="127">
        <v>1262.5999999999999</v>
      </c>
      <c r="J283" s="127">
        <v>756.4</v>
      </c>
      <c r="K283" s="127">
        <v>1263.0999999999999</v>
      </c>
      <c r="L283" s="127">
        <v>63.75</v>
      </c>
      <c r="M283" s="127">
        <v>63.56</v>
      </c>
      <c r="N283" s="127">
        <v>63.52</v>
      </c>
      <c r="O283" s="127">
        <v>63.71</v>
      </c>
      <c r="P283" s="127">
        <f>AVERAGE(L283:O283)</f>
        <v>63.635000000000005</v>
      </c>
      <c r="Q283" s="79">
        <v>14.82</v>
      </c>
      <c r="R283" s="79">
        <v>3.4</v>
      </c>
      <c r="S283" s="127">
        <f t="shared" si="226"/>
        <v>2.4918097493585951</v>
      </c>
      <c r="T283" s="127">
        <f t="shared" si="227"/>
        <v>2.4845835010854551</v>
      </c>
      <c r="U283" s="79">
        <f t="shared" si="228"/>
        <v>2.6903074680375894</v>
      </c>
      <c r="V283" s="127">
        <f t="shared" si="229"/>
        <v>11.97608109287259</v>
      </c>
      <c r="W283" s="127">
        <f t="shared" si="230"/>
        <v>77.53599489536947</v>
      </c>
      <c r="X283" s="132">
        <f>AVERAGE(S283:S287)</f>
        <v>2.4959838455910863</v>
      </c>
      <c r="Y283" s="132">
        <f t="shared" ref="Y283" si="247">AVERAGE(T283:T287)</f>
        <v>2.4887454924388721</v>
      </c>
      <c r="Z283" s="133">
        <f t="shared" ref="Z283" si="248">AVERAGE(U283:U287)</f>
        <v>2.5273014355396728</v>
      </c>
      <c r="AA283" s="132">
        <f t="shared" ref="AA283" si="249">AVERAGE(V283:V287)</f>
        <v>11.828629904685386</v>
      </c>
      <c r="AB283" s="132">
        <f t="shared" ref="AB283" si="250">AVERAGE(W283:W287)</f>
        <v>78.650501556833802</v>
      </c>
      <c r="AC283" s="235">
        <v>161</v>
      </c>
      <c r="AD283" s="235">
        <v>91</v>
      </c>
      <c r="AE283" s="235">
        <v>44</v>
      </c>
      <c r="AF283" s="235">
        <v>15</v>
      </c>
    </row>
    <row r="284" spans="1:32">
      <c r="A284" s="1" t="s">
        <v>103</v>
      </c>
      <c r="B284" s="276"/>
      <c r="C284" s="1" t="s">
        <v>312</v>
      </c>
      <c r="D284" s="1" t="s">
        <v>308</v>
      </c>
      <c r="E284" s="127">
        <v>2.5532744338590598</v>
      </c>
      <c r="F284" s="127">
        <v>2.6907751543448102</v>
      </c>
      <c r="G284" s="127">
        <v>4.9000000000000004</v>
      </c>
      <c r="H284" s="127">
        <v>4.6711153479504297</v>
      </c>
      <c r="I284" s="127">
        <v>1250.9000000000001</v>
      </c>
      <c r="J284" s="127">
        <v>749.8</v>
      </c>
      <c r="K284" s="127">
        <v>1252.2</v>
      </c>
      <c r="L284" s="127">
        <v>63.04</v>
      </c>
      <c r="M284" s="127">
        <v>63.17</v>
      </c>
      <c r="N284" s="127">
        <v>63.39</v>
      </c>
      <c r="O284" s="127">
        <v>63.19</v>
      </c>
      <c r="P284" s="127">
        <f>AVERAGE(L284:O284)</f>
        <v>63.197500000000005</v>
      </c>
      <c r="Q284" s="79">
        <v>15.31</v>
      </c>
      <c r="R284" s="79">
        <v>3.68</v>
      </c>
      <c r="S284" s="127">
        <f t="shared" si="226"/>
        <v>2.4898487261146496</v>
      </c>
      <c r="T284" s="127">
        <f t="shared" si="227"/>
        <v>2.4826281648089172</v>
      </c>
      <c r="U284" s="79">
        <f t="shared" si="228"/>
        <v>2.7668889843292965</v>
      </c>
      <c r="V284" s="127">
        <f t="shared" si="229"/>
        <v>12.045354820950934</v>
      </c>
      <c r="W284" s="127">
        <f t="shared" si="230"/>
        <v>77.029410710951041</v>
      </c>
      <c r="AC284" s="235">
        <v>161</v>
      </c>
      <c r="AD284" s="235">
        <v>91</v>
      </c>
      <c r="AE284" s="235">
        <v>44</v>
      </c>
      <c r="AF284" s="235">
        <v>15</v>
      </c>
    </row>
    <row r="285" spans="1:32">
      <c r="A285" s="1" t="s">
        <v>103</v>
      </c>
      <c r="B285" s="276"/>
      <c r="C285" s="1" t="s">
        <v>312</v>
      </c>
      <c r="D285" s="1" t="s">
        <v>309</v>
      </c>
      <c r="E285" s="127">
        <v>2.5532744338590598</v>
      </c>
      <c r="F285" s="127">
        <v>2.6907751543448102</v>
      </c>
      <c r="G285" s="127">
        <v>4.9000000000000004</v>
      </c>
      <c r="H285" s="127">
        <v>4.6711153479504297</v>
      </c>
      <c r="I285" s="127">
        <v>1240.4000000000001</v>
      </c>
      <c r="J285" s="127">
        <v>745.3</v>
      </c>
      <c r="K285" s="127">
        <v>1241.3</v>
      </c>
      <c r="L285" s="127">
        <v>62.29</v>
      </c>
      <c r="M285" s="127">
        <v>62.21</v>
      </c>
      <c r="N285" s="127">
        <v>62.39</v>
      </c>
      <c r="O285" s="127">
        <v>62.88</v>
      </c>
      <c r="P285" s="127">
        <f>AVERAGE(L285:O285)</f>
        <v>62.442499999999995</v>
      </c>
      <c r="Q285" s="79">
        <v>14.2</v>
      </c>
      <c r="R285" s="79">
        <v>3.42</v>
      </c>
      <c r="S285" s="127">
        <f t="shared" si="226"/>
        <v>2.5008064516129034</v>
      </c>
      <c r="T285" s="127">
        <f t="shared" si="227"/>
        <v>2.4935541129032259</v>
      </c>
      <c r="U285" s="79">
        <f t="shared" si="228"/>
        <v>2.3389699189354962</v>
      </c>
      <c r="V285" s="127">
        <f t="shared" si="229"/>
        <v>11.658269915727686</v>
      </c>
      <c r="W285" s="127">
        <f t="shared" si="230"/>
        <v>79.937246814125558</v>
      </c>
      <c r="AC285" s="235">
        <v>161</v>
      </c>
      <c r="AD285" s="235">
        <v>91</v>
      </c>
      <c r="AE285" s="235">
        <v>44</v>
      </c>
      <c r="AF285" s="235">
        <v>15</v>
      </c>
    </row>
    <row r="286" spans="1:32">
      <c r="A286" s="1" t="s">
        <v>103</v>
      </c>
      <c r="B286" s="276"/>
      <c r="C286" s="1" t="s">
        <v>312</v>
      </c>
      <c r="D286" s="1" t="s">
        <v>310</v>
      </c>
      <c r="E286" s="127">
        <v>2.5532744338590598</v>
      </c>
      <c r="F286" s="127">
        <v>2.6907751543448102</v>
      </c>
      <c r="G286" s="127">
        <v>4.9000000000000004</v>
      </c>
      <c r="H286" s="127">
        <v>4.6711153479504297</v>
      </c>
      <c r="I286" s="127">
        <v>1250</v>
      </c>
      <c r="J286" s="127">
        <v>750.8</v>
      </c>
      <c r="K286" s="127">
        <v>1250.5999999999999</v>
      </c>
      <c r="L286" s="127">
        <v>62.2</v>
      </c>
      <c r="M286" s="127">
        <v>62.37</v>
      </c>
      <c r="N286" s="127">
        <v>62.26</v>
      </c>
      <c r="O286" s="127">
        <v>62.09</v>
      </c>
      <c r="P286" s="127">
        <f>AVERAGE(L286:O286)</f>
        <v>62.23</v>
      </c>
      <c r="Q286" s="79">
        <v>14.59</v>
      </c>
      <c r="R286" s="79">
        <v>2.74</v>
      </c>
      <c r="S286" s="127">
        <f t="shared" si="226"/>
        <v>2.5010004001600641</v>
      </c>
      <c r="T286" s="127">
        <f t="shared" si="227"/>
        <v>2.4937474989995998</v>
      </c>
      <c r="U286" s="79">
        <f t="shared" si="228"/>
        <v>2.3313958762157028</v>
      </c>
      <c r="V286" s="127">
        <f t="shared" si="229"/>
        <v>11.651418625739822</v>
      </c>
      <c r="W286" s="127">
        <f t="shared" si="230"/>
        <v>79.990454801226676</v>
      </c>
      <c r="AC286" s="235">
        <v>161</v>
      </c>
      <c r="AD286" s="235">
        <v>91</v>
      </c>
      <c r="AE286" s="235">
        <v>44</v>
      </c>
      <c r="AF286" s="235">
        <v>15</v>
      </c>
    </row>
    <row r="287" spans="1:32">
      <c r="A287" s="1" t="s">
        <v>103</v>
      </c>
      <c r="B287" s="276"/>
      <c r="C287" s="1" t="s">
        <v>312</v>
      </c>
      <c r="D287" s="1" t="s">
        <v>311</v>
      </c>
      <c r="E287" s="127">
        <v>2.5532744338590598</v>
      </c>
      <c r="F287" s="127">
        <v>2.6907751543448102</v>
      </c>
      <c r="G287" s="127">
        <v>4.9000000000000004</v>
      </c>
      <c r="H287" s="127">
        <v>4.6711153479504297</v>
      </c>
      <c r="I287" s="127">
        <v>1232</v>
      </c>
      <c r="J287" s="127">
        <v>739.6</v>
      </c>
      <c r="K287" s="127">
        <v>1233.0999999999999</v>
      </c>
      <c r="L287" s="127">
        <v>62.26</v>
      </c>
      <c r="M287" s="127">
        <v>62.21</v>
      </c>
      <c r="N287" s="127">
        <v>61.99</v>
      </c>
      <c r="O287" s="127">
        <v>62.18</v>
      </c>
      <c r="P287" s="127">
        <f>AVERAGE(L287:O287)</f>
        <v>62.160000000000004</v>
      </c>
      <c r="Q287" s="79">
        <v>13.06</v>
      </c>
      <c r="R287" s="79">
        <v>3.63</v>
      </c>
      <c r="S287" s="127">
        <f t="shared" si="226"/>
        <v>2.4964539007092204</v>
      </c>
      <c r="T287" s="127">
        <f t="shared" si="227"/>
        <v>2.4892141843971638</v>
      </c>
      <c r="U287" s="79">
        <f t="shared" si="228"/>
        <v>2.5089449301802791</v>
      </c>
      <c r="V287" s="127">
        <f t="shared" si="229"/>
        <v>11.812025068135895</v>
      </c>
      <c r="W287" s="127">
        <f t="shared" si="230"/>
        <v>78.759400562496211</v>
      </c>
      <c r="AC287" s="235">
        <v>161</v>
      </c>
      <c r="AD287" s="235">
        <v>91</v>
      </c>
      <c r="AE287" s="235">
        <v>44</v>
      </c>
      <c r="AF287" s="235">
        <v>15</v>
      </c>
    </row>
    <row r="288" spans="1:32">
      <c r="A288" s="1" t="s">
        <v>103</v>
      </c>
      <c r="B288" s="276"/>
      <c r="C288" s="1" t="s">
        <v>313</v>
      </c>
      <c r="D288" s="1" t="s">
        <v>307</v>
      </c>
      <c r="E288" s="127">
        <v>2.5193978989982302</v>
      </c>
      <c r="F288" s="127">
        <v>2.6907751543448102</v>
      </c>
      <c r="G288" s="127">
        <v>4.8</v>
      </c>
      <c r="H288" s="127">
        <v>4.5801526717557302</v>
      </c>
      <c r="I288" s="127">
        <v>1262.5999999999999</v>
      </c>
      <c r="J288" s="127">
        <v>756.4</v>
      </c>
      <c r="K288" s="127">
        <v>1263.0999999999999</v>
      </c>
      <c r="L288" s="127">
        <v>63.75</v>
      </c>
      <c r="M288" s="127">
        <v>63.56</v>
      </c>
      <c r="N288" s="127">
        <v>63.52</v>
      </c>
      <c r="O288" s="127">
        <v>63.71</v>
      </c>
      <c r="P288" s="127">
        <v>63.634999999999998</v>
      </c>
      <c r="Q288" s="79">
        <v>14.84</v>
      </c>
      <c r="R288" s="79">
        <v>3.4</v>
      </c>
      <c r="S288" s="127">
        <f t="shared" si="226"/>
        <v>2.4918097493585951</v>
      </c>
      <c r="T288" s="127">
        <f t="shared" si="227"/>
        <v>2.4845835010854551</v>
      </c>
      <c r="U288" s="79">
        <f t="shared" si="228"/>
        <v>1.3818538916229972</v>
      </c>
      <c r="V288" s="127">
        <f t="shared" si="229"/>
        <v>11.892088803839059</v>
      </c>
      <c r="W288" s="127">
        <f t="shared" si="230"/>
        <v>88.380057411134516</v>
      </c>
      <c r="X288" s="132">
        <f>AVERAGE(S288:S292)</f>
        <v>2.4959838455910863</v>
      </c>
      <c r="Y288" s="132">
        <f t="shared" ref="Y288" si="251">AVERAGE(T288:T292)</f>
        <v>2.4887454924388721</v>
      </c>
      <c r="Z288" s="133">
        <f t="shared" ref="Z288" si="252">AVERAGE(U288:U292)</f>
        <v>1.2166560340288424</v>
      </c>
      <c r="AA288" s="132">
        <f t="shared" ref="AA288" si="253">AVERAGE(V288:V292)</f>
        <v>11.744496917953214</v>
      </c>
      <c r="AB288" s="132">
        <f t="shared" ref="AB288" si="254">AVERAGE(W288:W292)</f>
        <v>89.659693050525533</v>
      </c>
      <c r="AC288" s="235">
        <v>161</v>
      </c>
      <c r="AD288" s="235">
        <v>91</v>
      </c>
      <c r="AE288" s="235">
        <v>44</v>
      </c>
      <c r="AF288" s="235">
        <v>15</v>
      </c>
    </row>
    <row r="289" spans="1:32">
      <c r="A289" s="1" t="s">
        <v>103</v>
      </c>
      <c r="B289" s="276"/>
      <c r="C289" s="1" t="s">
        <v>313</v>
      </c>
      <c r="D289" s="1" t="s">
        <v>308</v>
      </c>
      <c r="E289" s="127">
        <v>2.5193978989982302</v>
      </c>
      <c r="F289" s="127">
        <v>2.6907751543448102</v>
      </c>
      <c r="G289" s="127">
        <v>4.8</v>
      </c>
      <c r="H289" s="127">
        <v>4.5801526717557302</v>
      </c>
      <c r="I289" s="127">
        <v>1250.9000000000001</v>
      </c>
      <c r="J289" s="127">
        <v>749.8</v>
      </c>
      <c r="K289" s="127">
        <v>1252.2</v>
      </c>
      <c r="L289" s="127">
        <v>63.04</v>
      </c>
      <c r="M289" s="127">
        <v>63.17</v>
      </c>
      <c r="N289" s="127">
        <v>63.39</v>
      </c>
      <c r="O289" s="127">
        <v>63.19</v>
      </c>
      <c r="P289" s="127">
        <v>63.197499999999998</v>
      </c>
      <c r="Q289" s="79">
        <v>16.7</v>
      </c>
      <c r="R289" s="79">
        <v>3.68</v>
      </c>
      <c r="S289" s="127">
        <f t="shared" si="226"/>
        <v>2.4898487261146496</v>
      </c>
      <c r="T289" s="127">
        <f t="shared" si="227"/>
        <v>2.4826281648089172</v>
      </c>
      <c r="U289" s="79">
        <f t="shared" si="228"/>
        <v>1.4594651445860696</v>
      </c>
      <c r="V289" s="127">
        <f t="shared" si="229"/>
        <v>11.961428632802978</v>
      </c>
      <c r="W289" s="127">
        <f t="shared" si="230"/>
        <v>87.798571647339543</v>
      </c>
      <c r="AC289" s="235">
        <v>161</v>
      </c>
      <c r="AD289" s="235">
        <v>91</v>
      </c>
      <c r="AE289" s="235">
        <v>44</v>
      </c>
      <c r="AF289" s="235">
        <v>15</v>
      </c>
    </row>
    <row r="290" spans="1:32">
      <c r="A290" s="1" t="s">
        <v>103</v>
      </c>
      <c r="B290" s="276"/>
      <c r="C290" s="1" t="s">
        <v>313</v>
      </c>
      <c r="D290" s="1" t="s">
        <v>309</v>
      </c>
      <c r="E290" s="127">
        <v>2.5193978989982302</v>
      </c>
      <c r="F290" s="127">
        <v>2.6907751543448102</v>
      </c>
      <c r="G290" s="127">
        <v>4.8</v>
      </c>
      <c r="H290" s="127">
        <v>4.5801526717557302</v>
      </c>
      <c r="I290" s="127">
        <v>1240.4000000000001</v>
      </c>
      <c r="J290" s="127">
        <v>745.3</v>
      </c>
      <c r="K290" s="127">
        <v>1241.3</v>
      </c>
      <c r="L290" s="127">
        <v>62.29</v>
      </c>
      <c r="M290" s="127">
        <v>62.21</v>
      </c>
      <c r="N290" s="127">
        <v>62.39</v>
      </c>
      <c r="O290" s="127">
        <v>62.88</v>
      </c>
      <c r="P290" s="127">
        <v>62.442500000000003</v>
      </c>
      <c r="Q290" s="79">
        <v>16.14</v>
      </c>
      <c r="R290" s="79">
        <v>3.42</v>
      </c>
      <c r="S290" s="127">
        <f t="shared" si="226"/>
        <v>2.5008064516129034</v>
      </c>
      <c r="T290" s="127">
        <f t="shared" si="227"/>
        <v>2.4935541129032259</v>
      </c>
      <c r="U290" s="79">
        <f t="shared" si="228"/>
        <v>1.0257921587249252</v>
      </c>
      <c r="V290" s="127">
        <f t="shared" si="229"/>
        <v>11.573974371754147</v>
      </c>
      <c r="W290" s="127">
        <f t="shared" si="230"/>
        <v>91.137079400933075</v>
      </c>
      <c r="AC290" s="235">
        <v>161</v>
      </c>
      <c r="AD290" s="235">
        <v>91</v>
      </c>
      <c r="AE290" s="235">
        <v>44</v>
      </c>
      <c r="AF290" s="235">
        <v>15</v>
      </c>
    </row>
    <row r="291" spans="1:32">
      <c r="A291" s="1" t="s">
        <v>103</v>
      </c>
      <c r="B291" s="276"/>
      <c r="C291" s="1" t="s">
        <v>313</v>
      </c>
      <c r="D291" s="1" t="s">
        <v>310</v>
      </c>
      <c r="E291" s="127">
        <v>2.5193978989982302</v>
      </c>
      <c r="F291" s="127">
        <v>2.6907751543448102</v>
      </c>
      <c r="G291" s="127">
        <v>4.8</v>
      </c>
      <c r="H291" s="127">
        <v>4.5801526717557302</v>
      </c>
      <c r="I291" s="127">
        <v>1250</v>
      </c>
      <c r="J291" s="127">
        <v>750.8</v>
      </c>
      <c r="K291" s="127">
        <v>1250.5999999999999</v>
      </c>
      <c r="L291" s="127">
        <v>62.2</v>
      </c>
      <c r="M291" s="127">
        <v>62.37</v>
      </c>
      <c r="N291" s="127">
        <v>62.26</v>
      </c>
      <c r="O291" s="127">
        <v>62.09</v>
      </c>
      <c r="P291" s="127">
        <v>62.23</v>
      </c>
      <c r="Q291" s="79">
        <v>13.35</v>
      </c>
      <c r="R291" s="79">
        <v>2.74</v>
      </c>
      <c r="S291" s="127">
        <f t="shared" si="226"/>
        <v>2.5010004001600641</v>
      </c>
      <c r="T291" s="127">
        <f t="shared" si="227"/>
        <v>2.4937474989995998</v>
      </c>
      <c r="U291" s="79">
        <f t="shared" si="228"/>
        <v>1.0181162732901261</v>
      </c>
      <c r="V291" s="127">
        <f t="shared" si="229"/>
        <v>11.567116544275834</v>
      </c>
      <c r="W291" s="127">
        <f t="shared" si="230"/>
        <v>91.198184358279363</v>
      </c>
      <c r="AC291" s="235">
        <v>161</v>
      </c>
      <c r="AD291" s="235">
        <v>91</v>
      </c>
      <c r="AE291" s="235">
        <v>44</v>
      </c>
      <c r="AF291" s="235">
        <v>15</v>
      </c>
    </row>
    <row r="292" spans="1:32">
      <c r="A292" s="1" t="s">
        <v>103</v>
      </c>
      <c r="B292" s="276"/>
      <c r="C292" s="1" t="s">
        <v>313</v>
      </c>
      <c r="D292" s="1" t="s">
        <v>311</v>
      </c>
      <c r="E292" s="127">
        <v>2.5193978989982302</v>
      </c>
      <c r="F292" s="127">
        <v>2.6907751543448102</v>
      </c>
      <c r="G292" s="127">
        <v>4.8</v>
      </c>
      <c r="H292" s="127">
        <v>4.5801526717557302</v>
      </c>
      <c r="I292" s="127">
        <v>1232</v>
      </c>
      <c r="J292" s="127">
        <v>739.6</v>
      </c>
      <c r="K292" s="127">
        <v>1233.0999999999999</v>
      </c>
      <c r="L292" s="127">
        <v>62.26</v>
      </c>
      <c r="M292" s="127">
        <v>62.21</v>
      </c>
      <c r="N292" s="127">
        <v>61.99</v>
      </c>
      <c r="O292" s="127">
        <v>62.18</v>
      </c>
      <c r="P292" s="127">
        <v>62.16</v>
      </c>
      <c r="Q292" s="79">
        <v>15.12</v>
      </c>
      <c r="R292" s="79">
        <v>3.63</v>
      </c>
      <c r="S292" s="127">
        <f t="shared" si="226"/>
        <v>2.4964539007092204</v>
      </c>
      <c r="T292" s="127">
        <f t="shared" si="227"/>
        <v>2.4892141843971638</v>
      </c>
      <c r="U292" s="79">
        <f t="shared" si="228"/>
        <v>1.1980527019200937</v>
      </c>
      <c r="V292" s="127">
        <f t="shared" si="229"/>
        <v>11.727876237094051</v>
      </c>
      <c r="W292" s="127">
        <f t="shared" si="230"/>
        <v>89.78457243494114</v>
      </c>
      <c r="AC292" s="235">
        <v>161</v>
      </c>
      <c r="AD292" s="235">
        <v>91</v>
      </c>
      <c r="AE292" s="235">
        <v>44</v>
      </c>
      <c r="AF292" s="235">
        <v>15</v>
      </c>
    </row>
    <row r="293" spans="1:32">
      <c r="A293" s="1" t="s">
        <v>103</v>
      </c>
      <c r="B293" s="276"/>
      <c r="C293" s="1" t="s">
        <v>325</v>
      </c>
      <c r="D293" s="1" t="s">
        <v>307</v>
      </c>
      <c r="E293" s="127">
        <v>2.5331800201363901</v>
      </c>
      <c r="F293" s="127">
        <v>2.6907751543448102</v>
      </c>
      <c r="G293" s="127">
        <v>4.8</v>
      </c>
      <c r="H293" s="127">
        <v>4.5801526717557302</v>
      </c>
      <c r="I293" s="127">
        <v>1247.9000000000001</v>
      </c>
      <c r="J293" s="127">
        <v>740.6</v>
      </c>
      <c r="K293" s="127">
        <v>1248.5999999999999</v>
      </c>
      <c r="L293" s="127">
        <v>63.27</v>
      </c>
      <c r="M293" s="127">
        <v>63.31</v>
      </c>
      <c r="N293" s="127">
        <v>63.41</v>
      </c>
      <c r="O293" s="127">
        <v>63.5</v>
      </c>
      <c r="P293" s="127">
        <v>63.372500000000002</v>
      </c>
      <c r="Q293" s="79">
        <v>11.94</v>
      </c>
      <c r="R293" s="79">
        <v>2.69</v>
      </c>
      <c r="S293" s="127">
        <f t="shared" si="226"/>
        <v>2.4564960629921266</v>
      </c>
      <c r="T293" s="127">
        <f t="shared" si="227"/>
        <v>2.4493722244094496</v>
      </c>
      <c r="U293" s="79">
        <f t="shared" si="228"/>
        <v>3.3084026820339507</v>
      </c>
      <c r="V293" s="127">
        <f t="shared" si="229"/>
        <v>13.140745585596477</v>
      </c>
      <c r="W293" s="127">
        <f t="shared" si="230"/>
        <v>74.823325963632698</v>
      </c>
      <c r="X293" s="132">
        <f>AVERAGE(S293:S297)</f>
        <v>2.4588422224579012</v>
      </c>
      <c r="Y293" s="132">
        <f t="shared" ref="Y293" si="255">AVERAGE(T293:T297)</f>
        <v>2.4517115800127733</v>
      </c>
      <c r="Z293" s="133">
        <f t="shared" ref="Z293" si="256">AVERAGE(U293:U297)</f>
        <v>3.2160541089073531</v>
      </c>
      <c r="AA293" s="132">
        <f t="shared" ref="AA293" si="257">AVERAGE(V293:V297)</f>
        <v>13.057787723377782</v>
      </c>
      <c r="AB293" s="132">
        <f t="shared" ref="AB293" si="258">AVERAGE(W293:W297)</f>
        <v>75.375710086980305</v>
      </c>
      <c r="AC293" s="235">
        <v>161</v>
      </c>
      <c r="AD293" s="235">
        <v>91</v>
      </c>
      <c r="AE293" s="235">
        <v>44</v>
      </c>
      <c r="AF293" s="235">
        <v>15</v>
      </c>
    </row>
    <row r="294" spans="1:32">
      <c r="A294" s="1" t="s">
        <v>103</v>
      </c>
      <c r="B294" s="276"/>
      <c r="C294" s="1" t="s">
        <v>325</v>
      </c>
      <c r="D294" s="1" t="s">
        <v>308</v>
      </c>
      <c r="E294" s="127">
        <v>2.5331800201363901</v>
      </c>
      <c r="F294" s="127">
        <v>2.6907751543448102</v>
      </c>
      <c r="G294" s="127">
        <v>4.8</v>
      </c>
      <c r="H294" s="127">
        <v>4.5801526717557302</v>
      </c>
      <c r="I294" s="127">
        <v>1246.5999999999999</v>
      </c>
      <c r="J294" s="127">
        <v>740.5</v>
      </c>
      <c r="K294" s="127">
        <v>1248.0999999999999</v>
      </c>
      <c r="L294" s="127">
        <v>63.21</v>
      </c>
      <c r="M294" s="127">
        <v>63.22</v>
      </c>
      <c r="N294" s="127">
        <v>63.09</v>
      </c>
      <c r="O294" s="127">
        <v>63.14</v>
      </c>
      <c r="P294" s="127">
        <v>63.164999999999999</v>
      </c>
      <c r="Q294" s="79">
        <v>13.23</v>
      </c>
      <c r="R294" s="79">
        <v>2.06</v>
      </c>
      <c r="S294" s="127">
        <f t="shared" si="226"/>
        <v>2.4558707643814031</v>
      </c>
      <c r="T294" s="127">
        <f t="shared" si="227"/>
        <v>2.4487487391646972</v>
      </c>
      <c r="U294" s="79">
        <f t="shared" si="228"/>
        <v>3.3330154312186222</v>
      </c>
      <c r="V294" s="127">
        <f t="shared" si="229"/>
        <v>13.162855521749876</v>
      </c>
      <c r="W294" s="127">
        <f t="shared" si="230"/>
        <v>74.67862937710396</v>
      </c>
      <c r="AC294" s="235">
        <v>161</v>
      </c>
      <c r="AD294" s="235">
        <v>91</v>
      </c>
      <c r="AE294" s="235">
        <v>44</v>
      </c>
      <c r="AF294" s="235">
        <v>15</v>
      </c>
    </row>
    <row r="295" spans="1:32">
      <c r="A295" s="1" t="s">
        <v>103</v>
      </c>
      <c r="B295" s="276"/>
      <c r="C295" s="1" t="s">
        <v>325</v>
      </c>
      <c r="D295" s="1" t="s">
        <v>309</v>
      </c>
      <c r="E295" s="127">
        <v>2.5331800201363901</v>
      </c>
      <c r="F295" s="127">
        <v>2.6907751543448102</v>
      </c>
      <c r="G295" s="127">
        <v>4.8</v>
      </c>
      <c r="H295" s="127">
        <v>4.5801526717557302</v>
      </c>
      <c r="I295" s="127">
        <v>1241.7</v>
      </c>
      <c r="J295" s="127">
        <v>738.8</v>
      </c>
      <c r="K295" s="127">
        <v>1242.8</v>
      </c>
      <c r="L295" s="127">
        <v>62.26</v>
      </c>
      <c r="M295" s="127">
        <v>62.2</v>
      </c>
      <c r="N295" s="127">
        <v>62.38</v>
      </c>
      <c r="O295" s="127">
        <v>62.45</v>
      </c>
      <c r="P295" s="127">
        <v>62.322499999999998</v>
      </c>
      <c r="Q295" s="79">
        <v>14.12</v>
      </c>
      <c r="R295" s="79">
        <v>2.59</v>
      </c>
      <c r="S295" s="127">
        <f t="shared" si="226"/>
        <v>2.4636904761904761</v>
      </c>
      <c r="T295" s="127">
        <f t="shared" si="227"/>
        <v>2.4565457738095238</v>
      </c>
      <c r="U295" s="79">
        <f t="shared" si="228"/>
        <v>3.0252191205400458</v>
      </c>
      <c r="V295" s="127">
        <f t="shared" si="229"/>
        <v>12.886358299668331</v>
      </c>
      <c r="W295" s="127">
        <f t="shared" si="230"/>
        <v>76.523863063640647</v>
      </c>
      <c r="AC295" s="235">
        <v>161</v>
      </c>
      <c r="AD295" s="235">
        <v>91</v>
      </c>
      <c r="AE295" s="235">
        <v>44</v>
      </c>
      <c r="AF295" s="235">
        <v>15</v>
      </c>
    </row>
    <row r="296" spans="1:32">
      <c r="A296" s="1" t="s">
        <v>103</v>
      </c>
      <c r="B296" s="276"/>
      <c r="C296" s="1" t="s">
        <v>325</v>
      </c>
      <c r="D296" s="1" t="s">
        <v>310</v>
      </c>
      <c r="E296" s="127">
        <v>2.5331800201363901</v>
      </c>
      <c r="F296" s="127">
        <v>2.6907751543448102</v>
      </c>
      <c r="G296" s="127">
        <v>4.8</v>
      </c>
      <c r="H296" s="127">
        <v>4.5801526717557302</v>
      </c>
      <c r="I296" s="127">
        <v>1241.5999999999999</v>
      </c>
      <c r="J296" s="127">
        <v>738.4</v>
      </c>
      <c r="K296" s="127">
        <v>1243.0999999999999</v>
      </c>
      <c r="L296" s="127">
        <v>62.66</v>
      </c>
      <c r="M296" s="127">
        <v>62.68</v>
      </c>
      <c r="N296" s="127">
        <v>62.53</v>
      </c>
      <c r="O296" s="127">
        <v>62.55</v>
      </c>
      <c r="P296" s="127">
        <v>62.604999999999997</v>
      </c>
      <c r="Q296" s="79">
        <v>13.12</v>
      </c>
      <c r="R296" s="79">
        <v>2.2799999999999998</v>
      </c>
      <c r="S296" s="127">
        <f t="shared" si="226"/>
        <v>2.4600752922528235</v>
      </c>
      <c r="T296" s="127">
        <f t="shared" si="227"/>
        <v>2.4529410739052904</v>
      </c>
      <c r="U296" s="79">
        <f t="shared" si="228"/>
        <v>3.1675185179606546</v>
      </c>
      <c r="V296" s="127">
        <f t="shared" si="229"/>
        <v>13.014187603417724</v>
      </c>
      <c r="W296" s="127">
        <f t="shared" si="230"/>
        <v>75.661035367825676</v>
      </c>
      <c r="AC296" s="235">
        <v>161</v>
      </c>
      <c r="AD296" s="235">
        <v>91</v>
      </c>
      <c r="AE296" s="235">
        <v>44</v>
      </c>
      <c r="AF296" s="235">
        <v>15</v>
      </c>
    </row>
    <row r="297" spans="1:32">
      <c r="A297" s="1" t="s">
        <v>103</v>
      </c>
      <c r="B297" s="276"/>
      <c r="C297" s="1" t="s">
        <v>325</v>
      </c>
      <c r="D297" s="1" t="s">
        <v>311</v>
      </c>
      <c r="E297" s="127">
        <v>2.5331800201363901</v>
      </c>
      <c r="F297" s="127">
        <v>2.6907751543448102</v>
      </c>
      <c r="G297" s="127">
        <v>4.8</v>
      </c>
      <c r="H297" s="127">
        <v>4.5801526717557302</v>
      </c>
      <c r="I297" s="127">
        <v>1246</v>
      </c>
      <c r="J297" s="127">
        <v>740.7</v>
      </c>
      <c r="K297" s="127">
        <v>1247.5999999999999</v>
      </c>
      <c r="L297" s="127">
        <v>63.23</v>
      </c>
      <c r="M297" s="127">
        <v>63.1</v>
      </c>
      <c r="N297" s="127">
        <v>63.17</v>
      </c>
      <c r="O297" s="127">
        <v>63.23</v>
      </c>
      <c r="P297" s="127">
        <v>63.182499999999997</v>
      </c>
      <c r="Q297" s="79">
        <v>12.18</v>
      </c>
      <c r="R297" s="79">
        <v>2.35</v>
      </c>
      <c r="S297" s="127">
        <f t="shared" si="226"/>
        <v>2.4580785164726775</v>
      </c>
      <c r="T297" s="127">
        <f t="shared" si="227"/>
        <v>2.4509500887749067</v>
      </c>
      <c r="U297" s="79">
        <f t="shared" si="228"/>
        <v>3.2461147927834944</v>
      </c>
      <c r="V297" s="127">
        <f t="shared" si="229"/>
        <v>13.084791606456506</v>
      </c>
      <c r="W297" s="127">
        <f t="shared" si="230"/>
        <v>75.191696662698504</v>
      </c>
      <c r="AC297" s="235">
        <v>161</v>
      </c>
      <c r="AD297" s="235">
        <v>91</v>
      </c>
      <c r="AE297" s="235">
        <v>44</v>
      </c>
      <c r="AF297" s="235">
        <v>15</v>
      </c>
    </row>
    <row r="298" spans="1:32">
      <c r="A298" s="1" t="s">
        <v>104</v>
      </c>
      <c r="B298" s="280" t="s">
        <v>197</v>
      </c>
      <c r="C298" s="1" t="s">
        <v>324</v>
      </c>
      <c r="D298" s="1" t="s">
        <v>307</v>
      </c>
      <c r="E298" s="127">
        <v>2.5267696935283399</v>
      </c>
      <c r="F298" s="127">
        <v>2.6719345077841901</v>
      </c>
      <c r="G298" s="127">
        <v>4.5999999999999996</v>
      </c>
      <c r="H298" s="127">
        <v>4.3977055449330802</v>
      </c>
      <c r="I298" s="127">
        <v>1215.0999999999999</v>
      </c>
      <c r="J298" s="127">
        <v>718.8</v>
      </c>
      <c r="K298" s="127">
        <v>1217.2</v>
      </c>
      <c r="L298" s="127">
        <v>63.99</v>
      </c>
      <c r="M298" s="127">
        <v>63.86</v>
      </c>
      <c r="N298" s="127">
        <v>64.03</v>
      </c>
      <c r="O298" s="127">
        <v>63.92</v>
      </c>
      <c r="P298" s="127">
        <v>63.95</v>
      </c>
      <c r="Q298" s="79">
        <v>15.62</v>
      </c>
      <c r="R298" s="79">
        <v>1.1200000000000001</v>
      </c>
      <c r="S298" s="127">
        <f t="shared" si="226"/>
        <v>2.4380016051364359</v>
      </c>
      <c r="T298" s="127">
        <f t="shared" si="227"/>
        <v>2.4309314004815401</v>
      </c>
      <c r="U298" s="79">
        <f t="shared" si="228"/>
        <v>3.792917624913128</v>
      </c>
      <c r="V298" s="127">
        <f t="shared" si="229"/>
        <v>13.02083981780163</v>
      </c>
      <c r="W298" s="127">
        <f t="shared" si="230"/>
        <v>70.870407147413133</v>
      </c>
      <c r="X298" s="132">
        <f>AVERAGE(S298:S302)</f>
        <v>2.4460616793104135</v>
      </c>
      <c r="Y298" s="132">
        <f t="shared" ref="Y298" si="259">AVERAGE(T298:T302)</f>
        <v>2.4389681004404133</v>
      </c>
      <c r="Z298" s="133">
        <f t="shared" ref="Z298" si="260">AVERAGE(U298:U302)</f>
        <v>3.4748553978942964</v>
      </c>
      <c r="AA298" s="132">
        <f t="shared" ref="AA298" si="261">AVERAGE(V298:V302)</f>
        <v>12.733285256237028</v>
      </c>
      <c r="AB298" s="132">
        <f t="shared" ref="AB298" si="262">AVERAGE(W298:W302)</f>
        <v>72.809013838584974</v>
      </c>
      <c r="AC298" s="235">
        <v>161</v>
      </c>
      <c r="AD298" s="235">
        <v>91</v>
      </c>
      <c r="AE298" s="235">
        <v>44</v>
      </c>
      <c r="AF298" s="235">
        <v>15</v>
      </c>
    </row>
    <row r="299" spans="1:32">
      <c r="A299" s="1" t="s">
        <v>104</v>
      </c>
      <c r="B299" s="276"/>
      <c r="C299" s="1" t="s">
        <v>324</v>
      </c>
      <c r="D299" s="1" t="s">
        <v>308</v>
      </c>
      <c r="E299" s="127">
        <v>2.5267696935283399</v>
      </c>
      <c r="F299" s="127">
        <v>2.6719345077841901</v>
      </c>
      <c r="G299" s="127">
        <v>4.5999999999999996</v>
      </c>
      <c r="H299" s="127">
        <v>4.3977055449330802</v>
      </c>
      <c r="I299" s="127">
        <v>1213.4000000000001</v>
      </c>
      <c r="J299" s="127">
        <v>718</v>
      </c>
      <c r="K299" s="127">
        <v>1216.0999999999999</v>
      </c>
      <c r="L299" s="127">
        <v>64.569999999999993</v>
      </c>
      <c r="M299" s="127">
        <v>64.58</v>
      </c>
      <c r="N299" s="127">
        <v>64.78</v>
      </c>
      <c r="O299" s="127">
        <v>64.62</v>
      </c>
      <c r="P299" s="127">
        <v>64.637500000000003</v>
      </c>
      <c r="Q299" s="79">
        <v>17</v>
      </c>
      <c r="R299" s="79">
        <v>2.4500000000000002</v>
      </c>
      <c r="S299" s="127">
        <f t="shared" si="226"/>
        <v>2.4360570166633213</v>
      </c>
      <c r="T299" s="127">
        <f t="shared" si="227"/>
        <v>2.4289924513149979</v>
      </c>
      <c r="U299" s="79">
        <f t="shared" si="228"/>
        <v>3.8696539088533877</v>
      </c>
      <c r="V299" s="127">
        <f t="shared" si="229"/>
        <v>13.090215765682515</v>
      </c>
      <c r="W299" s="127">
        <f t="shared" si="230"/>
        <v>70.438578109628082</v>
      </c>
      <c r="AC299" s="235">
        <v>161</v>
      </c>
      <c r="AD299" s="235">
        <v>91</v>
      </c>
      <c r="AE299" s="235">
        <v>44</v>
      </c>
      <c r="AF299" s="235">
        <v>15</v>
      </c>
    </row>
    <row r="300" spans="1:32">
      <c r="A300" s="1" t="s">
        <v>104</v>
      </c>
      <c r="B300" s="276"/>
      <c r="C300" s="1" t="s">
        <v>324</v>
      </c>
      <c r="D300" s="1" t="s">
        <v>309</v>
      </c>
      <c r="E300" s="127">
        <v>2.5267696935283399</v>
      </c>
      <c r="F300" s="127">
        <v>2.6719345077841901</v>
      </c>
      <c r="G300" s="127">
        <v>4.5999999999999996</v>
      </c>
      <c r="H300" s="127">
        <v>4.3977055449330802</v>
      </c>
      <c r="I300" s="127">
        <v>1213.3</v>
      </c>
      <c r="J300" s="127">
        <v>722.9</v>
      </c>
      <c r="K300" s="127">
        <v>1214.4000000000001</v>
      </c>
      <c r="L300" s="127">
        <v>62.98</v>
      </c>
      <c r="M300" s="127">
        <v>62.82</v>
      </c>
      <c r="N300" s="127">
        <v>63.1</v>
      </c>
      <c r="O300" s="127">
        <v>63.41</v>
      </c>
      <c r="P300" s="127">
        <v>63.077500000000001</v>
      </c>
      <c r="Q300" s="79">
        <v>18.940000000000001</v>
      </c>
      <c r="R300" s="79">
        <v>1.3</v>
      </c>
      <c r="S300" s="127">
        <f t="shared" si="226"/>
        <v>2.4685656154628681</v>
      </c>
      <c r="T300" s="127">
        <f t="shared" si="227"/>
        <v>2.461406775178026</v>
      </c>
      <c r="U300" s="79">
        <f t="shared" si="228"/>
        <v>2.5868174102975816</v>
      </c>
      <c r="V300" s="127">
        <f t="shared" si="229"/>
        <v>11.930425461883118</v>
      </c>
      <c r="W300" s="127">
        <f t="shared" si="230"/>
        <v>78.317475612564834</v>
      </c>
      <c r="AC300" s="235">
        <v>161</v>
      </c>
      <c r="AD300" s="235">
        <v>91</v>
      </c>
      <c r="AE300" s="235">
        <v>44</v>
      </c>
      <c r="AF300" s="235">
        <v>15</v>
      </c>
    </row>
    <row r="301" spans="1:32">
      <c r="A301" s="1" t="s">
        <v>104</v>
      </c>
      <c r="B301" s="276"/>
      <c r="C301" s="1" t="s">
        <v>324</v>
      </c>
      <c r="D301" s="1" t="s">
        <v>310</v>
      </c>
      <c r="E301" s="127">
        <v>2.5267696935283399</v>
      </c>
      <c r="F301" s="127">
        <v>2.6719345077841901</v>
      </c>
      <c r="G301" s="127">
        <v>4.5999999999999996</v>
      </c>
      <c r="H301" s="127">
        <v>4.3977055449330802</v>
      </c>
      <c r="I301" s="127">
        <v>1215.7</v>
      </c>
      <c r="J301" s="127">
        <v>719.6</v>
      </c>
      <c r="K301" s="127">
        <v>1218</v>
      </c>
      <c r="L301" s="127">
        <v>64.010000000000005</v>
      </c>
      <c r="M301" s="127">
        <v>63.67</v>
      </c>
      <c r="N301" s="127">
        <v>64.180000000000007</v>
      </c>
      <c r="O301" s="127">
        <v>63.58</v>
      </c>
      <c r="P301" s="127">
        <v>63.86</v>
      </c>
      <c r="Q301" s="79">
        <v>17.170000000000002</v>
      </c>
      <c r="R301" s="79">
        <v>2.11</v>
      </c>
      <c r="S301" s="127">
        <f t="shared" si="226"/>
        <v>2.4392054574638848</v>
      </c>
      <c r="T301" s="127">
        <f t="shared" si="227"/>
        <v>2.4321317616372395</v>
      </c>
      <c r="U301" s="79">
        <f t="shared" si="228"/>
        <v>3.7454118645435241</v>
      </c>
      <c r="V301" s="127">
        <f t="shared" si="229"/>
        <v>12.977890681015054</v>
      </c>
      <c r="W301" s="127">
        <f t="shared" si="230"/>
        <v>71.14005691215624</v>
      </c>
      <c r="AC301" s="235">
        <v>161</v>
      </c>
      <c r="AD301" s="235">
        <v>91</v>
      </c>
      <c r="AE301" s="235">
        <v>44</v>
      </c>
      <c r="AF301" s="235">
        <v>15</v>
      </c>
    </row>
    <row r="302" spans="1:32">
      <c r="A302" s="1" t="s">
        <v>104</v>
      </c>
      <c r="B302" s="276"/>
      <c r="C302" s="1" t="s">
        <v>324</v>
      </c>
      <c r="D302" s="1" t="s">
        <v>311</v>
      </c>
      <c r="E302" s="127">
        <v>2.5267696935283399</v>
      </c>
      <c r="F302" s="127">
        <v>2.6719345077841901</v>
      </c>
      <c r="G302" s="127">
        <v>4.5999999999999996</v>
      </c>
      <c r="H302" s="127">
        <v>4.3977055449330802</v>
      </c>
      <c r="I302" s="127">
        <v>1207.0999999999999</v>
      </c>
      <c r="J302" s="127">
        <v>715.4</v>
      </c>
      <c r="K302" s="127">
        <v>1208.4000000000001</v>
      </c>
      <c r="L302" s="127">
        <v>63.24</v>
      </c>
      <c r="M302" s="127">
        <v>63.45</v>
      </c>
      <c r="N302" s="127">
        <v>63.14</v>
      </c>
      <c r="O302" s="127">
        <v>63.2</v>
      </c>
      <c r="P302" s="127">
        <v>63.2575</v>
      </c>
      <c r="Q302" s="79">
        <v>18.649999999999999</v>
      </c>
      <c r="R302" s="79">
        <v>1.18</v>
      </c>
      <c r="S302" s="127">
        <f t="shared" si="226"/>
        <v>2.4484787018255569</v>
      </c>
      <c r="T302" s="127">
        <f t="shared" si="227"/>
        <v>2.4413781135902628</v>
      </c>
      <c r="U302" s="79">
        <f t="shared" si="228"/>
        <v>3.3794761808638607</v>
      </c>
      <c r="V302" s="127">
        <f t="shared" si="229"/>
        <v>12.647054554802821</v>
      </c>
      <c r="W302" s="127">
        <f t="shared" si="230"/>
        <v>73.278551411162553</v>
      </c>
      <c r="AC302" s="235">
        <v>161</v>
      </c>
      <c r="AD302" s="235">
        <v>91</v>
      </c>
      <c r="AE302" s="235">
        <v>44</v>
      </c>
      <c r="AF302" s="235">
        <v>15</v>
      </c>
    </row>
    <row r="303" spans="1:32">
      <c r="A303" s="1" t="s">
        <v>109</v>
      </c>
      <c r="B303" s="280" t="s">
        <v>254</v>
      </c>
      <c r="C303" s="1" t="s">
        <v>306</v>
      </c>
      <c r="D303" s="1" t="s">
        <v>307</v>
      </c>
      <c r="E303" s="127">
        <v>2.5624234992556798</v>
      </c>
      <c r="F303" s="127">
        <v>2.6815609082754199</v>
      </c>
      <c r="G303" s="127">
        <v>4.8</v>
      </c>
      <c r="H303" s="127">
        <v>4.5801526717557302</v>
      </c>
      <c r="I303" s="127">
        <v>1196.7</v>
      </c>
      <c r="J303" s="127">
        <v>712.8</v>
      </c>
      <c r="K303" s="127">
        <v>1205.2</v>
      </c>
      <c r="L303" s="127">
        <v>64.63</v>
      </c>
      <c r="M303" s="127">
        <v>65.12</v>
      </c>
      <c r="N303" s="127">
        <v>65.400000000000006</v>
      </c>
      <c r="O303" s="127">
        <v>65.17</v>
      </c>
      <c r="P303" s="127">
        <v>65.08</v>
      </c>
      <c r="Q303" s="79">
        <v>17.52</v>
      </c>
      <c r="R303" s="79">
        <v>1.66</v>
      </c>
      <c r="S303" s="127">
        <f t="shared" si="226"/>
        <v>2.4303411860276194</v>
      </c>
      <c r="T303" s="127">
        <f t="shared" si="227"/>
        <v>2.4232931965881392</v>
      </c>
      <c r="U303" s="79">
        <f t="shared" si="228"/>
        <v>5.429637322166081</v>
      </c>
      <c r="V303" s="127">
        <f t="shared" si="229"/>
        <v>13.770272330407977</v>
      </c>
      <c r="W303" s="127">
        <f t="shared" si="230"/>
        <v>60.569862440729125</v>
      </c>
      <c r="X303" s="132">
        <f>AVERAGE(S303:S307)</f>
        <v>2.424677838938913</v>
      </c>
      <c r="Y303" s="132">
        <f t="shared" ref="Y303" si="263">AVERAGE(T303:T307)</f>
        <v>2.4176462732059898</v>
      </c>
      <c r="Z303" s="133">
        <f t="shared" ref="Z303" si="264">AVERAGE(U303:U307)</f>
        <v>5.5100477981616098</v>
      </c>
      <c r="AA303" s="132">
        <f t="shared" ref="AA303" si="265">AVERAGE(V303:V307)</f>
        <v>13.988272713223612</v>
      </c>
      <c r="AB303" s="132">
        <f t="shared" ref="AB303" si="266">AVERAGE(W303:W307)</f>
        <v>60.671306338909496</v>
      </c>
      <c r="AC303" s="235">
        <v>161</v>
      </c>
      <c r="AD303" s="235">
        <v>91</v>
      </c>
      <c r="AE303" s="235">
        <v>44</v>
      </c>
      <c r="AF303" s="235">
        <v>15</v>
      </c>
    </row>
    <row r="304" spans="1:32">
      <c r="A304" s="1" t="s">
        <v>109</v>
      </c>
      <c r="B304" s="276"/>
      <c r="C304" s="1" t="s">
        <v>306</v>
      </c>
      <c r="D304" s="1" t="s">
        <v>308</v>
      </c>
      <c r="E304" s="127">
        <v>2.5624234992556798</v>
      </c>
      <c r="F304" s="127">
        <v>2.6815609082754199</v>
      </c>
      <c r="G304" s="127">
        <v>4.8</v>
      </c>
      <c r="H304" s="127">
        <v>4.5801526717557302</v>
      </c>
      <c r="I304" s="127">
        <v>1215</v>
      </c>
      <c r="J304" s="127">
        <v>724</v>
      </c>
      <c r="K304" s="127">
        <v>1224.4000000000001</v>
      </c>
      <c r="L304" s="127">
        <v>64.709999999999994</v>
      </c>
      <c r="M304" s="127">
        <v>64.760000000000005</v>
      </c>
      <c r="N304" s="127">
        <v>64.62</v>
      </c>
      <c r="O304" s="127">
        <v>64.900000000000006</v>
      </c>
      <c r="P304" s="127">
        <v>64.747500000000002</v>
      </c>
      <c r="Q304" s="79">
        <v>16.899999999999999</v>
      </c>
      <c r="R304" s="79">
        <v>1.51</v>
      </c>
      <c r="S304" s="127">
        <f t="shared" si="226"/>
        <v>2.4280575539568341</v>
      </c>
      <c r="T304" s="127">
        <f t="shared" si="227"/>
        <v>2.421016187050359</v>
      </c>
      <c r="U304" s="79">
        <f t="shared" si="228"/>
        <v>5.5184988838260391</v>
      </c>
      <c r="V304" s="127">
        <f t="shared" si="229"/>
        <v>13.851296744878454</v>
      </c>
      <c r="W304" s="127">
        <f t="shared" si="230"/>
        <v>60.158972943334597</v>
      </c>
      <c r="AC304" s="235">
        <v>161</v>
      </c>
      <c r="AD304" s="235">
        <v>91</v>
      </c>
      <c r="AE304" s="235">
        <v>44</v>
      </c>
      <c r="AF304" s="235">
        <v>15</v>
      </c>
    </row>
    <row r="305" spans="1:32">
      <c r="A305" s="1" t="s">
        <v>109</v>
      </c>
      <c r="B305" s="276"/>
      <c r="C305" s="1" t="s">
        <v>306</v>
      </c>
      <c r="D305" s="1" t="s">
        <v>309</v>
      </c>
      <c r="E305" s="127">
        <v>2.5624234992556798</v>
      </c>
      <c r="F305" s="127">
        <v>2.6815609082754199</v>
      </c>
      <c r="G305" s="127">
        <v>4.8</v>
      </c>
      <c r="H305" s="127">
        <v>4.5801526717557302</v>
      </c>
      <c r="I305" s="127">
        <v>1211.5999999999999</v>
      </c>
      <c r="J305" s="127">
        <v>718.9</v>
      </c>
      <c r="K305" s="127">
        <v>1223.2</v>
      </c>
      <c r="L305" s="127">
        <v>63.33</v>
      </c>
      <c r="M305" s="127">
        <v>63.28</v>
      </c>
      <c r="N305" s="127">
        <v>63.96</v>
      </c>
      <c r="O305" s="127">
        <v>64.13</v>
      </c>
      <c r="P305" s="127">
        <v>63.674999999999997</v>
      </c>
      <c r="Q305" s="79">
        <v>16.66</v>
      </c>
      <c r="R305" s="79">
        <v>3.39</v>
      </c>
      <c r="S305" s="127">
        <f t="shared" si="226"/>
        <v>2.40253817172318</v>
      </c>
      <c r="T305" s="127">
        <f t="shared" si="227"/>
        <v>2.3955708110251828</v>
      </c>
      <c r="U305" s="79">
        <f t="shared" si="228"/>
        <v>6.5115188133016861</v>
      </c>
      <c r="V305" s="127">
        <f t="shared" si="229"/>
        <v>14.756737262018746</v>
      </c>
      <c r="W305" s="127">
        <f t="shared" si="230"/>
        <v>55.874264766770679</v>
      </c>
      <c r="AC305" s="235">
        <v>161</v>
      </c>
      <c r="AD305" s="235">
        <v>91</v>
      </c>
      <c r="AE305" s="235">
        <v>44</v>
      </c>
      <c r="AF305" s="235">
        <v>15</v>
      </c>
    </row>
    <row r="306" spans="1:32">
      <c r="A306" s="1" t="s">
        <v>109</v>
      </c>
      <c r="B306" s="276"/>
      <c r="C306" s="1" t="s">
        <v>306</v>
      </c>
      <c r="D306" s="1" t="s">
        <v>310</v>
      </c>
      <c r="E306" s="127">
        <v>2.5624234992556798</v>
      </c>
      <c r="F306" s="127">
        <v>2.6815609082754199</v>
      </c>
      <c r="G306" s="127">
        <v>4.8</v>
      </c>
      <c r="H306" s="127">
        <v>4.5801526717557302</v>
      </c>
      <c r="I306" s="127">
        <v>1197.5999999999999</v>
      </c>
      <c r="J306" s="127">
        <v>716.9</v>
      </c>
      <c r="K306" s="127">
        <v>1207.0999999999999</v>
      </c>
      <c r="L306" s="127">
        <v>65.02</v>
      </c>
      <c r="M306" s="127">
        <v>64.36</v>
      </c>
      <c r="N306" s="127">
        <v>64.25</v>
      </c>
      <c r="O306" s="127">
        <v>65.12</v>
      </c>
      <c r="P306" s="127">
        <v>64.6875</v>
      </c>
      <c r="Q306" s="79">
        <v>16.940000000000001</v>
      </c>
      <c r="R306" s="79">
        <v>1.7</v>
      </c>
      <c r="S306" s="127">
        <f t="shared" si="226"/>
        <v>2.4430844553243576</v>
      </c>
      <c r="T306" s="127">
        <f t="shared" si="227"/>
        <v>2.4359995104039167</v>
      </c>
      <c r="U306" s="79">
        <f t="shared" si="228"/>
        <v>4.9337663695515621</v>
      </c>
      <c r="V306" s="127">
        <f t="shared" si="229"/>
        <v>13.31813472627428</v>
      </c>
      <c r="W306" s="127">
        <f t="shared" si="230"/>
        <v>62.954524256177322</v>
      </c>
      <c r="AC306" s="235">
        <v>161</v>
      </c>
      <c r="AD306" s="235">
        <v>91</v>
      </c>
      <c r="AE306" s="235">
        <v>44</v>
      </c>
      <c r="AF306" s="235">
        <v>15</v>
      </c>
    </row>
    <row r="307" spans="1:32">
      <c r="A307" s="1" t="s">
        <v>109</v>
      </c>
      <c r="B307" s="280" t="s">
        <v>255</v>
      </c>
      <c r="C307" s="1" t="s">
        <v>312</v>
      </c>
      <c r="D307" s="1" t="s">
        <v>307</v>
      </c>
      <c r="E307" s="127">
        <v>2.5435161494668201</v>
      </c>
      <c r="F307" s="127">
        <v>2.6816697032880401</v>
      </c>
      <c r="G307" s="127">
        <v>4.9000000000000004</v>
      </c>
      <c r="H307" s="127">
        <v>4.6711153479504297</v>
      </c>
      <c r="I307" s="127">
        <v>1201.7</v>
      </c>
      <c r="J307" s="127">
        <v>710.2</v>
      </c>
      <c r="K307" s="127">
        <v>1206.9000000000001</v>
      </c>
      <c r="L307" s="127">
        <v>64.78</v>
      </c>
      <c r="M307" s="127">
        <v>65</v>
      </c>
      <c r="N307" s="127">
        <v>64.72</v>
      </c>
      <c r="O307" s="127">
        <v>64.73</v>
      </c>
      <c r="P307" s="127">
        <v>64.807500000000005</v>
      </c>
      <c r="Q307" s="79">
        <v>11.23</v>
      </c>
      <c r="R307" s="79">
        <v>1.82</v>
      </c>
      <c r="S307" s="127">
        <f t="shared" si="226"/>
        <v>2.419367827662573</v>
      </c>
      <c r="T307" s="127">
        <f t="shared" si="227"/>
        <v>2.4123516609623517</v>
      </c>
      <c r="U307" s="79">
        <f t="shared" si="228"/>
        <v>5.1568176019626826</v>
      </c>
      <c r="V307" s="127">
        <f t="shared" si="229"/>
        <v>14.2449225025386</v>
      </c>
      <c r="W307" s="127">
        <f t="shared" si="230"/>
        <v>63.798907287535741</v>
      </c>
      <c r="X307" s="132">
        <f>AVERAGE(S307:S311)</f>
        <v>2.4263513776547518</v>
      </c>
      <c r="Y307" s="132">
        <f t="shared" ref="Y307" si="267">AVERAGE(T307:T311)</f>
        <v>2.419314958659553</v>
      </c>
      <c r="Z307" s="133">
        <f t="shared" ref="Z307" si="268">AVERAGE(U307:U311)</f>
        <v>4.8830510013983091</v>
      </c>
      <c r="AA307" s="132">
        <f t="shared" ref="AA307" si="269">AVERAGE(V307:V311)</f>
        <v>13.997388884897143</v>
      </c>
      <c r="AB307" s="132">
        <f t="shared" ref="AB307" si="270">AVERAGE(W307:W311)</f>
        <v>65.171944639397793</v>
      </c>
      <c r="AC307" s="235">
        <v>161</v>
      </c>
      <c r="AD307" s="235">
        <v>91</v>
      </c>
      <c r="AE307" s="235">
        <v>44</v>
      </c>
      <c r="AF307" s="235">
        <v>15</v>
      </c>
    </row>
    <row r="308" spans="1:32">
      <c r="A308" s="1" t="s">
        <v>109</v>
      </c>
      <c r="B308" s="276"/>
      <c r="C308" s="1" t="s">
        <v>312</v>
      </c>
      <c r="D308" s="1" t="s">
        <v>308</v>
      </c>
      <c r="E308" s="127">
        <v>2.5435161494668201</v>
      </c>
      <c r="F308" s="127">
        <v>2.6816697032880401</v>
      </c>
      <c r="G308" s="127">
        <v>4.9000000000000004</v>
      </c>
      <c r="H308" s="127">
        <v>4.6711153479504297</v>
      </c>
      <c r="I308" s="127">
        <v>1200.5</v>
      </c>
      <c r="J308" s="127">
        <v>708.3</v>
      </c>
      <c r="K308" s="127">
        <v>1205.2</v>
      </c>
      <c r="L308" s="127">
        <v>63.43</v>
      </c>
      <c r="M308" s="127">
        <v>63.72</v>
      </c>
      <c r="N308" s="127">
        <v>64.34</v>
      </c>
      <c r="O308" s="127">
        <v>64.010000000000005</v>
      </c>
      <c r="P308" s="127">
        <v>63.875</v>
      </c>
      <c r="Q308" s="79">
        <v>12.22</v>
      </c>
      <c r="R308" s="79">
        <v>3.94</v>
      </c>
      <c r="S308" s="127">
        <f t="shared" si="226"/>
        <v>2.4159790702354593</v>
      </c>
      <c r="T308" s="127">
        <f t="shared" si="227"/>
        <v>2.4089727309317763</v>
      </c>
      <c r="U308" s="79">
        <f t="shared" si="228"/>
        <v>5.2896624447714702</v>
      </c>
      <c r="V308" s="127">
        <f t="shared" si="229"/>
        <v>14.365037828724041</v>
      </c>
      <c r="W308" s="127">
        <f t="shared" si="230"/>
        <v>63.176828993834143</v>
      </c>
      <c r="AC308" s="235">
        <v>161</v>
      </c>
      <c r="AD308" s="235">
        <v>91</v>
      </c>
      <c r="AE308" s="235">
        <v>44</v>
      </c>
      <c r="AF308" s="235">
        <v>15</v>
      </c>
    </row>
    <row r="309" spans="1:32">
      <c r="A309" s="1" t="s">
        <v>109</v>
      </c>
      <c r="B309" s="276"/>
      <c r="C309" s="1" t="s">
        <v>312</v>
      </c>
      <c r="D309" s="1" t="s">
        <v>309</v>
      </c>
      <c r="E309" s="127">
        <v>2.5435161494668201</v>
      </c>
      <c r="F309" s="127">
        <v>2.6816697032880401</v>
      </c>
      <c r="G309" s="127">
        <v>4.9000000000000004</v>
      </c>
      <c r="H309" s="127">
        <v>4.6711153479504297</v>
      </c>
      <c r="I309" s="127">
        <v>1200.5999999999999</v>
      </c>
      <c r="J309" s="127">
        <v>710.5</v>
      </c>
      <c r="K309" s="127">
        <v>1205.7</v>
      </c>
      <c r="L309" s="127">
        <v>63.53</v>
      </c>
      <c r="M309" s="127">
        <v>63.4</v>
      </c>
      <c r="N309" s="127">
        <v>63.54</v>
      </c>
      <c r="O309" s="127">
        <v>63.56</v>
      </c>
      <c r="P309" s="127">
        <v>63.5075</v>
      </c>
      <c r="Q309" s="79">
        <v>12.72</v>
      </c>
      <c r="R309" s="79">
        <v>1.87</v>
      </c>
      <c r="S309" s="127">
        <f t="shared" si="226"/>
        <v>2.4244749596122777</v>
      </c>
      <c r="T309" s="127">
        <f t="shared" si="227"/>
        <v>2.4174439822294018</v>
      </c>
      <c r="U309" s="79">
        <f t="shared" si="228"/>
        <v>4.9566096627240208</v>
      </c>
      <c r="V309" s="127">
        <f t="shared" si="229"/>
        <v>14.063898976008616</v>
      </c>
      <c r="W309" s="127">
        <f t="shared" si="230"/>
        <v>64.756504073447744</v>
      </c>
      <c r="AC309" s="235">
        <v>161</v>
      </c>
      <c r="AD309" s="235">
        <v>91</v>
      </c>
      <c r="AE309" s="235">
        <v>44</v>
      </c>
      <c r="AF309" s="235">
        <v>15</v>
      </c>
    </row>
    <row r="310" spans="1:32">
      <c r="A310" s="1" t="s">
        <v>109</v>
      </c>
      <c r="B310" s="276"/>
      <c r="C310" s="1" t="s">
        <v>312</v>
      </c>
      <c r="D310" s="1" t="s">
        <v>310</v>
      </c>
      <c r="E310" s="127">
        <v>2.5435161494668201</v>
      </c>
      <c r="F310" s="127">
        <v>2.6816697032880401</v>
      </c>
      <c r="G310" s="127">
        <v>4.9000000000000004</v>
      </c>
      <c r="H310" s="127">
        <v>4.6711153479504297</v>
      </c>
      <c r="I310" s="127">
        <v>1207.8</v>
      </c>
      <c r="J310" s="127">
        <v>715.6</v>
      </c>
      <c r="K310" s="127">
        <v>1213.5999999999999</v>
      </c>
      <c r="L310" s="127">
        <v>64.59</v>
      </c>
      <c r="M310" s="127">
        <v>64.5</v>
      </c>
      <c r="N310" s="127">
        <v>64.67</v>
      </c>
      <c r="O310" s="127">
        <v>64.680000000000007</v>
      </c>
      <c r="P310" s="127">
        <v>64.61</v>
      </c>
      <c r="Q310" s="79">
        <v>13.93</v>
      </c>
      <c r="R310" s="79">
        <v>2.3199999999999998</v>
      </c>
      <c r="S310" s="127">
        <f t="shared" si="226"/>
        <v>2.4253012048192777</v>
      </c>
      <c r="T310" s="127">
        <f t="shared" si="227"/>
        <v>2.4182678313253017</v>
      </c>
      <c r="U310" s="79">
        <f t="shared" si="228"/>
        <v>4.9242194970051001</v>
      </c>
      <c r="V310" s="127">
        <f t="shared" si="229"/>
        <v>14.034612514914087</v>
      </c>
      <c r="W310" s="127">
        <f t="shared" si="230"/>
        <v>64.913748122562652</v>
      </c>
      <c r="AC310" s="235">
        <v>161</v>
      </c>
      <c r="AD310" s="235">
        <v>91</v>
      </c>
      <c r="AE310" s="235">
        <v>44</v>
      </c>
      <c r="AF310" s="235">
        <v>15</v>
      </c>
    </row>
    <row r="311" spans="1:32">
      <c r="A311" s="1" t="s">
        <v>109</v>
      </c>
      <c r="B311" s="276"/>
      <c r="C311" s="1" t="s">
        <v>312</v>
      </c>
      <c r="D311" s="1" t="s">
        <v>311</v>
      </c>
      <c r="E311" s="127">
        <v>2.5435161494668201</v>
      </c>
      <c r="F311" s="127">
        <v>2.6816697032880401</v>
      </c>
      <c r="G311" s="127">
        <v>4.9000000000000004</v>
      </c>
      <c r="H311" s="127">
        <v>4.6711153479504297</v>
      </c>
      <c r="I311" s="127">
        <v>1192</v>
      </c>
      <c r="J311" s="127">
        <v>708.4</v>
      </c>
      <c r="K311" s="127">
        <v>1195.5999999999999</v>
      </c>
      <c r="L311" s="127">
        <v>61.95</v>
      </c>
      <c r="M311" s="127">
        <v>62.23</v>
      </c>
      <c r="N311" s="127">
        <v>62.26</v>
      </c>
      <c r="O311" s="127">
        <v>62.29</v>
      </c>
      <c r="P311" s="127">
        <v>62.182499999999997</v>
      </c>
      <c r="Q311" s="79">
        <v>11.34</v>
      </c>
      <c r="R311" s="79">
        <v>2.2200000000000002</v>
      </c>
      <c r="S311" s="127">
        <f t="shared" si="226"/>
        <v>2.4466338259441711</v>
      </c>
      <c r="T311" s="127">
        <f t="shared" si="227"/>
        <v>2.4395385878489328</v>
      </c>
      <c r="U311" s="79">
        <f t="shared" si="228"/>
        <v>4.0879458005282698</v>
      </c>
      <c r="V311" s="127">
        <f t="shared" si="229"/>
        <v>13.278472602300369</v>
      </c>
      <c r="W311" s="127">
        <f t="shared" si="230"/>
        <v>69.213734719608695</v>
      </c>
      <c r="AC311" s="235">
        <v>161</v>
      </c>
      <c r="AD311" s="235">
        <v>91</v>
      </c>
      <c r="AE311" s="235">
        <v>44</v>
      </c>
      <c r="AF311" s="235">
        <v>15</v>
      </c>
    </row>
    <row r="312" spans="1:32">
      <c r="A312" s="1" t="s">
        <v>109</v>
      </c>
      <c r="B312" s="276"/>
      <c r="C312" s="1" t="s">
        <v>313</v>
      </c>
      <c r="D312" s="1" t="s">
        <v>307</v>
      </c>
      <c r="E312" s="127">
        <v>2.56541223642115</v>
      </c>
      <c r="F312" s="127">
        <v>2.6816697032880401</v>
      </c>
      <c r="G312" s="127">
        <v>4.9000000000000004</v>
      </c>
      <c r="H312" s="127">
        <v>4.6711153479504297</v>
      </c>
      <c r="I312" s="127">
        <v>1205.0999999999999</v>
      </c>
      <c r="J312" s="127">
        <v>717.4</v>
      </c>
      <c r="K312" s="127">
        <v>1208</v>
      </c>
      <c r="L312" s="127">
        <v>64.78</v>
      </c>
      <c r="M312" s="127">
        <v>65</v>
      </c>
      <c r="N312" s="127">
        <v>64.72</v>
      </c>
      <c r="O312" s="127">
        <v>64.73</v>
      </c>
      <c r="P312" s="127">
        <v>64.807500000000005</v>
      </c>
      <c r="Q312" s="79">
        <v>15.62</v>
      </c>
      <c r="R312" s="79">
        <v>1.1200000000000001</v>
      </c>
      <c r="S312" s="127">
        <f t="shared" si="226"/>
        <v>2.4563799429270277</v>
      </c>
      <c r="T312" s="127">
        <f t="shared" si="227"/>
        <v>2.449256441092539</v>
      </c>
      <c r="U312" s="79">
        <f t="shared" si="228"/>
        <v>4.527763362143034</v>
      </c>
      <c r="V312" s="127">
        <f t="shared" si="229"/>
        <v>12.933019129865102</v>
      </c>
      <c r="W312" s="127">
        <f t="shared" si="230"/>
        <v>64.990669876243643</v>
      </c>
      <c r="X312" s="132">
        <f>AVERAGE(S312:S316)</f>
        <v>2.4562870646030288</v>
      </c>
      <c r="Y312" s="132">
        <f t="shared" ref="Y312" si="271">AVERAGE(T312:T316)</f>
        <v>2.4491638321156799</v>
      </c>
      <c r="Z312" s="133">
        <f t="shared" ref="Z312" si="272">AVERAGE(U312:U316)</f>
        <v>4.5313732684007597</v>
      </c>
      <c r="AA312" s="132">
        <f t="shared" ref="AA312" si="273">AVERAGE(V312:V316)</f>
        <v>12.936311224511186</v>
      </c>
      <c r="AB312" s="132">
        <f t="shared" ref="AB312" si="274">AVERAGE(W312:W316)</f>
        <v>64.973220787255755</v>
      </c>
      <c r="AC312" s="235">
        <v>161</v>
      </c>
      <c r="AD312" s="235">
        <v>91</v>
      </c>
      <c r="AE312" s="235">
        <v>44</v>
      </c>
      <c r="AF312" s="235">
        <v>15</v>
      </c>
    </row>
    <row r="313" spans="1:32">
      <c r="A313" s="1" t="s">
        <v>109</v>
      </c>
      <c r="B313" s="276"/>
      <c r="C313" s="1" t="s">
        <v>313</v>
      </c>
      <c r="D313" s="1" t="s">
        <v>308</v>
      </c>
      <c r="E313" s="127">
        <v>2.56541223642115</v>
      </c>
      <c r="F313" s="127">
        <v>2.6816697032880401</v>
      </c>
      <c r="G313" s="127">
        <v>4.9000000000000004</v>
      </c>
      <c r="H313" s="127">
        <v>4.6711153479504297</v>
      </c>
      <c r="I313" s="127">
        <v>1212.0999999999999</v>
      </c>
      <c r="J313" s="127">
        <v>722.1</v>
      </c>
      <c r="K313" s="127">
        <v>1215</v>
      </c>
      <c r="L313" s="127">
        <v>63.43</v>
      </c>
      <c r="M313" s="127">
        <v>63.72</v>
      </c>
      <c r="N313" s="127">
        <v>64.34</v>
      </c>
      <c r="O313" s="127">
        <v>64.010000000000005</v>
      </c>
      <c r="P313" s="127">
        <v>63.875</v>
      </c>
      <c r="Q313" s="79">
        <v>17</v>
      </c>
      <c r="R313" s="79">
        <v>2.4500000000000002</v>
      </c>
      <c r="S313" s="127">
        <f t="shared" si="226"/>
        <v>2.459119496855346</v>
      </c>
      <c r="T313" s="127">
        <f t="shared" si="227"/>
        <v>2.4519880503144655</v>
      </c>
      <c r="U313" s="79">
        <f t="shared" si="228"/>
        <v>4.4212849886814176</v>
      </c>
      <c r="V313" s="127">
        <f t="shared" si="229"/>
        <v>12.835914978629702</v>
      </c>
      <c r="W313" s="127">
        <f t="shared" si="230"/>
        <v>65.555357790680759</v>
      </c>
      <c r="AC313" s="235">
        <v>161</v>
      </c>
      <c r="AD313" s="235">
        <v>91</v>
      </c>
      <c r="AE313" s="235">
        <v>44</v>
      </c>
      <c r="AF313" s="235">
        <v>15</v>
      </c>
    </row>
    <row r="314" spans="1:32">
      <c r="A314" s="1" t="s">
        <v>109</v>
      </c>
      <c r="B314" s="276"/>
      <c r="C314" s="1" t="s">
        <v>313</v>
      </c>
      <c r="D314" s="1" t="s">
        <v>309</v>
      </c>
      <c r="E314" s="127">
        <v>2.56541223642115</v>
      </c>
      <c r="F314" s="127">
        <v>2.6816697032880401</v>
      </c>
      <c r="G314" s="127">
        <v>4.9000000000000004</v>
      </c>
      <c r="H314" s="127">
        <v>4.6711153479504297</v>
      </c>
      <c r="I314" s="127">
        <v>1210.5999999999999</v>
      </c>
      <c r="J314" s="127">
        <v>721.8</v>
      </c>
      <c r="K314" s="127">
        <v>1215</v>
      </c>
      <c r="L314" s="127">
        <v>63.53</v>
      </c>
      <c r="M314" s="127">
        <v>63.4</v>
      </c>
      <c r="N314" s="127">
        <v>63.54</v>
      </c>
      <c r="O314" s="127">
        <v>63.56</v>
      </c>
      <c r="P314" s="127">
        <v>63.5075</v>
      </c>
      <c r="Q314" s="79">
        <v>18.940000000000001</v>
      </c>
      <c r="R314" s="79">
        <v>1.3</v>
      </c>
      <c r="S314" s="127">
        <f t="shared" si="226"/>
        <v>2.454582319545823</v>
      </c>
      <c r="T314" s="127">
        <f t="shared" si="227"/>
        <v>2.4474640308191402</v>
      </c>
      <c r="U314" s="79">
        <f t="shared" si="228"/>
        <v>4.5976316760129032</v>
      </c>
      <c r="V314" s="127">
        <f t="shared" si="229"/>
        <v>12.996736325160441</v>
      </c>
      <c r="W314" s="127">
        <f t="shared" si="230"/>
        <v>64.624721460938417</v>
      </c>
      <c r="AC314" s="235">
        <v>161</v>
      </c>
      <c r="AD314" s="235">
        <v>91</v>
      </c>
      <c r="AE314" s="235">
        <v>44</v>
      </c>
      <c r="AF314" s="235">
        <v>15</v>
      </c>
    </row>
    <row r="315" spans="1:32">
      <c r="A315" s="1" t="s">
        <v>109</v>
      </c>
      <c r="B315" s="276"/>
      <c r="C315" s="1" t="s">
        <v>313</v>
      </c>
      <c r="D315" s="1" t="s">
        <v>310</v>
      </c>
      <c r="E315" s="127">
        <v>2.56541223642115</v>
      </c>
      <c r="F315" s="127">
        <v>2.6816697032880401</v>
      </c>
      <c r="G315" s="127">
        <v>4.9000000000000004</v>
      </c>
      <c r="H315" s="127">
        <v>4.6711153479504297</v>
      </c>
      <c r="I315" s="127">
        <v>1214.0999999999999</v>
      </c>
      <c r="J315" s="127">
        <v>724.4</v>
      </c>
      <c r="K315" s="127">
        <v>1218.5999999999999</v>
      </c>
      <c r="L315" s="127">
        <v>64.59</v>
      </c>
      <c r="M315" s="127">
        <v>64.5</v>
      </c>
      <c r="N315" s="127">
        <v>64.67</v>
      </c>
      <c r="O315" s="127">
        <v>64.680000000000007</v>
      </c>
      <c r="P315" s="127">
        <v>64.61</v>
      </c>
      <c r="Q315" s="79">
        <v>17.170000000000002</v>
      </c>
      <c r="R315" s="79">
        <v>2.11</v>
      </c>
      <c r="S315" s="127">
        <f t="shared" si="226"/>
        <v>2.4566976932416029</v>
      </c>
      <c r="T315" s="127">
        <f t="shared" si="227"/>
        <v>2.4495732699312023</v>
      </c>
      <c r="U315" s="79">
        <f t="shared" si="228"/>
        <v>4.5154133454804013</v>
      </c>
      <c r="V315" s="127">
        <f t="shared" si="229"/>
        <v>12.921756393153601</v>
      </c>
      <c r="W315" s="127">
        <f t="shared" si="230"/>
        <v>65.055730752881047</v>
      </c>
      <c r="AC315" s="235">
        <v>161</v>
      </c>
      <c r="AD315" s="235">
        <v>91</v>
      </c>
      <c r="AE315" s="235">
        <v>44</v>
      </c>
      <c r="AF315" s="235">
        <v>15</v>
      </c>
    </row>
    <row r="316" spans="1:32">
      <c r="A316" s="1" t="s">
        <v>109</v>
      </c>
      <c r="B316" s="276"/>
      <c r="C316" s="1" t="s">
        <v>313</v>
      </c>
      <c r="D316" s="1" t="s">
        <v>311</v>
      </c>
      <c r="E316" s="127">
        <v>2.56541223642115</v>
      </c>
      <c r="F316" s="127">
        <v>2.6816697032880401</v>
      </c>
      <c r="G316" s="127">
        <v>4.9000000000000004</v>
      </c>
      <c r="H316" s="127">
        <v>4.6711153479504297</v>
      </c>
      <c r="I316" s="127">
        <v>1212.5999999999999</v>
      </c>
      <c r="J316" s="127">
        <v>722.6</v>
      </c>
      <c r="K316" s="127">
        <v>1216.5999999999999</v>
      </c>
      <c r="L316" s="127">
        <v>61.95</v>
      </c>
      <c r="M316" s="127">
        <v>62.23</v>
      </c>
      <c r="N316" s="127">
        <v>62.26</v>
      </c>
      <c r="O316" s="127">
        <v>62.29</v>
      </c>
      <c r="P316" s="127">
        <v>62.182499999999997</v>
      </c>
      <c r="Q316" s="79">
        <v>18.649999999999999</v>
      </c>
      <c r="R316" s="79">
        <v>1.8</v>
      </c>
      <c r="S316" s="127">
        <f t="shared" si="226"/>
        <v>2.4546558704453445</v>
      </c>
      <c r="T316" s="127">
        <f t="shared" si="227"/>
        <v>2.4475373684210529</v>
      </c>
      <c r="U316" s="79">
        <f t="shared" si="228"/>
        <v>4.5947729696860451</v>
      </c>
      <c r="V316" s="127">
        <f t="shared" si="229"/>
        <v>12.994129295747086</v>
      </c>
      <c r="W316" s="127">
        <f t="shared" si="230"/>
        <v>64.63962405553491</v>
      </c>
      <c r="AC316" s="235">
        <v>161</v>
      </c>
      <c r="AD316" s="235">
        <v>91</v>
      </c>
      <c r="AE316" s="235">
        <v>44</v>
      </c>
      <c r="AF316" s="235">
        <v>15</v>
      </c>
    </row>
    <row r="317" spans="1:32">
      <c r="A317" s="1" t="s">
        <v>110</v>
      </c>
      <c r="B317" s="280" t="s">
        <v>218</v>
      </c>
      <c r="C317" s="1" t="s">
        <v>306</v>
      </c>
      <c r="D317" s="1" t="s">
        <v>307</v>
      </c>
      <c r="E317" s="127">
        <v>2.5703117215977902</v>
      </c>
      <c r="F317" s="127">
        <v>2.6749547557450102</v>
      </c>
      <c r="G317" s="127">
        <v>4.9000000000000004</v>
      </c>
      <c r="H317" s="127">
        <v>4.6711153479504297</v>
      </c>
      <c r="I317" s="127">
        <v>1268.2</v>
      </c>
      <c r="J317" s="127">
        <v>764.7</v>
      </c>
      <c r="K317" s="127">
        <v>1268.9000000000001</v>
      </c>
      <c r="L317" s="127">
        <v>63.6</v>
      </c>
      <c r="M317" s="127">
        <v>63.33</v>
      </c>
      <c r="N317" s="127">
        <v>64.02</v>
      </c>
      <c r="O317" s="127">
        <v>63.72</v>
      </c>
      <c r="P317" s="127">
        <v>63.667499999999997</v>
      </c>
      <c r="Q317" s="79">
        <v>13.64</v>
      </c>
      <c r="R317" s="79">
        <v>4.41</v>
      </c>
      <c r="S317" s="127">
        <f t="shared" si="226"/>
        <v>2.515271717572392</v>
      </c>
      <c r="T317" s="127">
        <f t="shared" si="227"/>
        <v>2.5079774295914321</v>
      </c>
      <c r="U317" s="79">
        <f t="shared" si="228"/>
        <v>2.4251646787654679</v>
      </c>
      <c r="V317" s="127">
        <f t="shared" si="229"/>
        <v>10.621781328455512</v>
      </c>
      <c r="W317" s="127">
        <f t="shared" si="230"/>
        <v>77.168004087332264</v>
      </c>
      <c r="X317" s="132">
        <f>AVERAGE(S317:S321)</f>
        <v>2.5156403923112949</v>
      </c>
      <c r="Y317" s="132">
        <f t="shared" ref="Y317" si="275">AVERAGE(T317:T321)</f>
        <v>2.5083450351735919</v>
      </c>
      <c r="Z317" s="133">
        <f t="shared" ref="Z317" si="276">AVERAGE(U317:U321)</f>
        <v>2.4108626943380118</v>
      </c>
      <c r="AA317" s="132">
        <f t="shared" ref="AA317" si="277">AVERAGE(V317:V321)</f>
        <v>10.608680759160308</v>
      </c>
      <c r="AB317" s="132">
        <f t="shared" ref="AB317" si="278">AVERAGE(W317:W321)</f>
        <v>77.281454840141194</v>
      </c>
      <c r="AC317" s="235">
        <v>161</v>
      </c>
      <c r="AD317" s="235">
        <v>91</v>
      </c>
      <c r="AE317" s="235">
        <v>44</v>
      </c>
      <c r="AF317" s="235">
        <v>15</v>
      </c>
    </row>
    <row r="318" spans="1:32">
      <c r="A318" s="1" t="s">
        <v>110</v>
      </c>
      <c r="B318" s="276"/>
      <c r="C318" s="1" t="s">
        <v>306</v>
      </c>
      <c r="D318" s="1" t="s">
        <v>308</v>
      </c>
      <c r="E318" s="127">
        <v>2.5703117215977902</v>
      </c>
      <c r="F318" s="127">
        <v>2.6749547557450102</v>
      </c>
      <c r="G318" s="127">
        <v>4.9000000000000004</v>
      </c>
      <c r="H318" s="127">
        <v>4.6711153479504297</v>
      </c>
      <c r="I318" s="127">
        <v>1267.4000000000001</v>
      </c>
      <c r="J318" s="127">
        <v>764.4</v>
      </c>
      <c r="K318" s="127">
        <v>1268</v>
      </c>
      <c r="L318" s="127">
        <v>63.93</v>
      </c>
      <c r="M318" s="127">
        <v>63.36</v>
      </c>
      <c r="N318" s="127">
        <v>63.35</v>
      </c>
      <c r="O318" s="127">
        <v>63.4</v>
      </c>
      <c r="P318" s="127">
        <v>63.51</v>
      </c>
      <c r="Q318" s="79">
        <v>13.81</v>
      </c>
      <c r="R318" s="79">
        <v>3.52</v>
      </c>
      <c r="S318" s="127">
        <f t="shared" si="226"/>
        <v>2.5166799046862591</v>
      </c>
      <c r="T318" s="127">
        <f t="shared" si="227"/>
        <v>2.509381532962669</v>
      </c>
      <c r="U318" s="79">
        <f t="shared" si="228"/>
        <v>2.3705369322770342</v>
      </c>
      <c r="V318" s="127">
        <f t="shared" si="229"/>
        <v>10.571742497694459</v>
      </c>
      <c r="W318" s="127">
        <f t="shared" si="230"/>
        <v>77.57666786914254</v>
      </c>
      <c r="AC318" s="235">
        <v>161</v>
      </c>
      <c r="AD318" s="235">
        <v>91</v>
      </c>
      <c r="AE318" s="235">
        <v>44</v>
      </c>
      <c r="AF318" s="235">
        <v>15</v>
      </c>
    </row>
    <row r="319" spans="1:32">
      <c r="A319" s="1" t="s">
        <v>110</v>
      </c>
      <c r="B319" s="276"/>
      <c r="C319" s="1" t="s">
        <v>306</v>
      </c>
      <c r="D319" s="1" t="s">
        <v>309</v>
      </c>
      <c r="E319" s="127">
        <v>2.5703117215977902</v>
      </c>
      <c r="F319" s="127">
        <v>2.6749547557450102</v>
      </c>
      <c r="G319" s="127">
        <v>4.9000000000000004</v>
      </c>
      <c r="H319" s="127">
        <v>4.6711153479504297</v>
      </c>
      <c r="I319" s="127">
        <v>1268</v>
      </c>
      <c r="J319" s="127">
        <v>764.6</v>
      </c>
      <c r="K319" s="127">
        <v>1268.5999999999999</v>
      </c>
      <c r="L319" s="127">
        <v>63.1</v>
      </c>
      <c r="M319" s="127">
        <v>63.07</v>
      </c>
      <c r="N319" s="127">
        <v>63.17</v>
      </c>
      <c r="O319" s="127">
        <v>63.03</v>
      </c>
      <c r="P319" s="127">
        <v>63.092500000000001</v>
      </c>
      <c r="Q319" s="79">
        <v>13.01</v>
      </c>
      <c r="R319" s="79">
        <v>3.08</v>
      </c>
      <c r="S319" s="127">
        <f t="shared" si="226"/>
        <v>2.5158730158730163</v>
      </c>
      <c r="T319" s="127">
        <f t="shared" si="227"/>
        <v>2.5085769841269845</v>
      </c>
      <c r="U319" s="79">
        <f t="shared" si="228"/>
        <v>2.4018385377953089</v>
      </c>
      <c r="V319" s="127">
        <f t="shared" si="229"/>
        <v>10.600414662331715</v>
      </c>
      <c r="W319" s="127">
        <f t="shared" si="230"/>
        <v>77.342032228888399</v>
      </c>
      <c r="AC319" s="235">
        <v>161</v>
      </c>
      <c r="AD319" s="235">
        <v>91</v>
      </c>
      <c r="AE319" s="235">
        <v>44</v>
      </c>
      <c r="AF319" s="235">
        <v>15</v>
      </c>
    </row>
    <row r="320" spans="1:32">
      <c r="A320" s="1" t="s">
        <v>110</v>
      </c>
      <c r="B320" s="276"/>
      <c r="C320" s="1" t="s">
        <v>306</v>
      </c>
      <c r="D320" s="1" t="s">
        <v>310</v>
      </c>
      <c r="E320" s="127">
        <v>2.5703117215977902</v>
      </c>
      <c r="F320" s="127">
        <v>2.6749547557450102</v>
      </c>
      <c r="G320" s="127">
        <v>4.9000000000000004</v>
      </c>
      <c r="H320" s="127">
        <v>4.6711153479504297</v>
      </c>
      <c r="I320" s="127">
        <v>1268.5999999999999</v>
      </c>
      <c r="J320" s="127">
        <v>763.9</v>
      </c>
      <c r="K320" s="127">
        <v>1269.0999999999999</v>
      </c>
      <c r="L320" s="127">
        <v>63.31</v>
      </c>
      <c r="M320" s="127">
        <v>63.15</v>
      </c>
      <c r="N320" s="127">
        <v>63.33</v>
      </c>
      <c r="O320" s="127">
        <v>63.44</v>
      </c>
      <c r="P320" s="127">
        <v>63.307499999999997</v>
      </c>
      <c r="Q320" s="79">
        <v>12.26</v>
      </c>
      <c r="R320" s="79">
        <v>3.08</v>
      </c>
      <c r="S320" s="127">
        <f t="shared" si="226"/>
        <v>2.5110847189231991</v>
      </c>
      <c r="T320" s="127">
        <f t="shared" si="227"/>
        <v>2.5038025732383216</v>
      </c>
      <c r="U320" s="79">
        <f t="shared" si="228"/>
        <v>2.5875907502038054</v>
      </c>
      <c r="V320" s="127">
        <f t="shared" si="229"/>
        <v>10.770563059761358</v>
      </c>
      <c r="W320" s="127">
        <f t="shared" si="230"/>
        <v>75.975343760151219</v>
      </c>
      <c r="AC320" s="235">
        <v>161</v>
      </c>
      <c r="AD320" s="235">
        <v>91</v>
      </c>
      <c r="AE320" s="235">
        <v>44</v>
      </c>
      <c r="AF320" s="235">
        <v>15</v>
      </c>
    </row>
    <row r="321" spans="1:32">
      <c r="A321" s="1" t="s">
        <v>110</v>
      </c>
      <c r="B321" s="276"/>
      <c r="C321" s="1" t="s">
        <v>306</v>
      </c>
      <c r="D321" s="1" t="s">
        <v>311</v>
      </c>
      <c r="E321" s="127">
        <v>2.5703117215977902</v>
      </c>
      <c r="F321" s="127">
        <v>2.6749547557450102</v>
      </c>
      <c r="G321" s="127">
        <v>4.9000000000000004</v>
      </c>
      <c r="H321" s="127">
        <v>4.6711153479504297</v>
      </c>
      <c r="I321" s="127">
        <v>1253.5999999999999</v>
      </c>
      <c r="J321" s="127">
        <v>756.5</v>
      </c>
      <c r="K321" s="127">
        <v>1254.0999999999999</v>
      </c>
      <c r="L321" s="127">
        <v>62.13</v>
      </c>
      <c r="M321" s="127">
        <v>62.5</v>
      </c>
      <c r="N321" s="127">
        <v>62.47</v>
      </c>
      <c r="O321" s="127">
        <v>62.34</v>
      </c>
      <c r="P321" s="127">
        <v>62.36</v>
      </c>
      <c r="Q321" s="79">
        <v>12.86</v>
      </c>
      <c r="R321" s="79">
        <v>3.87</v>
      </c>
      <c r="S321" s="127">
        <f t="shared" si="226"/>
        <v>2.519292604501608</v>
      </c>
      <c r="T321" s="127">
        <f t="shared" si="227"/>
        <v>2.5119866559485531</v>
      </c>
      <c r="U321" s="79">
        <f t="shared" si="228"/>
        <v>2.2691825726484427</v>
      </c>
      <c r="V321" s="127">
        <f t="shared" si="229"/>
        <v>10.478902247558494</v>
      </c>
      <c r="W321" s="127">
        <f t="shared" si="230"/>
        <v>78.34522625519152</v>
      </c>
      <c r="AC321" s="235">
        <v>161</v>
      </c>
      <c r="AD321" s="235">
        <v>91</v>
      </c>
      <c r="AE321" s="235">
        <v>44</v>
      </c>
      <c r="AF321" s="235">
        <v>15</v>
      </c>
    </row>
    <row r="322" spans="1:32">
      <c r="A322" s="1" t="s">
        <v>110</v>
      </c>
      <c r="B322" s="276"/>
      <c r="C322" s="1" t="s">
        <v>312</v>
      </c>
      <c r="D322" s="1" t="s">
        <v>307</v>
      </c>
      <c r="E322" s="127">
        <v>2.5357388225528599</v>
      </c>
      <c r="F322" s="127">
        <v>2.6749547557450102</v>
      </c>
      <c r="G322" s="127">
        <v>4.8</v>
      </c>
      <c r="H322" s="127">
        <v>4.5801526717557302</v>
      </c>
      <c r="I322" s="127">
        <v>1251</v>
      </c>
      <c r="J322" s="127">
        <v>753.1</v>
      </c>
      <c r="K322" s="127">
        <v>1252</v>
      </c>
      <c r="L322" s="127">
        <v>63.6</v>
      </c>
      <c r="M322" s="127">
        <v>63.33</v>
      </c>
      <c r="N322" s="127">
        <v>64.02</v>
      </c>
      <c r="O322" s="127">
        <v>63.72</v>
      </c>
      <c r="P322" s="127">
        <v>63.667499999999997</v>
      </c>
      <c r="Q322" s="79">
        <v>13.64</v>
      </c>
      <c r="R322" s="79">
        <v>4.41</v>
      </c>
      <c r="S322" s="127">
        <f t="shared" si="226"/>
        <v>2.5075165363800362</v>
      </c>
      <c r="T322" s="127">
        <f t="shared" si="227"/>
        <v>2.5002447384245343</v>
      </c>
      <c r="U322" s="79">
        <f t="shared" si="228"/>
        <v>1.3997531533074814</v>
      </c>
      <c r="V322" s="127">
        <f t="shared" si="229"/>
        <v>10.812334036180957</v>
      </c>
      <c r="W322" s="127">
        <f t="shared" si="230"/>
        <v>87.05410738677206</v>
      </c>
      <c r="X322" s="132">
        <f>AVERAGE(S322:S326)</f>
        <v>2.505220732867655</v>
      </c>
      <c r="Y322" s="132">
        <f t="shared" ref="Y322" si="279">AVERAGE(T322:T326)</f>
        <v>2.4979555927423389</v>
      </c>
      <c r="Z322" s="133">
        <f t="shared" ref="Z322" si="280">AVERAGE(U322:U326)</f>
        <v>1.4900284475071766</v>
      </c>
      <c r="AA322" s="132">
        <f t="shared" ref="AA322" si="281">AVERAGE(V322:V326)</f>
        <v>10.8939914664751</v>
      </c>
      <c r="AB322" s="132">
        <f t="shared" ref="AB322" si="282">AVERAGE(W322:W326)</f>
        <v>86.327366170609309</v>
      </c>
      <c r="AC322" s="235">
        <v>161</v>
      </c>
      <c r="AD322" s="235">
        <v>91</v>
      </c>
      <c r="AE322" s="235">
        <v>44</v>
      </c>
      <c r="AF322" s="235">
        <v>15</v>
      </c>
    </row>
    <row r="323" spans="1:32">
      <c r="A323" s="1" t="s">
        <v>110</v>
      </c>
      <c r="B323" s="276"/>
      <c r="C323" s="1" t="s">
        <v>312</v>
      </c>
      <c r="D323" s="1" t="s">
        <v>308</v>
      </c>
      <c r="E323" s="127">
        <v>2.5357388225528599</v>
      </c>
      <c r="F323" s="127">
        <v>2.6749547557450102</v>
      </c>
      <c r="G323" s="127">
        <v>4.8</v>
      </c>
      <c r="H323" s="127">
        <v>4.5801526717557302</v>
      </c>
      <c r="I323" s="127">
        <v>1247.8</v>
      </c>
      <c r="J323" s="127">
        <v>751.1</v>
      </c>
      <c r="K323" s="127">
        <v>1248.7</v>
      </c>
      <c r="L323" s="127">
        <v>63.93</v>
      </c>
      <c r="M323" s="127">
        <v>63.36</v>
      </c>
      <c r="N323" s="127">
        <v>63.35</v>
      </c>
      <c r="O323" s="127">
        <v>63.4</v>
      </c>
      <c r="P323" s="127">
        <v>63.51</v>
      </c>
      <c r="Q323" s="79">
        <v>13.81</v>
      </c>
      <c r="R323" s="79">
        <v>3.52</v>
      </c>
      <c r="S323" s="127">
        <f t="shared" ref="S323:S341" si="283">I323/(K323-J323)</f>
        <v>2.507636655948553</v>
      </c>
      <c r="T323" s="127">
        <f t="shared" ref="T323:T341" si="284">0.9971*S323</f>
        <v>2.5003645096463023</v>
      </c>
      <c r="U323" s="79">
        <f t="shared" ref="U323:U341" si="285">100*(1-T323/E323)</f>
        <v>1.3950298268866845</v>
      </c>
      <c r="V323" s="127">
        <f t="shared" ref="V323:V341" si="286">100-T323*(100-H323)/F323</f>
        <v>10.808061608144243</v>
      </c>
      <c r="W323" s="127">
        <f t="shared" ref="W323:W341" si="287">100*(V323-U323)/V323</f>
        <v>87.09269175672091</v>
      </c>
      <c r="AC323" s="235">
        <v>161</v>
      </c>
      <c r="AD323" s="235">
        <v>91</v>
      </c>
      <c r="AE323" s="235">
        <v>44</v>
      </c>
      <c r="AF323" s="235">
        <v>15</v>
      </c>
    </row>
    <row r="324" spans="1:32">
      <c r="A324" s="1" t="s">
        <v>110</v>
      </c>
      <c r="B324" s="276"/>
      <c r="C324" s="1" t="s">
        <v>312</v>
      </c>
      <c r="D324" s="1" t="s">
        <v>309</v>
      </c>
      <c r="E324" s="127">
        <v>2.5357388225528599</v>
      </c>
      <c r="F324" s="127">
        <v>2.6749547557450102</v>
      </c>
      <c r="G324" s="127">
        <v>4.8</v>
      </c>
      <c r="H324" s="127">
        <v>4.5801526717557302</v>
      </c>
      <c r="I324" s="127">
        <v>1246.9000000000001</v>
      </c>
      <c r="J324" s="127">
        <v>749.7</v>
      </c>
      <c r="K324" s="127">
        <v>1247.9000000000001</v>
      </c>
      <c r="L324" s="127">
        <v>63.1</v>
      </c>
      <c r="M324" s="127">
        <v>63.07</v>
      </c>
      <c r="N324" s="127">
        <v>63.17</v>
      </c>
      <c r="O324" s="127">
        <v>63.03</v>
      </c>
      <c r="P324" s="127">
        <v>63.092500000000001</v>
      </c>
      <c r="Q324" s="79">
        <v>13.01</v>
      </c>
      <c r="R324" s="79">
        <v>3.08</v>
      </c>
      <c r="S324" s="127">
        <f t="shared" si="283"/>
        <v>2.5028101164191088</v>
      </c>
      <c r="T324" s="127">
        <f t="shared" si="284"/>
        <v>2.4955519670814934</v>
      </c>
      <c r="U324" s="79">
        <f t="shared" si="285"/>
        <v>1.5848184014041422</v>
      </c>
      <c r="V324" s="127">
        <f t="shared" si="286"/>
        <v>10.979732577833914</v>
      </c>
      <c r="W324" s="127">
        <f t="shared" si="287"/>
        <v>85.565965380581289</v>
      </c>
      <c r="AC324" s="235">
        <v>161</v>
      </c>
      <c r="AD324" s="235">
        <v>91</v>
      </c>
      <c r="AE324" s="235">
        <v>44</v>
      </c>
      <c r="AF324" s="235">
        <v>15</v>
      </c>
    </row>
    <row r="325" spans="1:32">
      <c r="A325" s="1" t="s">
        <v>110</v>
      </c>
      <c r="B325" s="276"/>
      <c r="C325" s="1" t="s">
        <v>312</v>
      </c>
      <c r="D325" s="1" t="s">
        <v>310</v>
      </c>
      <c r="E325" s="127">
        <v>2.5357388225528599</v>
      </c>
      <c r="F325" s="127">
        <v>2.6749547557450102</v>
      </c>
      <c r="G325" s="127">
        <v>4.8</v>
      </c>
      <c r="H325" s="127">
        <v>4.5801526717557302</v>
      </c>
      <c r="I325" s="127">
        <v>1235.8</v>
      </c>
      <c r="J325" s="127">
        <v>743.3</v>
      </c>
      <c r="K325" s="127">
        <v>1237.0999999999999</v>
      </c>
      <c r="L325" s="127">
        <v>63.31</v>
      </c>
      <c r="M325" s="127">
        <v>63.15</v>
      </c>
      <c r="N325" s="127">
        <v>63.33</v>
      </c>
      <c r="O325" s="127">
        <v>63.44</v>
      </c>
      <c r="P325" s="127">
        <v>63.307499999999997</v>
      </c>
      <c r="Q325" s="79">
        <v>12.26</v>
      </c>
      <c r="R325" s="79">
        <v>3.08</v>
      </c>
      <c r="S325" s="127">
        <f t="shared" si="283"/>
        <v>2.5026326447954639</v>
      </c>
      <c r="T325" s="127">
        <f t="shared" si="284"/>
        <v>2.495375010125557</v>
      </c>
      <c r="U325" s="79">
        <f t="shared" si="285"/>
        <v>1.5917969180543001</v>
      </c>
      <c r="V325" s="127">
        <f t="shared" si="286"/>
        <v>10.986044911036132</v>
      </c>
      <c r="W325" s="127">
        <f t="shared" si="287"/>
        <v>85.510737203930006</v>
      </c>
      <c r="AC325" s="235">
        <v>161</v>
      </c>
      <c r="AD325" s="235">
        <v>91</v>
      </c>
      <c r="AE325" s="235">
        <v>44</v>
      </c>
      <c r="AF325" s="235">
        <v>15</v>
      </c>
    </row>
    <row r="326" spans="1:32">
      <c r="A326" s="1" t="s">
        <v>110</v>
      </c>
      <c r="B326" s="276"/>
      <c r="C326" s="1" t="s">
        <v>312</v>
      </c>
      <c r="D326" s="1" t="s">
        <v>311</v>
      </c>
      <c r="E326" s="127">
        <v>2.5357388225528599</v>
      </c>
      <c r="F326" s="127">
        <v>2.6749547557450102</v>
      </c>
      <c r="G326" s="127">
        <v>4.8</v>
      </c>
      <c r="H326" s="127">
        <v>4.5801526717557302</v>
      </c>
      <c r="I326" s="127">
        <v>1251</v>
      </c>
      <c r="J326" s="127">
        <v>752.9</v>
      </c>
      <c r="K326" s="127">
        <v>1252.2</v>
      </c>
      <c r="L326" s="127">
        <v>62.13</v>
      </c>
      <c r="M326" s="127">
        <v>62.5</v>
      </c>
      <c r="N326" s="127">
        <v>62.47</v>
      </c>
      <c r="O326" s="127">
        <v>62.34</v>
      </c>
      <c r="P326" s="127">
        <v>62.36</v>
      </c>
      <c r="Q326" s="79">
        <v>12.86</v>
      </c>
      <c r="R326" s="79">
        <v>3.87</v>
      </c>
      <c r="S326" s="127">
        <f t="shared" si="283"/>
        <v>2.5055077107951127</v>
      </c>
      <c r="T326" s="127">
        <f t="shared" si="284"/>
        <v>2.4982417384338067</v>
      </c>
      <c r="U326" s="79">
        <f t="shared" si="285"/>
        <v>1.4787439378832756</v>
      </c>
      <c r="V326" s="127">
        <f t="shared" si="286"/>
        <v>10.883784199180255</v>
      </c>
      <c r="W326" s="127">
        <f t="shared" si="287"/>
        <v>86.413329125042267</v>
      </c>
      <c r="AC326" s="235">
        <v>161</v>
      </c>
      <c r="AD326" s="235">
        <v>91</v>
      </c>
      <c r="AE326" s="235">
        <v>44</v>
      </c>
      <c r="AF326" s="235">
        <v>15</v>
      </c>
    </row>
    <row r="327" spans="1:32">
      <c r="A327" s="1" t="s">
        <v>110</v>
      </c>
      <c r="B327" s="276"/>
      <c r="C327" s="1" t="s">
        <v>313</v>
      </c>
      <c r="D327" s="1" t="s">
        <v>307</v>
      </c>
      <c r="E327" s="127">
        <v>2.5510475373069101</v>
      </c>
      <c r="F327" s="127">
        <v>2.6749547557450102</v>
      </c>
      <c r="G327" s="127">
        <v>4.8</v>
      </c>
      <c r="H327" s="127">
        <v>4.5801526717557302</v>
      </c>
      <c r="I327" s="127">
        <v>1249.8</v>
      </c>
      <c r="J327" s="127">
        <v>743.5</v>
      </c>
      <c r="K327" s="127">
        <v>1252.8</v>
      </c>
      <c r="L327" s="127">
        <v>64.38</v>
      </c>
      <c r="M327" s="127">
        <v>64.010000000000005</v>
      </c>
      <c r="N327" s="127">
        <v>64.41</v>
      </c>
      <c r="O327" s="127">
        <v>64.790000000000006</v>
      </c>
      <c r="P327" s="127">
        <v>64.397499999999994</v>
      </c>
      <c r="Q327" s="79">
        <v>12.75</v>
      </c>
      <c r="R327" s="79">
        <v>2.27</v>
      </c>
      <c r="S327" s="127">
        <f t="shared" si="283"/>
        <v>2.4539564107598668</v>
      </c>
      <c r="T327" s="127">
        <f t="shared" si="284"/>
        <v>2.4468399371686633</v>
      </c>
      <c r="U327" s="79">
        <f t="shared" si="285"/>
        <v>4.0848944841010981</v>
      </c>
      <c r="V327" s="127">
        <f t="shared" si="286"/>
        <v>12.717367372347113</v>
      </c>
      <c r="W327" s="127">
        <f t="shared" si="287"/>
        <v>67.879401730712189</v>
      </c>
      <c r="X327" s="132">
        <f>AVERAGE(S327:S331)</f>
        <v>2.4479166667037999</v>
      </c>
      <c r="Y327" s="132">
        <f t="shared" ref="Y327" si="288">AVERAGE(T327:T331)</f>
        <v>2.4408177083703584</v>
      </c>
      <c r="Z327" s="133">
        <f t="shared" ref="Z327" si="289">AVERAGE(U327:U331)</f>
        <v>4.3209633424910221</v>
      </c>
      <c r="AA327" s="132">
        <f t="shared" ref="AA327" si="290">AVERAGE(V327:V331)</f>
        <v>12.932189754398943</v>
      </c>
      <c r="AB327" s="132">
        <f t="shared" ref="AB327" si="291">AVERAGE(W327:W331)</f>
        <v>66.618125694583199</v>
      </c>
      <c r="AC327" s="235">
        <v>161</v>
      </c>
      <c r="AD327" s="235">
        <v>91</v>
      </c>
      <c r="AE327" s="235">
        <v>44</v>
      </c>
      <c r="AF327" s="235">
        <v>15</v>
      </c>
    </row>
    <row r="328" spans="1:32">
      <c r="A328" s="1" t="s">
        <v>110</v>
      </c>
      <c r="B328" s="276"/>
      <c r="C328" s="1" t="s">
        <v>313</v>
      </c>
      <c r="D328" s="1" t="s">
        <v>308</v>
      </c>
      <c r="E328" s="127">
        <v>2.5510475373069101</v>
      </c>
      <c r="F328" s="127">
        <v>2.6749547557450102</v>
      </c>
      <c r="G328" s="127">
        <v>4.8</v>
      </c>
      <c r="H328" s="127">
        <v>4.5801526717557302</v>
      </c>
      <c r="I328" s="127">
        <v>1234.4000000000001</v>
      </c>
      <c r="J328" s="127">
        <v>732.7</v>
      </c>
      <c r="K328" s="127">
        <v>1238.3</v>
      </c>
      <c r="L328" s="127">
        <v>64.19</v>
      </c>
      <c r="M328" s="127">
        <v>64.14</v>
      </c>
      <c r="N328" s="127">
        <v>63.78</v>
      </c>
      <c r="O328" s="127">
        <v>63.9</v>
      </c>
      <c r="P328" s="127">
        <v>64.002499999999998</v>
      </c>
      <c r="Q328" s="79">
        <v>10.23</v>
      </c>
      <c r="R328" s="79">
        <v>2.37</v>
      </c>
      <c r="S328" s="127">
        <f t="shared" si="283"/>
        <v>2.4414556962025324</v>
      </c>
      <c r="T328" s="127">
        <f t="shared" si="284"/>
        <v>2.4343754746835451</v>
      </c>
      <c r="U328" s="79">
        <f t="shared" si="285"/>
        <v>4.573496217421857</v>
      </c>
      <c r="V328" s="127">
        <f t="shared" si="286"/>
        <v>13.161994372039075</v>
      </c>
      <c r="W328" s="127">
        <f t="shared" si="287"/>
        <v>65.252255181497063</v>
      </c>
      <c r="AC328" s="235">
        <v>161</v>
      </c>
      <c r="AD328" s="235">
        <v>91</v>
      </c>
      <c r="AE328" s="235">
        <v>44</v>
      </c>
      <c r="AF328" s="235">
        <v>15</v>
      </c>
    </row>
    <row r="329" spans="1:32">
      <c r="A329" s="1" t="s">
        <v>110</v>
      </c>
      <c r="B329" s="276"/>
      <c r="C329" s="1" t="s">
        <v>313</v>
      </c>
      <c r="D329" s="1" t="s">
        <v>309</v>
      </c>
      <c r="E329" s="127">
        <v>2.5510475373069101</v>
      </c>
      <c r="F329" s="127">
        <v>2.6749547557450102</v>
      </c>
      <c r="G329" s="127">
        <v>4.8</v>
      </c>
      <c r="H329" s="127">
        <v>4.5801526717557302</v>
      </c>
      <c r="I329" s="127">
        <v>1217.8</v>
      </c>
      <c r="J329" s="127">
        <v>724.3</v>
      </c>
      <c r="K329" s="127">
        <v>1219.9000000000001</v>
      </c>
      <c r="L329" s="127">
        <v>63.49</v>
      </c>
      <c r="M329" s="127">
        <v>63.44</v>
      </c>
      <c r="N329" s="127">
        <v>63.83</v>
      </c>
      <c r="O329" s="127">
        <v>63.58</v>
      </c>
      <c r="P329" s="127">
        <v>63.585000000000001</v>
      </c>
      <c r="Q329" s="79">
        <v>11.33</v>
      </c>
      <c r="R329" s="79">
        <v>2.19</v>
      </c>
      <c r="S329" s="127">
        <f t="shared" si="283"/>
        <v>2.4572235673930583</v>
      </c>
      <c r="T329" s="127">
        <f t="shared" si="284"/>
        <v>2.4500976190476185</v>
      </c>
      <c r="U329" s="79">
        <f t="shared" si="285"/>
        <v>3.9571947124851459</v>
      </c>
      <c r="V329" s="127">
        <f t="shared" si="286"/>
        <v>12.601160731144574</v>
      </c>
      <c r="W329" s="127">
        <f t="shared" si="287"/>
        <v>68.596585688295477</v>
      </c>
      <c r="AC329" s="235">
        <v>161</v>
      </c>
      <c r="AD329" s="235">
        <v>91</v>
      </c>
      <c r="AE329" s="235">
        <v>44</v>
      </c>
      <c r="AF329" s="235">
        <v>15</v>
      </c>
    </row>
    <row r="330" spans="1:32">
      <c r="A330" s="1" t="s">
        <v>110</v>
      </c>
      <c r="B330" s="276"/>
      <c r="C330" s="1" t="s">
        <v>313</v>
      </c>
      <c r="D330" s="1" t="s">
        <v>310</v>
      </c>
      <c r="E330" s="127">
        <v>2.5510475373069101</v>
      </c>
      <c r="F330" s="127">
        <v>2.6749547557450102</v>
      </c>
      <c r="G330" s="127">
        <v>4.8</v>
      </c>
      <c r="H330" s="127">
        <v>4.5801526717557302</v>
      </c>
      <c r="I330" s="127">
        <v>1226.3</v>
      </c>
      <c r="J330" s="127">
        <v>726</v>
      </c>
      <c r="K330" s="127">
        <v>1229</v>
      </c>
      <c r="L330" s="127">
        <v>63.61</v>
      </c>
      <c r="M330" s="127">
        <v>63.99</v>
      </c>
      <c r="N330" s="127">
        <v>63.72</v>
      </c>
      <c r="O330" s="127">
        <v>64.17</v>
      </c>
      <c r="P330" s="127">
        <v>63.872500000000002</v>
      </c>
      <c r="Q330" s="79">
        <v>12.47</v>
      </c>
      <c r="R330" s="79">
        <v>2.46</v>
      </c>
      <c r="S330" s="127">
        <f t="shared" si="283"/>
        <v>2.4379721669980117</v>
      </c>
      <c r="T330" s="127">
        <f t="shared" si="284"/>
        <v>2.4309020477137175</v>
      </c>
      <c r="U330" s="79">
        <f t="shared" si="285"/>
        <v>4.7096531066617375</v>
      </c>
      <c r="V330" s="127">
        <f t="shared" si="286"/>
        <v>13.285896980281294</v>
      </c>
      <c r="W330" s="127">
        <f t="shared" si="287"/>
        <v>64.55148558165304</v>
      </c>
      <c r="AC330" s="235">
        <v>161</v>
      </c>
      <c r="AD330" s="235">
        <v>91</v>
      </c>
      <c r="AE330" s="235">
        <v>44</v>
      </c>
      <c r="AF330" s="235">
        <v>15</v>
      </c>
    </row>
    <row r="331" spans="1:32">
      <c r="A331" s="1" t="s">
        <v>110</v>
      </c>
      <c r="B331" s="276"/>
      <c r="C331" s="1" t="s">
        <v>313</v>
      </c>
      <c r="D331" s="1" t="s">
        <v>311</v>
      </c>
      <c r="E331" s="127">
        <v>2.5510475373069101</v>
      </c>
      <c r="F331" s="127">
        <v>2.6749547557450102</v>
      </c>
      <c r="G331" s="127">
        <v>4.8</v>
      </c>
      <c r="H331" s="127">
        <v>4.5801526717557302</v>
      </c>
      <c r="I331" s="127">
        <v>1219.0999999999999</v>
      </c>
      <c r="J331" s="127">
        <v>724.2</v>
      </c>
      <c r="K331" s="127">
        <v>1222</v>
      </c>
      <c r="L331" s="127">
        <v>64.86</v>
      </c>
      <c r="M331" s="127">
        <v>64.930000000000007</v>
      </c>
      <c r="N331" s="127">
        <v>64.63</v>
      </c>
      <c r="O331" s="127">
        <v>64.67</v>
      </c>
      <c r="P331" s="127">
        <v>64.772499999999994</v>
      </c>
      <c r="Q331" s="79">
        <v>12.35</v>
      </c>
      <c r="R331" s="79">
        <v>2.62</v>
      </c>
      <c r="S331" s="127">
        <f t="shared" si="283"/>
        <v>2.4489754921655282</v>
      </c>
      <c r="T331" s="127">
        <f t="shared" si="284"/>
        <v>2.4418734632382484</v>
      </c>
      <c r="U331" s="79">
        <f t="shared" si="285"/>
        <v>4.2795781917852711</v>
      </c>
      <c r="V331" s="127">
        <f t="shared" si="286"/>
        <v>12.894529316182656</v>
      </c>
      <c r="W331" s="127">
        <f t="shared" si="287"/>
        <v>66.810900290758241</v>
      </c>
      <c r="AC331" s="235">
        <v>161</v>
      </c>
      <c r="AD331" s="235">
        <v>91</v>
      </c>
      <c r="AE331" s="235">
        <v>44</v>
      </c>
      <c r="AF331" s="235">
        <v>15</v>
      </c>
    </row>
    <row r="332" spans="1:32">
      <c r="A332" s="1" t="s">
        <v>112</v>
      </c>
      <c r="B332" s="280" t="s">
        <v>218</v>
      </c>
      <c r="C332" s="1" t="s">
        <v>306</v>
      </c>
      <c r="D332" s="1" t="s">
        <v>307</v>
      </c>
      <c r="E332" s="127">
        <v>2.52860172625225</v>
      </c>
      <c r="F332" s="127">
        <v>2.6630089547454201</v>
      </c>
      <c r="G332" s="127">
        <v>4.9000000000000004</v>
      </c>
      <c r="H332" s="127">
        <v>4.6711153479504297</v>
      </c>
      <c r="I332" s="127">
        <v>1223.2</v>
      </c>
      <c r="J332" s="127">
        <v>730.5</v>
      </c>
      <c r="K332" s="127">
        <v>1225</v>
      </c>
      <c r="L332" s="127">
        <v>63.6</v>
      </c>
      <c r="M332" s="127">
        <v>63.33</v>
      </c>
      <c r="N332" s="127">
        <v>64.02</v>
      </c>
      <c r="O332" s="127">
        <v>63.72</v>
      </c>
      <c r="P332" s="127">
        <v>63.667499999999997</v>
      </c>
      <c r="Q332" s="79">
        <v>13.64</v>
      </c>
      <c r="R332" s="79">
        <v>4.41</v>
      </c>
      <c r="S332" s="127">
        <f t="shared" si="283"/>
        <v>2.47360970677452</v>
      </c>
      <c r="T332" s="127">
        <f t="shared" si="284"/>
        <v>2.4664362386248739</v>
      </c>
      <c r="U332" s="79">
        <f t="shared" si="285"/>
        <v>2.4584926515696992</v>
      </c>
      <c r="V332" s="127">
        <f t="shared" si="286"/>
        <v>11.707913984095867</v>
      </c>
      <c r="W332" s="127">
        <f t="shared" si="287"/>
        <v>79.001445903093099</v>
      </c>
      <c r="X332" s="132">
        <f>AVERAGE(S332:S336)</f>
        <v>2.4692239529978899</v>
      </c>
      <c r="Y332" s="132">
        <f t="shared" ref="Y332" si="292">AVERAGE(T332:T336)</f>
        <v>2.4620632035341958</v>
      </c>
      <c r="Z332" s="133">
        <f t="shared" ref="Z332" si="293">AVERAGE(U332:U336)</f>
        <v>2.6314354699375109</v>
      </c>
      <c r="AA332" s="132">
        <f t="shared" ref="AA332" si="294">AVERAGE(V332:V336)</f>
        <v>11.864457414787571</v>
      </c>
      <c r="AB332" s="132">
        <f t="shared" ref="AB332" si="295">AVERAGE(W332:W336)</f>
        <v>77.853044585836969</v>
      </c>
      <c r="AC332" s="235">
        <v>161</v>
      </c>
      <c r="AD332" s="235">
        <v>91</v>
      </c>
      <c r="AE332" s="235">
        <v>44</v>
      </c>
      <c r="AF332" s="235">
        <v>15</v>
      </c>
    </row>
    <row r="333" spans="1:32">
      <c r="A333" s="1" t="s">
        <v>112</v>
      </c>
      <c r="B333" s="276"/>
      <c r="C333" s="1" t="s">
        <v>306</v>
      </c>
      <c r="D333" s="1" t="s">
        <v>308</v>
      </c>
      <c r="E333" s="127">
        <v>2.52860172625225</v>
      </c>
      <c r="F333" s="127">
        <v>2.6630089547454201</v>
      </c>
      <c r="G333" s="127">
        <v>4.9000000000000004</v>
      </c>
      <c r="H333" s="127">
        <v>4.6711153479504297</v>
      </c>
      <c r="I333" s="127">
        <v>1231.9000000000001</v>
      </c>
      <c r="J333" s="127">
        <v>736.1</v>
      </c>
      <c r="K333" s="127">
        <v>1233.5</v>
      </c>
      <c r="L333" s="127">
        <v>63.93</v>
      </c>
      <c r="M333" s="127">
        <v>63.36</v>
      </c>
      <c r="N333" s="127">
        <v>63.35</v>
      </c>
      <c r="O333" s="127">
        <v>63.4</v>
      </c>
      <c r="P333" s="127">
        <v>63.51</v>
      </c>
      <c r="Q333" s="79">
        <v>13.81</v>
      </c>
      <c r="R333" s="79">
        <v>3.52</v>
      </c>
      <c r="S333" s="127">
        <f t="shared" si="283"/>
        <v>2.4766787293928432</v>
      </c>
      <c r="T333" s="127">
        <f t="shared" si="284"/>
        <v>2.4694963610776037</v>
      </c>
      <c r="U333" s="79">
        <f t="shared" si="285"/>
        <v>2.3374723097357442</v>
      </c>
      <c r="V333" s="127">
        <f t="shared" si="286"/>
        <v>11.598369455603915</v>
      </c>
      <c r="W333" s="127">
        <f t="shared" si="287"/>
        <v>79.846543786321945</v>
      </c>
      <c r="AC333" s="235">
        <v>161</v>
      </c>
      <c r="AD333" s="235">
        <v>91</v>
      </c>
      <c r="AE333" s="235">
        <v>44</v>
      </c>
      <c r="AF333" s="235">
        <v>15</v>
      </c>
    </row>
    <row r="334" spans="1:32">
      <c r="A334" s="1" t="s">
        <v>112</v>
      </c>
      <c r="B334" s="276"/>
      <c r="C334" s="1" t="s">
        <v>306</v>
      </c>
      <c r="D334" s="1" t="s">
        <v>309</v>
      </c>
      <c r="E334" s="127">
        <v>2.52860172625225</v>
      </c>
      <c r="F334" s="127">
        <v>2.6630089547454201</v>
      </c>
      <c r="G334" s="127">
        <v>4.9000000000000004</v>
      </c>
      <c r="H334" s="127">
        <v>4.6711153479504297</v>
      </c>
      <c r="I334" s="127">
        <v>1233.2</v>
      </c>
      <c r="J334" s="127">
        <v>735.8</v>
      </c>
      <c r="K334" s="127">
        <v>1234.5999999999999</v>
      </c>
      <c r="L334" s="127">
        <v>63.1</v>
      </c>
      <c r="M334" s="127">
        <v>63.07</v>
      </c>
      <c r="N334" s="127">
        <v>63.17</v>
      </c>
      <c r="O334" s="127">
        <v>63.03</v>
      </c>
      <c r="P334" s="127">
        <v>63.092500000000001</v>
      </c>
      <c r="Q334" s="79">
        <v>13.01</v>
      </c>
      <c r="R334" s="79">
        <v>3.08</v>
      </c>
      <c r="S334" s="127">
        <f t="shared" si="283"/>
        <v>2.47233360064154</v>
      </c>
      <c r="T334" s="127">
        <f t="shared" si="284"/>
        <v>2.4651638331996795</v>
      </c>
      <c r="U334" s="79">
        <f t="shared" si="285"/>
        <v>2.5088131671330727</v>
      </c>
      <c r="V334" s="127">
        <f t="shared" si="286"/>
        <v>11.753462832060819</v>
      </c>
      <c r="W334" s="127">
        <f t="shared" si="287"/>
        <v>78.654689235162323</v>
      </c>
      <c r="AC334" s="235">
        <v>161</v>
      </c>
      <c r="AD334" s="235">
        <v>91</v>
      </c>
      <c r="AE334" s="235">
        <v>44</v>
      </c>
      <c r="AF334" s="235">
        <v>15</v>
      </c>
    </row>
    <row r="335" spans="1:32">
      <c r="A335" s="1" t="s">
        <v>112</v>
      </c>
      <c r="B335" s="276"/>
      <c r="C335" s="1" t="s">
        <v>306</v>
      </c>
      <c r="D335" s="1" t="s">
        <v>310</v>
      </c>
      <c r="E335" s="127">
        <v>2.52860172625225</v>
      </c>
      <c r="F335" s="127">
        <v>2.6630089547454201</v>
      </c>
      <c r="G335" s="127">
        <v>4.9000000000000004</v>
      </c>
      <c r="H335" s="127">
        <v>4.6711153479504297</v>
      </c>
      <c r="I335" s="127">
        <v>1229.8</v>
      </c>
      <c r="J335" s="127">
        <v>732.2</v>
      </c>
      <c r="K335" s="127">
        <v>1231.4000000000001</v>
      </c>
      <c r="L335" s="127">
        <v>63.31</v>
      </c>
      <c r="M335" s="127">
        <v>63.15</v>
      </c>
      <c r="N335" s="127">
        <v>63.33</v>
      </c>
      <c r="O335" s="127">
        <v>63.44</v>
      </c>
      <c r="P335" s="127">
        <v>63.307499999999997</v>
      </c>
      <c r="Q335" s="79">
        <v>12.26</v>
      </c>
      <c r="R335" s="79">
        <v>3.08</v>
      </c>
      <c r="S335" s="127">
        <f t="shared" si="283"/>
        <v>2.4635416666666665</v>
      </c>
      <c r="T335" s="127">
        <f t="shared" si="284"/>
        <v>2.4563973958333332</v>
      </c>
      <c r="U335" s="79">
        <f t="shared" si="285"/>
        <v>2.8555042761097105</v>
      </c>
      <c r="V335" s="127">
        <f t="shared" si="286"/>
        <v>12.067278786384463</v>
      </c>
      <c r="W335" s="127">
        <f t="shared" si="287"/>
        <v>76.336800312166631</v>
      </c>
      <c r="AC335" s="235">
        <v>161</v>
      </c>
      <c r="AD335" s="235">
        <v>91</v>
      </c>
      <c r="AE335" s="235">
        <v>44</v>
      </c>
      <c r="AF335" s="235">
        <v>15</v>
      </c>
    </row>
    <row r="336" spans="1:32">
      <c r="A336" s="1" t="s">
        <v>112</v>
      </c>
      <c r="B336" s="276"/>
      <c r="C336" s="1" t="s">
        <v>306</v>
      </c>
      <c r="D336" s="1" t="s">
        <v>311</v>
      </c>
      <c r="E336" s="127">
        <v>2.52860172625225</v>
      </c>
      <c r="F336" s="127">
        <v>2.6630089547454201</v>
      </c>
      <c r="G336" s="127">
        <v>4.9000000000000004</v>
      </c>
      <c r="H336" s="127">
        <v>4.6711153479504297</v>
      </c>
      <c r="I336" s="127">
        <v>1231.7</v>
      </c>
      <c r="J336" s="127">
        <v>733.6</v>
      </c>
      <c r="K336" s="127">
        <v>1234.3</v>
      </c>
      <c r="L336" s="127">
        <v>62.13</v>
      </c>
      <c r="M336" s="127">
        <v>62.5</v>
      </c>
      <c r="N336" s="127">
        <v>62.47</v>
      </c>
      <c r="O336" s="127">
        <v>62.34</v>
      </c>
      <c r="P336" s="127">
        <v>62.36</v>
      </c>
      <c r="Q336" s="79">
        <v>12.86</v>
      </c>
      <c r="R336" s="79">
        <v>3.87</v>
      </c>
      <c r="S336" s="127">
        <f t="shared" si="283"/>
        <v>2.4599560615138811</v>
      </c>
      <c r="T336" s="127">
        <f t="shared" si="284"/>
        <v>2.4528221889354906</v>
      </c>
      <c r="U336" s="79">
        <f t="shared" si="285"/>
        <v>2.9968949451393279</v>
      </c>
      <c r="V336" s="127">
        <f t="shared" si="286"/>
        <v>12.195262015792792</v>
      </c>
      <c r="W336" s="127">
        <f t="shared" si="287"/>
        <v>75.425743692440832</v>
      </c>
      <c r="AC336" s="235">
        <v>161</v>
      </c>
      <c r="AD336" s="235">
        <v>91</v>
      </c>
      <c r="AE336" s="235">
        <v>44</v>
      </c>
      <c r="AF336" s="235">
        <v>15</v>
      </c>
    </row>
    <row r="337" spans="1:32">
      <c r="A337" s="1" t="s">
        <v>112</v>
      </c>
      <c r="B337" s="276"/>
      <c r="C337" s="1" t="s">
        <v>312</v>
      </c>
      <c r="D337" s="1" t="s">
        <v>307</v>
      </c>
      <c r="E337" s="127">
        <v>2.5395291732671801</v>
      </c>
      <c r="F337" s="127">
        <v>2.6630089547454201</v>
      </c>
      <c r="G337" s="127">
        <v>4.8</v>
      </c>
      <c r="H337" s="127">
        <v>4.5801526717557302</v>
      </c>
      <c r="I337" s="127">
        <v>1235.9000000000001</v>
      </c>
      <c r="J337" s="127">
        <v>732.7</v>
      </c>
      <c r="K337" s="127">
        <v>1237.5999999999999</v>
      </c>
      <c r="L337" s="127">
        <v>63.19</v>
      </c>
      <c r="M337" s="127">
        <v>63.5</v>
      </c>
      <c r="N337" s="127">
        <v>63.5</v>
      </c>
      <c r="O337" s="127">
        <v>63.37</v>
      </c>
      <c r="P337" s="127">
        <v>63.39</v>
      </c>
      <c r="Q337" s="79">
        <v>12.56</v>
      </c>
      <c r="R337" s="79">
        <v>2.5099999999999998</v>
      </c>
      <c r="S337" s="127">
        <f t="shared" si="283"/>
        <v>2.4478114478114485</v>
      </c>
      <c r="T337" s="127">
        <f t="shared" si="284"/>
        <v>2.4407127946127951</v>
      </c>
      <c r="U337" s="79">
        <f t="shared" si="285"/>
        <v>3.8911298871693867</v>
      </c>
      <c r="V337" s="127">
        <f t="shared" si="286"/>
        <v>12.54537773181859</v>
      </c>
      <c r="W337" s="127">
        <f t="shared" si="287"/>
        <v>68.983557367902989</v>
      </c>
      <c r="X337" s="132">
        <f>AVERAGE(S337:S341)</f>
        <v>2.450826524349575</v>
      </c>
      <c r="Y337" s="132">
        <f t="shared" ref="Y337" si="296">AVERAGE(T337:T341)</f>
        <v>2.4437191274289609</v>
      </c>
      <c r="Z337" s="133">
        <f t="shared" ref="Z337" si="297">AVERAGE(U337:U341)</f>
        <v>3.7727483837075426</v>
      </c>
      <c r="AA337" s="132">
        <f t="shared" ref="AA337" si="298">AVERAGE(V337:V341)</f>
        <v>12.437656044354767</v>
      </c>
      <c r="AB337" s="132">
        <f t="shared" ref="AB337" si="299">AVERAGE(W337:W341)</f>
        <v>69.680106748545711</v>
      </c>
      <c r="AC337" s="235">
        <v>161</v>
      </c>
      <c r="AD337" s="235">
        <v>91</v>
      </c>
      <c r="AE337" s="235">
        <v>44</v>
      </c>
      <c r="AF337" s="235">
        <v>15</v>
      </c>
    </row>
    <row r="338" spans="1:32">
      <c r="A338" s="1" t="s">
        <v>112</v>
      </c>
      <c r="B338" s="276"/>
      <c r="C338" s="1" t="s">
        <v>312</v>
      </c>
      <c r="D338" s="1" t="s">
        <v>308</v>
      </c>
      <c r="E338" s="127">
        <v>2.5395291732671801</v>
      </c>
      <c r="F338" s="127">
        <v>2.6630089547454201</v>
      </c>
      <c r="G338" s="127">
        <v>4.8</v>
      </c>
      <c r="H338" s="127">
        <v>4.5801526717557302</v>
      </c>
      <c r="I338" s="127">
        <v>1235.8</v>
      </c>
      <c r="J338" s="127">
        <v>732.1</v>
      </c>
      <c r="K338" s="127">
        <v>1237.5</v>
      </c>
      <c r="L338" s="127">
        <v>63.5</v>
      </c>
      <c r="M338" s="127">
        <v>63.26</v>
      </c>
      <c r="N338" s="127">
        <v>62.93</v>
      </c>
      <c r="O338" s="127">
        <v>63.03</v>
      </c>
      <c r="P338" s="127">
        <v>63.18</v>
      </c>
      <c r="Q338" s="79">
        <v>13.08</v>
      </c>
      <c r="R338" s="79">
        <v>2.2200000000000002</v>
      </c>
      <c r="S338" s="127">
        <f t="shared" si="283"/>
        <v>2.4451919271863871</v>
      </c>
      <c r="T338" s="127">
        <f t="shared" si="284"/>
        <v>2.4381008705975464</v>
      </c>
      <c r="U338" s="79">
        <f t="shared" si="285"/>
        <v>3.9939806062217031</v>
      </c>
      <c r="V338" s="127">
        <f t="shared" si="286"/>
        <v>12.638967124495579</v>
      </c>
      <c r="W338" s="127">
        <f t="shared" si="287"/>
        <v>68.399469933892235</v>
      </c>
      <c r="AC338" s="235">
        <v>161</v>
      </c>
      <c r="AD338" s="235">
        <v>91</v>
      </c>
      <c r="AE338" s="235">
        <v>44</v>
      </c>
      <c r="AF338" s="235">
        <v>15</v>
      </c>
    </row>
    <row r="339" spans="1:32">
      <c r="A339" s="1" t="s">
        <v>112</v>
      </c>
      <c r="B339" s="276"/>
      <c r="C339" s="1" t="s">
        <v>312</v>
      </c>
      <c r="D339" s="1" t="s">
        <v>309</v>
      </c>
      <c r="E339" s="127">
        <v>2.5395291732671801</v>
      </c>
      <c r="F339" s="127">
        <v>2.6630089547454201</v>
      </c>
      <c r="G339" s="127">
        <v>4.8</v>
      </c>
      <c r="H339" s="127">
        <v>4.5801526717557302</v>
      </c>
      <c r="I339" s="127">
        <v>1236.9000000000001</v>
      </c>
      <c r="J339" s="127">
        <v>735.4</v>
      </c>
      <c r="K339" s="127">
        <v>1238.5</v>
      </c>
      <c r="L339" s="127">
        <v>63.12</v>
      </c>
      <c r="M339" s="127">
        <v>63.01</v>
      </c>
      <c r="N339" s="127">
        <v>63.22</v>
      </c>
      <c r="O339" s="127">
        <v>63.29</v>
      </c>
      <c r="P339" s="127">
        <v>63.16</v>
      </c>
      <c r="Q339" s="79">
        <v>13.62</v>
      </c>
      <c r="R339" s="79">
        <v>2.11</v>
      </c>
      <c r="S339" s="127">
        <f t="shared" si="283"/>
        <v>2.4585569469290398</v>
      </c>
      <c r="T339" s="127">
        <f t="shared" si="284"/>
        <v>2.4514271317829457</v>
      </c>
      <c r="U339" s="79">
        <f t="shared" si="285"/>
        <v>3.4692273832353182</v>
      </c>
      <c r="V339" s="127">
        <f t="shared" si="286"/>
        <v>12.161465985980371</v>
      </c>
      <c r="W339" s="127">
        <f t="shared" si="287"/>
        <v>71.473608632095733</v>
      </c>
      <c r="AC339" s="235">
        <v>161</v>
      </c>
      <c r="AD339" s="235">
        <v>91</v>
      </c>
      <c r="AE339" s="235">
        <v>44</v>
      </c>
      <c r="AF339" s="235">
        <v>15</v>
      </c>
    </row>
    <row r="340" spans="1:32">
      <c r="A340" s="1" t="s">
        <v>112</v>
      </c>
      <c r="B340" s="276"/>
      <c r="C340" s="1" t="s">
        <v>312</v>
      </c>
      <c r="D340" s="1" t="s">
        <v>310</v>
      </c>
      <c r="E340" s="127">
        <v>2.5395291732671801</v>
      </c>
      <c r="F340" s="127">
        <v>2.6630089547454201</v>
      </c>
      <c r="G340" s="127">
        <v>4.8</v>
      </c>
      <c r="H340" s="127">
        <v>4.5801526717557302</v>
      </c>
      <c r="I340" s="127">
        <v>1234.0999999999999</v>
      </c>
      <c r="J340" s="127">
        <v>732.1</v>
      </c>
      <c r="K340" s="127">
        <v>1235.5999999999999</v>
      </c>
      <c r="L340" s="127">
        <v>62.74</v>
      </c>
      <c r="M340" s="127">
        <v>62.78</v>
      </c>
      <c r="N340" s="127">
        <v>62.88</v>
      </c>
      <c r="O340" s="127">
        <v>62.8</v>
      </c>
      <c r="P340" s="127">
        <v>62.8</v>
      </c>
      <c r="Q340" s="79">
        <v>11.99</v>
      </c>
      <c r="R340" s="79">
        <v>2.91</v>
      </c>
      <c r="S340" s="127">
        <f t="shared" si="283"/>
        <v>2.4510427010923541</v>
      </c>
      <c r="T340" s="127">
        <f t="shared" si="284"/>
        <v>2.4439346772591861</v>
      </c>
      <c r="U340" s="79">
        <f t="shared" si="285"/>
        <v>3.7642605965817144</v>
      </c>
      <c r="V340" s="127">
        <f t="shared" si="286"/>
        <v>12.429932551027775</v>
      </c>
      <c r="W340" s="127">
        <f t="shared" si="287"/>
        <v>69.716162327280969</v>
      </c>
      <c r="AC340" s="235">
        <v>161</v>
      </c>
      <c r="AD340" s="235">
        <v>91</v>
      </c>
      <c r="AE340" s="235">
        <v>44</v>
      </c>
      <c r="AF340" s="235">
        <v>15</v>
      </c>
    </row>
    <row r="341" spans="1:32">
      <c r="A341" s="1" t="s">
        <v>112</v>
      </c>
      <c r="B341" s="276"/>
      <c r="C341" s="1" t="s">
        <v>312</v>
      </c>
      <c r="D341" s="1" t="s">
        <v>311</v>
      </c>
      <c r="E341" s="127">
        <v>2.5395291732671801</v>
      </c>
      <c r="F341" s="127">
        <v>2.6630089547454201</v>
      </c>
      <c r="G341" s="127">
        <v>4.8</v>
      </c>
      <c r="H341" s="127">
        <v>4.5801526717557302</v>
      </c>
      <c r="I341" s="127">
        <v>1234.0999999999999</v>
      </c>
      <c r="J341" s="127">
        <v>732</v>
      </c>
      <c r="K341" s="127">
        <v>1235.4000000000001</v>
      </c>
      <c r="L341" s="127">
        <v>62.6</v>
      </c>
      <c r="M341" s="127">
        <v>62.23</v>
      </c>
      <c r="N341" s="127">
        <v>62.26</v>
      </c>
      <c r="O341" s="127">
        <v>62.58</v>
      </c>
      <c r="P341" s="127">
        <v>62.417499999999997</v>
      </c>
      <c r="Q341" s="79">
        <v>12.16</v>
      </c>
      <c r="R341" s="79">
        <v>2.2799999999999998</v>
      </c>
      <c r="S341" s="127">
        <f t="shared" si="283"/>
        <v>2.4515295987286447</v>
      </c>
      <c r="T341" s="127">
        <f t="shared" si="284"/>
        <v>2.4444201628923317</v>
      </c>
      <c r="U341" s="79">
        <f t="shared" si="285"/>
        <v>3.7451434453295906</v>
      </c>
      <c r="V341" s="127">
        <f t="shared" si="286"/>
        <v>12.412536828451522</v>
      </c>
      <c r="W341" s="127">
        <f t="shared" si="287"/>
        <v>69.827735481556658</v>
      </c>
      <c r="AC341" s="235">
        <v>161</v>
      </c>
      <c r="AD341" s="235">
        <v>91</v>
      </c>
      <c r="AE341" s="235">
        <v>44</v>
      </c>
      <c r="AF341" s="235">
        <v>15</v>
      </c>
    </row>
    <row r="342" spans="1:32">
      <c r="A342" s="1" t="s">
        <v>256</v>
      </c>
      <c r="B342" s="280" t="s">
        <v>254</v>
      </c>
      <c r="C342" s="1" t="s">
        <v>306</v>
      </c>
      <c r="D342" s="1" t="s">
        <v>307</v>
      </c>
      <c r="E342" s="127">
        <v>2.5392202951485698</v>
      </c>
      <c r="F342" s="127">
        <v>2.71197373128595</v>
      </c>
      <c r="G342" s="127">
        <v>4.9000000000000004</v>
      </c>
      <c r="H342" s="127">
        <v>4.6711153479504297</v>
      </c>
      <c r="I342" s="127">
        <v>1251.7</v>
      </c>
      <c r="J342" s="127">
        <v>751.3</v>
      </c>
      <c r="K342" s="127">
        <v>1252.8</v>
      </c>
      <c r="L342" s="127">
        <v>63.6</v>
      </c>
      <c r="M342" s="127">
        <v>63.33</v>
      </c>
      <c r="N342" s="127">
        <v>63.58</v>
      </c>
      <c r="O342" s="127">
        <v>63.67</v>
      </c>
      <c r="P342" s="127">
        <v>63.545000000000002</v>
      </c>
      <c r="Q342" s="79">
        <v>15.42</v>
      </c>
      <c r="R342" s="79">
        <v>3.12</v>
      </c>
      <c r="S342" s="127">
        <f t="shared" ref="S342:S386" si="300">I342/(K342-J342)</f>
        <v>2.4959122632103692</v>
      </c>
      <c r="T342" s="127">
        <f t="shared" ref="T342:T386" si="301">0.9971*S342</f>
        <v>2.4886741176470593</v>
      </c>
      <c r="U342" s="79">
        <f t="shared" ref="U342:U386" si="302">100*(1-T342/E342)</f>
        <v>1.9906180490949943</v>
      </c>
      <c r="V342" s="127">
        <f t="shared" ref="V342:V386" si="303">100-T342*(100-H342)/F342</f>
        <v>12.520344441085982</v>
      </c>
      <c r="W342" s="127">
        <f t="shared" ref="W342:W386" si="304">100*(V342-U342)/V342</f>
        <v>84.100932219063353</v>
      </c>
      <c r="X342" s="132">
        <f>AVERAGE(S342:S346)</f>
        <v>2.5021713092052567</v>
      </c>
      <c r="Y342" s="132">
        <f t="shared" ref="Y342" si="305">AVERAGE(T342:T346)</f>
        <v>2.4949150124085611</v>
      </c>
      <c r="Z342" s="133">
        <f t="shared" ref="Z342" si="306">AVERAGE(U342:U346)</f>
        <v>1.7448380837479238</v>
      </c>
      <c r="AA342" s="132">
        <f t="shared" ref="AA342" si="307">AVERAGE(V342:V346)</f>
        <v>12.300970068103879</v>
      </c>
      <c r="AB342" s="132">
        <f t="shared" ref="AB342" si="308">AVERAGE(W342:W346)</f>
        <v>85.826831021047838</v>
      </c>
      <c r="AC342" s="235">
        <v>161</v>
      </c>
      <c r="AD342" s="235">
        <v>91</v>
      </c>
      <c r="AE342" s="235">
        <v>44</v>
      </c>
      <c r="AF342" s="235">
        <v>15</v>
      </c>
    </row>
    <row r="343" spans="1:32">
      <c r="A343" s="1" t="s">
        <v>256</v>
      </c>
      <c r="B343" s="276"/>
      <c r="C343" s="1" t="s">
        <v>306</v>
      </c>
      <c r="D343" s="1" t="s">
        <v>308</v>
      </c>
      <c r="E343" s="127">
        <v>2.5392202951485698</v>
      </c>
      <c r="F343" s="127">
        <v>2.71197373128595</v>
      </c>
      <c r="G343" s="127">
        <v>4.9000000000000004</v>
      </c>
      <c r="H343" s="127">
        <v>4.6711153479504297</v>
      </c>
      <c r="I343" s="127">
        <v>1239.7</v>
      </c>
      <c r="J343" s="127">
        <v>746.2</v>
      </c>
      <c r="K343" s="127">
        <v>1241</v>
      </c>
      <c r="L343" s="127">
        <v>63.93</v>
      </c>
      <c r="M343" s="127">
        <v>63.36</v>
      </c>
      <c r="N343" s="127">
        <v>62.36</v>
      </c>
      <c r="O343" s="127">
        <v>62.38</v>
      </c>
      <c r="P343" s="127">
        <v>63.0075</v>
      </c>
      <c r="Q343" s="79">
        <v>17.190000000000001</v>
      </c>
      <c r="R343" s="79">
        <v>3.19</v>
      </c>
      <c r="S343" s="127">
        <f t="shared" si="300"/>
        <v>2.5054567502021023</v>
      </c>
      <c r="T343" s="127">
        <f t="shared" si="301"/>
        <v>2.498190925626516</v>
      </c>
      <c r="U343" s="79">
        <f t="shared" si="302"/>
        <v>1.6158255193708282</v>
      </c>
      <c r="V343" s="127">
        <f t="shared" si="303"/>
        <v>12.185818084999511</v>
      </c>
      <c r="W343" s="127">
        <f t="shared" si="304"/>
        <v>86.740114548732066</v>
      </c>
      <c r="X343"/>
      <c r="Y343"/>
      <c r="Z343" s="133"/>
      <c r="AA343"/>
      <c r="AB343"/>
      <c r="AC343" s="235">
        <v>161</v>
      </c>
      <c r="AD343" s="235">
        <v>91</v>
      </c>
      <c r="AE343" s="235">
        <v>44</v>
      </c>
      <c r="AF343" s="235">
        <v>15</v>
      </c>
    </row>
    <row r="344" spans="1:32">
      <c r="A344" s="1" t="s">
        <v>256</v>
      </c>
      <c r="B344" s="276"/>
      <c r="C344" s="1" t="s">
        <v>306</v>
      </c>
      <c r="D344" s="1" t="s">
        <v>309</v>
      </c>
      <c r="E344" s="127">
        <v>2.5392202951485698</v>
      </c>
      <c r="F344" s="127">
        <v>2.71197373128595</v>
      </c>
      <c r="G344" s="127">
        <v>4.9000000000000004</v>
      </c>
      <c r="H344" s="127">
        <v>4.6711153479504297</v>
      </c>
      <c r="I344" s="127">
        <v>1211.5</v>
      </c>
      <c r="J344" s="127">
        <v>729.1</v>
      </c>
      <c r="K344" s="127">
        <v>1212.5999999999999</v>
      </c>
      <c r="L344" s="127">
        <v>63.1</v>
      </c>
      <c r="M344" s="127">
        <v>63.07</v>
      </c>
      <c r="N344" s="127">
        <v>63.26</v>
      </c>
      <c r="O344" s="127">
        <v>62.87</v>
      </c>
      <c r="P344" s="127">
        <v>63.075000000000003</v>
      </c>
      <c r="Q344" s="79">
        <v>14.12</v>
      </c>
      <c r="R344" s="79">
        <v>3.13</v>
      </c>
      <c r="S344" s="127">
        <f t="shared" si="300"/>
        <v>2.5056876938986563</v>
      </c>
      <c r="T344" s="127">
        <f t="shared" si="301"/>
        <v>2.4984211995863501</v>
      </c>
      <c r="U344" s="79">
        <f t="shared" si="302"/>
        <v>1.6067568316215142</v>
      </c>
      <c r="V344" s="127">
        <f t="shared" si="303"/>
        <v>12.177723699901975</v>
      </c>
      <c r="W344" s="127">
        <f t="shared" si="304"/>
        <v>86.805770345779422</v>
      </c>
      <c r="X344"/>
      <c r="Y344"/>
      <c r="Z344" s="133"/>
      <c r="AA344"/>
      <c r="AB344"/>
      <c r="AC344" s="235">
        <v>161</v>
      </c>
      <c r="AD344" s="235">
        <v>91</v>
      </c>
      <c r="AE344" s="235">
        <v>44</v>
      </c>
      <c r="AF344" s="235">
        <v>15</v>
      </c>
    </row>
    <row r="345" spans="1:32">
      <c r="A345" s="1" t="s">
        <v>256</v>
      </c>
      <c r="B345" s="276"/>
      <c r="C345" s="1" t="s">
        <v>306</v>
      </c>
      <c r="D345" s="1" t="s">
        <v>310</v>
      </c>
      <c r="E345" s="127">
        <v>2.5392202951485698</v>
      </c>
      <c r="F345" s="127">
        <v>2.71197373128595</v>
      </c>
      <c r="G345" s="127">
        <v>4.9000000000000004</v>
      </c>
      <c r="H345" s="127">
        <v>4.6711153479504297</v>
      </c>
      <c r="I345" s="127">
        <v>1252.3</v>
      </c>
      <c r="J345" s="127">
        <v>753.9</v>
      </c>
      <c r="K345" s="127">
        <v>1254</v>
      </c>
      <c r="L345" s="127">
        <v>63.31</v>
      </c>
      <c r="M345" s="127">
        <v>62.28</v>
      </c>
      <c r="N345" s="127">
        <v>62.25</v>
      </c>
      <c r="O345" s="127">
        <v>62.49</v>
      </c>
      <c r="P345" s="127">
        <v>62.582500000000003</v>
      </c>
      <c r="Q345" s="79">
        <v>17.21</v>
      </c>
      <c r="R345" s="79">
        <v>3.04</v>
      </c>
      <c r="S345" s="127">
        <f t="shared" si="300"/>
        <v>2.5040991801639669</v>
      </c>
      <c r="T345" s="127">
        <f t="shared" si="301"/>
        <v>2.4968372925414912</v>
      </c>
      <c r="U345" s="79">
        <f t="shared" si="302"/>
        <v>1.669134524800997</v>
      </c>
      <c r="V345" s="127">
        <f t="shared" si="303"/>
        <v>12.2333997893261</v>
      </c>
      <c r="W345" s="127">
        <f t="shared" si="304"/>
        <v>86.355922690784993</v>
      </c>
      <c r="X345"/>
      <c r="Y345"/>
      <c r="Z345" s="133"/>
      <c r="AA345"/>
      <c r="AB345"/>
      <c r="AC345" s="235">
        <v>161</v>
      </c>
      <c r="AD345" s="235">
        <v>91</v>
      </c>
      <c r="AE345" s="235">
        <v>44</v>
      </c>
      <c r="AF345" s="235">
        <v>15</v>
      </c>
    </row>
    <row r="346" spans="1:32">
      <c r="A346" s="1" t="s">
        <v>256</v>
      </c>
      <c r="B346" s="276"/>
      <c r="C346" s="1" t="s">
        <v>306</v>
      </c>
      <c r="D346" s="1" t="s">
        <v>311</v>
      </c>
      <c r="E346" s="127">
        <v>2.5392202951485698</v>
      </c>
      <c r="F346" s="127">
        <v>2.71197373128595</v>
      </c>
      <c r="G346" s="127">
        <v>4.9000000000000004</v>
      </c>
      <c r="H346" s="127">
        <v>4.6711153479504297</v>
      </c>
      <c r="I346" s="127">
        <v>1252.5999999999999</v>
      </c>
      <c r="J346" s="127">
        <v>753</v>
      </c>
      <c r="K346" s="127">
        <v>1254.0999999999999</v>
      </c>
      <c r="L346" s="127">
        <v>62.13</v>
      </c>
      <c r="M346" s="127">
        <v>63.18</v>
      </c>
      <c r="N346" s="127">
        <v>63.48</v>
      </c>
      <c r="O346" s="127">
        <v>63.21</v>
      </c>
      <c r="P346" s="127">
        <v>63</v>
      </c>
      <c r="Q346" s="79">
        <v>15.39</v>
      </c>
      <c r="R346" s="79">
        <v>3.36</v>
      </c>
      <c r="S346" s="127">
        <f t="shared" si="300"/>
        <v>2.4997006585511876</v>
      </c>
      <c r="T346" s="127">
        <f t="shared" si="301"/>
        <v>2.4924515266413891</v>
      </c>
      <c r="U346" s="79">
        <f t="shared" si="302"/>
        <v>1.8418554938512854</v>
      </c>
      <c r="V346" s="127">
        <f t="shared" si="303"/>
        <v>12.38756432520583</v>
      </c>
      <c r="W346" s="127">
        <f t="shared" si="304"/>
        <v>85.131415300879311</v>
      </c>
      <c r="X346"/>
      <c r="Y346"/>
      <c r="Z346" s="133"/>
      <c r="AA346"/>
      <c r="AB346"/>
      <c r="AC346" s="235">
        <v>161</v>
      </c>
      <c r="AD346" s="235">
        <v>91</v>
      </c>
      <c r="AE346" s="235">
        <v>44</v>
      </c>
      <c r="AF346" s="235">
        <v>15</v>
      </c>
    </row>
    <row r="347" spans="1:32">
      <c r="A347" s="1" t="s">
        <v>256</v>
      </c>
      <c r="B347" s="280" t="s">
        <v>255</v>
      </c>
      <c r="C347" s="1" t="s">
        <v>312</v>
      </c>
      <c r="D347" s="1" t="s">
        <v>307</v>
      </c>
      <c r="E347" s="127">
        <v>2.5603924034451899</v>
      </c>
      <c r="F347" s="127">
        <v>2.71197373128595</v>
      </c>
      <c r="G347" s="127">
        <v>4.9000000000000004</v>
      </c>
      <c r="H347" s="127">
        <v>4.6711153479504297</v>
      </c>
      <c r="I347" s="127">
        <v>1239.8</v>
      </c>
      <c r="J347" s="127">
        <v>742.8</v>
      </c>
      <c r="K347" s="127">
        <v>1242.4000000000001</v>
      </c>
      <c r="L347" s="127">
        <v>63.6</v>
      </c>
      <c r="M347" s="127">
        <v>63.33</v>
      </c>
      <c r="N347" s="127">
        <v>63.58</v>
      </c>
      <c r="O347" s="127">
        <v>63.67</v>
      </c>
      <c r="P347" s="127">
        <v>63.545000000000002</v>
      </c>
      <c r="Q347" s="79">
        <v>14.65</v>
      </c>
      <c r="R347" s="79">
        <v>2.25</v>
      </c>
      <c r="S347" s="127">
        <f t="shared" si="300"/>
        <v>2.4815852682145709</v>
      </c>
      <c r="T347" s="127">
        <f t="shared" si="301"/>
        <v>2.4743886709367486</v>
      </c>
      <c r="U347" s="79">
        <f t="shared" si="302"/>
        <v>3.3590059239637315</v>
      </c>
      <c r="V347" s="127">
        <f t="shared" si="303"/>
        <v>13.022493737718165</v>
      </c>
      <c r="W347" s="127">
        <f t="shared" si="304"/>
        <v>74.206123714732499</v>
      </c>
      <c r="X347" s="132">
        <f>AVERAGE(S347:S351)</f>
        <v>2.4791776581400451</v>
      </c>
      <c r="Y347" s="132">
        <f t="shared" ref="Y347" si="309">AVERAGE(T347:T351)</f>
        <v>2.4719880429314385</v>
      </c>
      <c r="Z347" s="133">
        <f t="shared" ref="Z347" si="310">AVERAGE(U347:U351)</f>
        <v>3.4527660836204981</v>
      </c>
      <c r="AA347" s="132">
        <f t="shared" ref="AA347" si="311">AVERAGE(V347:V351)</f>
        <v>13.106878474771705</v>
      </c>
      <c r="AB347" s="132">
        <f t="shared" ref="AB347" si="312">AVERAGE(W347:W351)</f>
        <v>73.730371963919509</v>
      </c>
      <c r="AC347" s="235">
        <v>161</v>
      </c>
      <c r="AD347" s="235">
        <v>91</v>
      </c>
      <c r="AE347" s="235">
        <v>44</v>
      </c>
      <c r="AF347" s="235">
        <v>15</v>
      </c>
    </row>
    <row r="348" spans="1:32">
      <c r="A348" s="1" t="s">
        <v>256</v>
      </c>
      <c r="B348" s="276"/>
      <c r="C348" s="1" t="s">
        <v>312</v>
      </c>
      <c r="D348" s="1" t="s">
        <v>308</v>
      </c>
      <c r="E348" s="127">
        <v>2.5603924034451899</v>
      </c>
      <c r="F348" s="127">
        <v>2.71197373128595</v>
      </c>
      <c r="G348" s="127">
        <v>4.9000000000000004</v>
      </c>
      <c r="H348" s="127">
        <v>4.6711153479504297</v>
      </c>
      <c r="I348" s="127">
        <v>1239.0999999999999</v>
      </c>
      <c r="J348" s="127">
        <v>740.3</v>
      </c>
      <c r="K348" s="127">
        <v>1242.0999999999999</v>
      </c>
      <c r="L348" s="127">
        <v>63.93</v>
      </c>
      <c r="M348" s="127">
        <v>63.36</v>
      </c>
      <c r="N348" s="127">
        <v>62.36</v>
      </c>
      <c r="O348" s="127">
        <v>62.38</v>
      </c>
      <c r="P348" s="127">
        <v>63.0075</v>
      </c>
      <c r="Q348" s="79">
        <v>14.27</v>
      </c>
      <c r="R348" s="79">
        <v>2.34</v>
      </c>
      <c r="S348" s="127">
        <f t="shared" si="300"/>
        <v>2.4693104822638503</v>
      </c>
      <c r="T348" s="127">
        <f t="shared" si="301"/>
        <v>2.4621494818652851</v>
      </c>
      <c r="U348" s="79">
        <f t="shared" si="302"/>
        <v>3.8370259749135327</v>
      </c>
      <c r="V348" s="127">
        <f t="shared" si="303"/>
        <v>13.452714808729397</v>
      </c>
      <c r="W348" s="127">
        <f t="shared" si="304"/>
        <v>71.477682910339354</v>
      </c>
      <c r="X348"/>
      <c r="Y348"/>
      <c r="Z348" s="133"/>
      <c r="AA348"/>
      <c r="AB348"/>
      <c r="AC348" s="235">
        <v>161</v>
      </c>
      <c r="AD348" s="235">
        <v>91</v>
      </c>
      <c r="AE348" s="235">
        <v>44</v>
      </c>
      <c r="AF348" s="235">
        <v>15</v>
      </c>
    </row>
    <row r="349" spans="1:32">
      <c r="A349" s="1" t="s">
        <v>256</v>
      </c>
      <c r="B349" s="276"/>
      <c r="C349" s="1" t="s">
        <v>312</v>
      </c>
      <c r="D349" s="1" t="s">
        <v>309</v>
      </c>
      <c r="E349" s="127">
        <v>2.5603924034451899</v>
      </c>
      <c r="F349" s="127">
        <v>2.71197373128595</v>
      </c>
      <c r="G349" s="127">
        <v>4.9000000000000004</v>
      </c>
      <c r="H349" s="127">
        <v>4.6711153479504297</v>
      </c>
      <c r="I349" s="127">
        <v>1241.5999999999999</v>
      </c>
      <c r="J349" s="127">
        <v>741.9</v>
      </c>
      <c r="K349" s="127">
        <v>1245.3</v>
      </c>
      <c r="L349" s="127">
        <v>63.1</v>
      </c>
      <c r="M349" s="127">
        <v>63.07</v>
      </c>
      <c r="N349" s="127">
        <v>63.26</v>
      </c>
      <c r="O349" s="127">
        <v>62.87</v>
      </c>
      <c r="P349" s="127">
        <v>63.075000000000003</v>
      </c>
      <c r="Q349" s="79">
        <v>12.86</v>
      </c>
      <c r="R349" s="79">
        <v>3.27</v>
      </c>
      <c r="S349" s="127">
        <f t="shared" si="300"/>
        <v>2.4664282876440207</v>
      </c>
      <c r="T349" s="127">
        <f t="shared" si="301"/>
        <v>2.459275645609853</v>
      </c>
      <c r="U349" s="79">
        <f t="shared" si="302"/>
        <v>3.9492679988925583</v>
      </c>
      <c r="V349" s="127">
        <f t="shared" si="303"/>
        <v>13.553733340635702</v>
      </c>
      <c r="W349" s="127">
        <f t="shared" si="304"/>
        <v>70.86213886876331</v>
      </c>
      <c r="X349"/>
      <c r="Y349"/>
      <c r="Z349" s="133"/>
      <c r="AA349"/>
      <c r="AB349"/>
      <c r="AC349" s="235">
        <v>161</v>
      </c>
      <c r="AD349" s="235">
        <v>91</v>
      </c>
      <c r="AE349" s="235">
        <v>44</v>
      </c>
      <c r="AF349" s="235">
        <v>15</v>
      </c>
    </row>
    <row r="350" spans="1:32">
      <c r="A350" s="1" t="s">
        <v>256</v>
      </c>
      <c r="B350" s="276"/>
      <c r="C350" s="1" t="s">
        <v>312</v>
      </c>
      <c r="D350" s="1" t="s">
        <v>310</v>
      </c>
      <c r="E350" s="127">
        <v>2.5603924034451899</v>
      </c>
      <c r="F350" s="127">
        <v>2.71197373128595</v>
      </c>
      <c r="G350" s="127">
        <v>4.9000000000000004</v>
      </c>
      <c r="H350" s="127">
        <v>4.6711153479504297</v>
      </c>
      <c r="I350" s="127">
        <v>1237.4000000000001</v>
      </c>
      <c r="J350" s="127">
        <v>743.9</v>
      </c>
      <c r="K350" s="127">
        <v>1239.4000000000001</v>
      </c>
      <c r="L350" s="127">
        <v>63.31</v>
      </c>
      <c r="M350" s="127">
        <v>62.28</v>
      </c>
      <c r="N350" s="127">
        <v>62.25</v>
      </c>
      <c r="O350" s="127">
        <v>62.49</v>
      </c>
      <c r="P350" s="127">
        <v>62.582500000000003</v>
      </c>
      <c r="Q350" s="79">
        <v>13.87</v>
      </c>
      <c r="R350" s="79">
        <v>2.2799999999999998</v>
      </c>
      <c r="S350" s="127">
        <f t="shared" si="300"/>
        <v>2.4972754793138239</v>
      </c>
      <c r="T350" s="127">
        <f t="shared" si="301"/>
        <v>2.4900333804238137</v>
      </c>
      <c r="U350" s="79">
        <f t="shared" si="302"/>
        <v>2.7479781195532071</v>
      </c>
      <c r="V350" s="127">
        <f t="shared" si="303"/>
        <v>12.472564846850901</v>
      </c>
      <c r="W350" s="127">
        <f t="shared" si="304"/>
        <v>77.967818541773127</v>
      </c>
      <c r="X350"/>
      <c r="Y350"/>
      <c r="Z350" s="133"/>
      <c r="AA350"/>
      <c r="AB350"/>
      <c r="AC350" s="235">
        <v>161</v>
      </c>
      <c r="AD350" s="235">
        <v>91</v>
      </c>
      <c r="AE350" s="235">
        <v>44</v>
      </c>
      <c r="AF350" s="235">
        <v>15</v>
      </c>
    </row>
    <row r="351" spans="1:32">
      <c r="A351" s="1" t="s">
        <v>256</v>
      </c>
      <c r="B351" s="276"/>
      <c r="C351" s="1" t="s">
        <v>312</v>
      </c>
      <c r="D351" s="1" t="s">
        <v>311</v>
      </c>
      <c r="E351" s="127">
        <v>2.5603924034451899</v>
      </c>
      <c r="F351" s="127">
        <v>2.71197373128595</v>
      </c>
      <c r="G351" s="127">
        <v>4.9000000000000004</v>
      </c>
      <c r="H351" s="127">
        <v>4.6711153479504297</v>
      </c>
      <c r="I351" s="127">
        <v>1239.9000000000001</v>
      </c>
      <c r="J351" s="127">
        <v>743.4</v>
      </c>
      <c r="K351" s="127">
        <v>1243.0999999999999</v>
      </c>
      <c r="L351" s="127">
        <v>62.13</v>
      </c>
      <c r="M351" s="127">
        <v>63.18</v>
      </c>
      <c r="N351" s="127">
        <v>63.48</v>
      </c>
      <c r="O351" s="127">
        <v>63.21</v>
      </c>
      <c r="P351" s="127">
        <v>63</v>
      </c>
      <c r="Q351" s="79">
        <v>12.34</v>
      </c>
      <c r="R351" s="79">
        <v>2.36</v>
      </c>
      <c r="S351" s="127">
        <f t="shared" si="300"/>
        <v>2.4812887732639588</v>
      </c>
      <c r="T351" s="127">
        <f t="shared" si="301"/>
        <v>2.4740930358214932</v>
      </c>
      <c r="U351" s="79">
        <f t="shared" si="302"/>
        <v>3.3705524007794585</v>
      </c>
      <c r="V351" s="127">
        <f t="shared" si="303"/>
        <v>13.032885639924359</v>
      </c>
      <c r="W351" s="127">
        <f t="shared" si="304"/>
        <v>74.138095783989243</v>
      </c>
      <c r="X351"/>
      <c r="Y351"/>
      <c r="Z351" s="133"/>
      <c r="AA351"/>
      <c r="AB351"/>
      <c r="AC351" s="235">
        <v>161</v>
      </c>
      <c r="AD351" s="235">
        <v>91</v>
      </c>
      <c r="AE351" s="235">
        <v>44</v>
      </c>
      <c r="AF351" s="235">
        <v>15</v>
      </c>
    </row>
    <row r="352" spans="1:32">
      <c r="A352" s="1" t="s">
        <v>256</v>
      </c>
      <c r="B352" s="280" t="s">
        <v>257</v>
      </c>
      <c r="C352" s="1" t="s">
        <v>313</v>
      </c>
      <c r="D352" s="1" t="s">
        <v>307</v>
      </c>
      <c r="E352" s="127">
        <v>2.5379999999999998</v>
      </c>
      <c r="F352" s="127">
        <v>2.71197373128595</v>
      </c>
      <c r="G352" s="127">
        <v>4.9000000000000004</v>
      </c>
      <c r="H352" s="127">
        <v>4.6711153479504297</v>
      </c>
      <c r="I352" s="127">
        <v>1233.9000000000001</v>
      </c>
      <c r="J352" s="127">
        <v>732.1</v>
      </c>
      <c r="K352" s="127">
        <v>1236.0999999999999</v>
      </c>
      <c r="L352" s="127">
        <v>64.900000000000006</v>
      </c>
      <c r="M352" s="127">
        <v>65.36</v>
      </c>
      <c r="N352" s="127">
        <v>65.08</v>
      </c>
      <c r="O352" s="127">
        <v>64.86</v>
      </c>
      <c r="P352" s="127">
        <v>65.05</v>
      </c>
      <c r="Q352" s="79">
        <v>14.03</v>
      </c>
      <c r="R352" s="79">
        <v>3.1</v>
      </c>
      <c r="S352" s="127">
        <f t="shared" si="300"/>
        <v>2.4482142857142866</v>
      </c>
      <c r="T352" s="127">
        <f t="shared" si="301"/>
        <v>2.441114464285715</v>
      </c>
      <c r="U352" s="79">
        <f t="shared" si="302"/>
        <v>3.8173969942586594</v>
      </c>
      <c r="V352" s="127">
        <f t="shared" si="303"/>
        <v>14.192119007731677</v>
      </c>
      <c r="W352" s="127">
        <f t="shared" si="304"/>
        <v>73.101994197068166</v>
      </c>
      <c r="X352" s="132">
        <f>AVERAGE(S352:S356)</f>
        <v>2.4362426839506144</v>
      </c>
      <c r="Y352" s="132">
        <f t="shared" ref="Y352" si="313">AVERAGE(T352:T356)</f>
        <v>2.4291775801671576</v>
      </c>
      <c r="Z352" s="133">
        <f t="shared" ref="Z352" si="314">AVERAGE(U352:U356)</f>
        <v>4.2877233976691116</v>
      </c>
      <c r="AA352" s="132">
        <f t="shared" ref="AA352" si="315">AVERAGE(V352:V356)</f>
        <v>14.611713724345403</v>
      </c>
      <c r="AB352" s="132">
        <f t="shared" ref="AB352" si="316">AVERAGE(W352:W356)</f>
        <v>70.692086016946718</v>
      </c>
      <c r="AC352" s="235">
        <v>161</v>
      </c>
      <c r="AD352" s="235">
        <v>91</v>
      </c>
      <c r="AE352" s="235">
        <v>44</v>
      </c>
      <c r="AF352" s="235">
        <v>15</v>
      </c>
    </row>
    <row r="353" spans="1:32">
      <c r="A353" s="1" t="s">
        <v>256</v>
      </c>
      <c r="B353" s="276"/>
      <c r="C353" s="1" t="s">
        <v>313</v>
      </c>
      <c r="D353" s="1" t="s">
        <v>308</v>
      </c>
      <c r="E353" s="127">
        <v>2.5379999999999998</v>
      </c>
      <c r="F353" s="127">
        <v>2.71197373128595</v>
      </c>
      <c r="G353" s="127">
        <v>4.9000000000000004</v>
      </c>
      <c r="H353" s="127">
        <v>4.6711153479504297</v>
      </c>
      <c r="I353" s="127">
        <v>1219.0999999999999</v>
      </c>
      <c r="J353" s="127">
        <v>721</v>
      </c>
      <c r="K353" s="127">
        <v>1221.8</v>
      </c>
      <c r="L353" s="127">
        <v>64.86</v>
      </c>
      <c r="M353" s="127">
        <v>65.16</v>
      </c>
      <c r="N353" s="127">
        <v>65.36</v>
      </c>
      <c r="O353" s="127">
        <v>65.010000000000005</v>
      </c>
      <c r="P353" s="127">
        <v>65.097499999999997</v>
      </c>
      <c r="Q353" s="79">
        <v>12.79</v>
      </c>
      <c r="R353" s="79">
        <v>3.54</v>
      </c>
      <c r="S353" s="127">
        <f t="shared" si="300"/>
        <v>2.4343051118210863</v>
      </c>
      <c r="T353" s="127">
        <f t="shared" si="301"/>
        <v>2.4272456269968052</v>
      </c>
      <c r="U353" s="79">
        <f t="shared" si="302"/>
        <v>4.3638444839714126</v>
      </c>
      <c r="V353" s="127">
        <f t="shared" si="303"/>
        <v>14.679624021117476</v>
      </c>
      <c r="W353" s="127">
        <f t="shared" si="304"/>
        <v>70.272777574590648</v>
      </c>
      <c r="X353"/>
      <c r="Y353"/>
      <c r="Z353" s="133"/>
      <c r="AA353"/>
      <c r="AB353"/>
      <c r="AC353" s="235">
        <v>161</v>
      </c>
      <c r="AD353" s="235">
        <v>91</v>
      </c>
      <c r="AE353" s="235">
        <v>44</v>
      </c>
      <c r="AF353" s="235">
        <v>15</v>
      </c>
    </row>
    <row r="354" spans="1:32">
      <c r="A354" s="1" t="s">
        <v>256</v>
      </c>
      <c r="B354" s="276"/>
      <c r="C354" s="1" t="s">
        <v>313</v>
      </c>
      <c r="D354" s="1" t="s">
        <v>309</v>
      </c>
      <c r="E354" s="127">
        <v>2.5379999999999998</v>
      </c>
      <c r="F354" s="127">
        <v>2.71197373128595</v>
      </c>
      <c r="G354" s="127">
        <v>4.9000000000000004</v>
      </c>
      <c r="H354" s="127">
        <v>4.6711153479504297</v>
      </c>
      <c r="I354" s="127">
        <v>1209.7</v>
      </c>
      <c r="J354" s="127">
        <v>718</v>
      </c>
      <c r="K354" s="127">
        <v>1213.3</v>
      </c>
      <c r="L354" s="127">
        <v>64.290000000000006</v>
      </c>
      <c r="M354" s="127">
        <v>64.47</v>
      </c>
      <c r="N354" s="127">
        <v>64.08</v>
      </c>
      <c r="O354" s="127">
        <v>64.16</v>
      </c>
      <c r="P354" s="127">
        <v>64.25</v>
      </c>
      <c r="Q354" s="79">
        <v>12.89</v>
      </c>
      <c r="R354" s="79">
        <v>2.93</v>
      </c>
      <c r="S354" s="127">
        <f t="shared" si="300"/>
        <v>2.4423581667676157</v>
      </c>
      <c r="T354" s="127">
        <f t="shared" si="301"/>
        <v>2.4352753280839896</v>
      </c>
      <c r="U354" s="79">
        <f t="shared" si="302"/>
        <v>4.0474654025220769</v>
      </c>
      <c r="V354" s="127">
        <f t="shared" si="303"/>
        <v>14.397371121725385</v>
      </c>
      <c r="W354" s="127">
        <f t="shared" si="304"/>
        <v>71.887469119869252</v>
      </c>
      <c r="X354"/>
      <c r="Y354"/>
      <c r="Z354" s="133"/>
      <c r="AA354"/>
      <c r="AB354"/>
      <c r="AC354" s="235">
        <v>161</v>
      </c>
      <c r="AD354" s="235">
        <v>91</v>
      </c>
      <c r="AE354" s="235">
        <v>44</v>
      </c>
      <c r="AF354" s="235">
        <v>15</v>
      </c>
    </row>
    <row r="355" spans="1:32">
      <c r="A355" s="1" t="s">
        <v>256</v>
      </c>
      <c r="B355" s="276"/>
      <c r="C355" s="1" t="s">
        <v>313</v>
      </c>
      <c r="D355" s="1" t="s">
        <v>310</v>
      </c>
      <c r="E355" s="127">
        <v>2.5379999999999998</v>
      </c>
      <c r="F355" s="127">
        <v>2.71197373128595</v>
      </c>
      <c r="G355" s="127">
        <v>4.9000000000000004</v>
      </c>
      <c r="H355" s="127">
        <v>4.6711153479504297</v>
      </c>
      <c r="I355" s="127">
        <v>1209.5</v>
      </c>
      <c r="J355" s="127">
        <v>716.2</v>
      </c>
      <c r="K355" s="127">
        <v>1213.0999999999999</v>
      </c>
      <c r="L355" s="127">
        <v>64.13</v>
      </c>
      <c r="M355" s="127">
        <v>64.11</v>
      </c>
      <c r="N355" s="127">
        <v>63.78</v>
      </c>
      <c r="O355" s="127">
        <v>63.94</v>
      </c>
      <c r="P355" s="127">
        <v>63.99</v>
      </c>
      <c r="Q355" s="79">
        <v>13.28</v>
      </c>
      <c r="R355" s="79">
        <v>2.84</v>
      </c>
      <c r="S355" s="127">
        <f t="shared" si="300"/>
        <v>2.4340913664721278</v>
      </c>
      <c r="T355" s="127">
        <f t="shared" si="301"/>
        <v>2.4270325015093586</v>
      </c>
      <c r="U355" s="79">
        <f t="shared" si="302"/>
        <v>4.3722418633034383</v>
      </c>
      <c r="V355" s="127">
        <f t="shared" si="303"/>
        <v>14.68711561839028</v>
      </c>
      <c r="W355" s="127">
        <f t="shared" si="304"/>
        <v>70.230765679894333</v>
      </c>
      <c r="X355"/>
      <c r="Y355"/>
      <c r="Z355" s="133"/>
      <c r="AA355"/>
      <c r="AB355"/>
      <c r="AC355" s="235">
        <v>161</v>
      </c>
      <c r="AD355" s="235">
        <v>91</v>
      </c>
      <c r="AE355" s="235">
        <v>44</v>
      </c>
      <c r="AF355" s="235">
        <v>15</v>
      </c>
    </row>
    <row r="356" spans="1:32">
      <c r="A356" s="1" t="s">
        <v>256</v>
      </c>
      <c r="B356" s="276"/>
      <c r="C356" s="1" t="s">
        <v>313</v>
      </c>
      <c r="D356" s="1" t="s">
        <v>311</v>
      </c>
      <c r="E356" s="127">
        <v>2.5379999999999998</v>
      </c>
      <c r="F356" s="127">
        <v>2.71197373128595</v>
      </c>
      <c r="G356" s="127">
        <v>4.9000000000000004</v>
      </c>
      <c r="H356" s="127">
        <v>4.6711153479504297</v>
      </c>
      <c r="I356" s="127">
        <v>1208.7</v>
      </c>
      <c r="J356" s="127">
        <v>713.6</v>
      </c>
      <c r="K356" s="127">
        <v>1212.5999999999999</v>
      </c>
      <c r="L356" s="127">
        <v>65.209999999999994</v>
      </c>
      <c r="M356" s="127">
        <v>64.78</v>
      </c>
      <c r="N356" s="127">
        <v>65.11</v>
      </c>
      <c r="O356" s="127">
        <v>65.040000000000006</v>
      </c>
      <c r="P356" s="127">
        <v>65.034999999999997</v>
      </c>
      <c r="Q356" s="79">
        <v>13</v>
      </c>
      <c r="R356" s="79">
        <v>2.5</v>
      </c>
      <c r="S356" s="127">
        <f t="shared" si="300"/>
        <v>2.4222444889779564</v>
      </c>
      <c r="T356" s="127">
        <f t="shared" si="301"/>
        <v>2.4152199799599203</v>
      </c>
      <c r="U356" s="79">
        <f t="shared" si="302"/>
        <v>4.8376682442899721</v>
      </c>
      <c r="V356" s="127">
        <f t="shared" si="303"/>
        <v>15.102338852762202</v>
      </c>
      <c r="W356" s="127">
        <f t="shared" si="304"/>
        <v>67.967423513311189</v>
      </c>
      <c r="X356"/>
      <c r="Y356"/>
      <c r="Z356" s="133"/>
      <c r="AA356"/>
      <c r="AB356"/>
      <c r="AC356" s="235">
        <v>161</v>
      </c>
      <c r="AD356" s="235">
        <v>91</v>
      </c>
      <c r="AE356" s="235">
        <v>44</v>
      </c>
      <c r="AF356" s="235">
        <v>15</v>
      </c>
    </row>
    <row r="357" spans="1:32">
      <c r="A357" s="1" t="s">
        <v>113</v>
      </c>
      <c r="B357" s="280" t="s">
        <v>258</v>
      </c>
      <c r="C357" s="1" t="s">
        <v>306</v>
      </c>
      <c r="D357" s="1" t="s">
        <v>307</v>
      </c>
      <c r="E357" s="127">
        <v>2.5237470343436099</v>
      </c>
      <c r="F357" s="127">
        <v>2.7114104405587001</v>
      </c>
      <c r="G357" s="127">
        <v>4.2</v>
      </c>
      <c r="H357" s="127">
        <v>4.0307101727447199</v>
      </c>
      <c r="I357" s="127">
        <v>1227.8</v>
      </c>
      <c r="J357" s="127">
        <v>734.8</v>
      </c>
      <c r="K357" s="127">
        <v>1229.4000000000001</v>
      </c>
      <c r="L357" s="127">
        <v>62.98</v>
      </c>
      <c r="M357" s="127">
        <v>63.27</v>
      </c>
      <c r="N357" s="127">
        <v>62.99</v>
      </c>
      <c r="O357" s="127">
        <v>62.81</v>
      </c>
      <c r="P357" s="127">
        <v>63.012500000000003</v>
      </c>
      <c r="Q357" s="79">
        <v>17.52</v>
      </c>
      <c r="R357" s="79">
        <v>1.66</v>
      </c>
      <c r="S357" s="127">
        <f t="shared" si="300"/>
        <v>2.4824100283057007</v>
      </c>
      <c r="T357" s="127">
        <f t="shared" si="301"/>
        <v>2.475211039223614</v>
      </c>
      <c r="U357" s="79">
        <f t="shared" si="302"/>
        <v>1.9231719526366708</v>
      </c>
      <c r="V357" s="127">
        <f t="shared" si="303"/>
        <v>12.390893664212072</v>
      </c>
      <c r="W357" s="127">
        <f t="shared" si="304"/>
        <v>84.479150537856185</v>
      </c>
      <c r="X357" s="132">
        <f>AVERAGE(S357:S361)</f>
        <v>2.4835340799984471</v>
      </c>
      <c r="Y357" s="132">
        <f t="shared" ref="Y357" si="317">AVERAGE(T357:T361)</f>
        <v>2.4763318311664522</v>
      </c>
      <c r="Z357" s="133">
        <f t="shared" ref="Z357" si="318">AVERAGE(U357:U361)</f>
        <v>1.8787621156924004</v>
      </c>
      <c r="AA357" s="132">
        <f t="shared" ref="AA357" si="319">AVERAGE(V357:V361)</f>
        <v>12.351223680948275</v>
      </c>
      <c r="AB357" s="132">
        <f t="shared" ref="AB357" si="320">AVERAGE(W357:W361)</f>
        <v>84.795323129641986</v>
      </c>
      <c r="AC357" s="235">
        <v>161</v>
      </c>
      <c r="AD357" s="235">
        <v>91</v>
      </c>
      <c r="AE357" s="235">
        <v>44</v>
      </c>
      <c r="AF357" s="235">
        <v>15</v>
      </c>
    </row>
    <row r="358" spans="1:32">
      <c r="A358" s="1" t="s">
        <v>113</v>
      </c>
      <c r="B358" s="276"/>
      <c r="C358" s="1" t="s">
        <v>306</v>
      </c>
      <c r="D358" s="1" t="s">
        <v>308</v>
      </c>
      <c r="E358" s="127">
        <v>2.5237470343436099</v>
      </c>
      <c r="F358" s="127">
        <v>2.7114104405587001</v>
      </c>
      <c r="G358" s="127">
        <v>4.2</v>
      </c>
      <c r="H358" s="127">
        <v>4.0307101727447199</v>
      </c>
      <c r="I358" s="127">
        <v>1224.0999999999999</v>
      </c>
      <c r="J358" s="127">
        <v>733</v>
      </c>
      <c r="K358" s="127">
        <v>1225.8</v>
      </c>
      <c r="L358" s="127">
        <v>62.52</v>
      </c>
      <c r="M358" s="127">
        <v>62.74</v>
      </c>
      <c r="N358" s="127">
        <v>62.89</v>
      </c>
      <c r="O358" s="127">
        <v>62.73</v>
      </c>
      <c r="P358" s="127">
        <v>62.72</v>
      </c>
      <c r="Q358" s="79">
        <v>16.899999999999999</v>
      </c>
      <c r="R358" s="79">
        <v>1.51</v>
      </c>
      <c r="S358" s="127">
        <f t="shared" si="300"/>
        <v>2.4839691558441559</v>
      </c>
      <c r="T358" s="127">
        <f t="shared" si="301"/>
        <v>2.476765645292208</v>
      </c>
      <c r="U358" s="79">
        <f t="shared" si="302"/>
        <v>1.8615728284994693</v>
      </c>
      <c r="V358" s="127">
        <f t="shared" si="303"/>
        <v>12.335869003197132</v>
      </c>
      <c r="W358" s="127">
        <f t="shared" si="304"/>
        <v>84.90926883207824</v>
      </c>
      <c r="X358"/>
      <c r="Y358"/>
      <c r="Z358" s="133"/>
      <c r="AA358"/>
      <c r="AB358"/>
      <c r="AC358" s="235">
        <v>161</v>
      </c>
      <c r="AD358" s="235">
        <v>91</v>
      </c>
      <c r="AE358" s="235">
        <v>44</v>
      </c>
      <c r="AF358" s="235">
        <v>15</v>
      </c>
    </row>
    <row r="359" spans="1:32">
      <c r="A359" s="1" t="s">
        <v>113</v>
      </c>
      <c r="B359" s="276"/>
      <c r="C359" s="1" t="s">
        <v>306</v>
      </c>
      <c r="D359" s="1" t="s">
        <v>309</v>
      </c>
      <c r="E359" s="127">
        <v>2.5237470343436099</v>
      </c>
      <c r="F359" s="127">
        <v>2.7114104405587001</v>
      </c>
      <c r="G359" s="127">
        <v>4.2</v>
      </c>
      <c r="H359" s="127">
        <v>4.0307101727447199</v>
      </c>
      <c r="I359" s="127">
        <v>1227.4000000000001</v>
      </c>
      <c r="J359" s="127">
        <v>734</v>
      </c>
      <c r="K359" s="127">
        <v>1228.8</v>
      </c>
      <c r="L359" s="127">
        <v>62.98</v>
      </c>
      <c r="M359" s="127">
        <v>63.34</v>
      </c>
      <c r="N359" s="127">
        <v>63.32</v>
      </c>
      <c r="O359" s="127">
        <v>62.89</v>
      </c>
      <c r="P359" s="127">
        <v>63.1325</v>
      </c>
      <c r="Q359" s="79">
        <v>16.66</v>
      </c>
      <c r="R359" s="79">
        <v>3.39</v>
      </c>
      <c r="S359" s="127">
        <f t="shared" si="300"/>
        <v>2.4805982215036382</v>
      </c>
      <c r="T359" s="127">
        <f t="shared" si="301"/>
        <v>2.4734044866612774</v>
      </c>
      <c r="U359" s="79">
        <f t="shared" si="302"/>
        <v>1.9947541095546417</v>
      </c>
      <c r="V359" s="127">
        <f t="shared" si="303"/>
        <v>12.454835870766132</v>
      </c>
      <c r="W359" s="127">
        <f t="shared" si="304"/>
        <v>83.984099587882099</v>
      </c>
      <c r="X359"/>
      <c r="Y359"/>
      <c r="Z359" s="133"/>
      <c r="AA359"/>
      <c r="AB359"/>
      <c r="AC359" s="235">
        <v>161</v>
      </c>
      <c r="AD359" s="235">
        <v>91</v>
      </c>
      <c r="AE359" s="235">
        <v>44</v>
      </c>
      <c r="AF359" s="235">
        <v>15</v>
      </c>
    </row>
    <row r="360" spans="1:32">
      <c r="A360" s="1" t="s">
        <v>113</v>
      </c>
      <c r="B360" s="276"/>
      <c r="C360" s="1" t="s">
        <v>306</v>
      </c>
      <c r="D360" s="1" t="s">
        <v>310</v>
      </c>
      <c r="E360" s="127">
        <v>2.5237470343436099</v>
      </c>
      <c r="F360" s="127">
        <v>2.7114104405587001</v>
      </c>
      <c r="G360" s="127">
        <v>4.2</v>
      </c>
      <c r="H360" s="127">
        <v>4.0307101727447199</v>
      </c>
      <c r="I360" s="127">
        <v>1211.8</v>
      </c>
      <c r="J360" s="127">
        <v>726.1</v>
      </c>
      <c r="K360" s="127">
        <v>1213</v>
      </c>
      <c r="L360" s="127">
        <v>61.57</v>
      </c>
      <c r="M360" s="127">
        <v>61.41</v>
      </c>
      <c r="N360" s="127">
        <v>61.54</v>
      </c>
      <c r="O360" s="127">
        <v>61.73</v>
      </c>
      <c r="P360" s="127">
        <v>61.5625</v>
      </c>
      <c r="Q360" s="79">
        <v>16.940000000000001</v>
      </c>
      <c r="R360" s="79">
        <v>1.7</v>
      </c>
      <c r="S360" s="127">
        <f t="shared" si="300"/>
        <v>2.4888067364962003</v>
      </c>
      <c r="T360" s="127">
        <f t="shared" si="301"/>
        <v>2.4815891969603614</v>
      </c>
      <c r="U360" s="79">
        <f t="shared" si="302"/>
        <v>1.6704462376599949</v>
      </c>
      <c r="V360" s="127">
        <f t="shared" si="303"/>
        <v>12.165141318036206</v>
      </c>
      <c r="W360" s="127">
        <f t="shared" si="304"/>
        <v>86.26858337285924</v>
      </c>
      <c r="X360"/>
      <c r="Y360"/>
      <c r="Z360" s="133"/>
      <c r="AA360"/>
      <c r="AB360"/>
      <c r="AC360" s="235">
        <v>161</v>
      </c>
      <c r="AD360" s="235">
        <v>91</v>
      </c>
      <c r="AE360" s="235">
        <v>44</v>
      </c>
      <c r="AF360" s="235">
        <v>15</v>
      </c>
    </row>
    <row r="361" spans="1:32">
      <c r="A361" s="1" t="s">
        <v>113</v>
      </c>
      <c r="B361" s="276"/>
      <c r="C361" s="1" t="s">
        <v>306</v>
      </c>
      <c r="D361" s="1" t="s">
        <v>311</v>
      </c>
      <c r="E361" s="127">
        <v>2.5237470343436099</v>
      </c>
      <c r="F361" s="127">
        <v>2.7114104405587001</v>
      </c>
      <c r="G361" s="127">
        <v>4.2</v>
      </c>
      <c r="H361" s="127">
        <v>4.0307101727447199</v>
      </c>
      <c r="I361" s="127">
        <v>1226.3</v>
      </c>
      <c r="J361" s="127">
        <v>734.3</v>
      </c>
      <c r="K361" s="127">
        <v>1228.4000000000001</v>
      </c>
      <c r="L361" s="127">
        <v>62.31</v>
      </c>
      <c r="M361" s="127">
        <v>62.81</v>
      </c>
      <c r="N361" s="127">
        <v>62.78</v>
      </c>
      <c r="O361" s="127">
        <v>62.94</v>
      </c>
      <c r="P361" s="127">
        <v>62.71</v>
      </c>
      <c r="Q361" s="79">
        <v>16.13</v>
      </c>
      <c r="R361" s="79">
        <v>1.19</v>
      </c>
      <c r="S361" s="127">
        <f t="shared" si="300"/>
        <v>2.4818862578425414</v>
      </c>
      <c r="T361" s="127">
        <f t="shared" si="301"/>
        <v>2.4746887876947978</v>
      </c>
      <c r="U361" s="79">
        <f t="shared" si="302"/>
        <v>1.9438654501112262</v>
      </c>
      <c r="V361" s="127">
        <f t="shared" si="303"/>
        <v>12.40937854852983</v>
      </c>
      <c r="W361" s="127">
        <f t="shared" si="304"/>
        <v>84.335513317534193</v>
      </c>
      <c r="X361"/>
      <c r="Y361"/>
      <c r="Z361" s="133"/>
      <c r="AA361"/>
      <c r="AB361"/>
      <c r="AC361" s="235">
        <v>161</v>
      </c>
      <c r="AD361" s="235">
        <v>91</v>
      </c>
      <c r="AE361" s="235">
        <v>44</v>
      </c>
      <c r="AF361" s="235">
        <v>15</v>
      </c>
    </row>
    <row r="362" spans="1:32">
      <c r="A362" s="1" t="s">
        <v>113</v>
      </c>
      <c r="B362" s="276"/>
      <c r="C362" s="1" t="s">
        <v>306</v>
      </c>
      <c r="D362" s="1" t="s">
        <v>307</v>
      </c>
      <c r="E362" s="136">
        <v>2.5506290273641601</v>
      </c>
      <c r="F362" s="136">
        <v>2.7114104405587001</v>
      </c>
      <c r="G362" s="129">
        <v>4.2</v>
      </c>
      <c r="H362" s="136">
        <f t="shared" ref="H362:H372" si="321">100*G362/(100+G362)</f>
        <v>4.0307101727447217</v>
      </c>
      <c r="I362" s="127">
        <v>1215.8</v>
      </c>
      <c r="J362" s="127">
        <v>720.8</v>
      </c>
      <c r="K362" s="127">
        <v>1215.4000000000001</v>
      </c>
      <c r="L362" s="127">
        <v>64.77</v>
      </c>
      <c r="M362" s="127">
        <v>64.8</v>
      </c>
      <c r="N362" s="127">
        <v>64.78</v>
      </c>
      <c r="O362" s="127">
        <v>64.61</v>
      </c>
      <c r="P362" s="127">
        <v>64.739999999999995</v>
      </c>
      <c r="Q362" s="79">
        <v>19.899999999999999</v>
      </c>
      <c r="R362" s="79">
        <v>1.95</v>
      </c>
      <c r="S362" s="127">
        <f t="shared" si="300"/>
        <v>2.4581479983825307</v>
      </c>
      <c r="T362" s="127">
        <f t="shared" si="301"/>
        <v>2.4510193691872213</v>
      </c>
      <c r="U362" s="79">
        <f t="shared" si="302"/>
        <v>3.9052977562901825</v>
      </c>
      <c r="V362" s="127">
        <f t="shared" si="303"/>
        <v>13.247148164969076</v>
      </c>
      <c r="W362" s="127">
        <f t="shared" si="304"/>
        <v>70.519709543089434</v>
      </c>
      <c r="X362" s="132">
        <f>AVERAGE(S362:S366)</f>
        <v>2.448691803586847</v>
      </c>
      <c r="Y362" s="132">
        <f t="shared" ref="Y362" si="322">AVERAGE(T362:T366)</f>
        <v>2.4415905973564458</v>
      </c>
      <c r="Z362" s="133">
        <f t="shared" ref="Z362" si="323">AVERAGE(U362:U366)</f>
        <v>4.2749623264656362</v>
      </c>
      <c r="AA362" s="132">
        <f t="shared" ref="AA362" si="324">AVERAGE(V362:V366)</f>
        <v>13.580875778836463</v>
      </c>
      <c r="AB362" s="132">
        <f t="shared" ref="AB362" si="325">AVERAGE(W362:W366)</f>
        <v>68.537566002629006</v>
      </c>
      <c r="AC362" s="235">
        <v>161</v>
      </c>
      <c r="AD362" s="235">
        <v>91</v>
      </c>
      <c r="AE362" s="235">
        <v>44</v>
      </c>
      <c r="AF362" s="235">
        <v>15</v>
      </c>
    </row>
    <row r="363" spans="1:32">
      <c r="A363" s="1" t="s">
        <v>113</v>
      </c>
      <c r="B363" s="276"/>
      <c r="C363" s="1" t="s">
        <v>306</v>
      </c>
      <c r="D363" s="1" t="s">
        <v>308</v>
      </c>
      <c r="E363" s="136">
        <v>2.5506290273641601</v>
      </c>
      <c r="F363" s="136">
        <v>2.7114104405587001</v>
      </c>
      <c r="G363" s="129">
        <v>4.2</v>
      </c>
      <c r="H363" s="136">
        <f t="shared" si="321"/>
        <v>4.0307101727447217</v>
      </c>
      <c r="I363" s="127">
        <v>1197.5</v>
      </c>
      <c r="J363" s="127">
        <v>710.6</v>
      </c>
      <c r="K363" s="127">
        <v>1199.9000000000001</v>
      </c>
      <c r="L363" s="127">
        <v>64.19</v>
      </c>
      <c r="M363" s="127">
        <v>64.06</v>
      </c>
      <c r="N363" s="127">
        <v>64.12</v>
      </c>
      <c r="O363" s="127">
        <v>64.37</v>
      </c>
      <c r="P363" s="127">
        <v>64.185000000000002</v>
      </c>
      <c r="Q363" s="79">
        <v>14.07</v>
      </c>
      <c r="R363" s="79">
        <v>2.2400000000000002</v>
      </c>
      <c r="S363" s="127">
        <f t="shared" si="300"/>
        <v>2.4473737993051294</v>
      </c>
      <c r="T363" s="127">
        <f t="shared" si="301"/>
        <v>2.4402764152871446</v>
      </c>
      <c r="U363" s="79">
        <f t="shared" si="302"/>
        <v>4.326486168435661</v>
      </c>
      <c r="V363" s="127">
        <f t="shared" si="303"/>
        <v>13.627390728402162</v>
      </c>
      <c r="W363" s="127">
        <f t="shared" si="304"/>
        <v>68.251543859981851</v>
      </c>
      <c r="X363"/>
      <c r="Y363"/>
      <c r="Z363" s="133"/>
      <c r="AA363"/>
      <c r="AB363"/>
      <c r="AC363" s="235">
        <v>161</v>
      </c>
      <c r="AD363" s="235">
        <v>91</v>
      </c>
      <c r="AE363" s="235">
        <v>44</v>
      </c>
      <c r="AF363" s="235">
        <v>15</v>
      </c>
    </row>
    <row r="364" spans="1:32">
      <c r="A364" s="1" t="s">
        <v>113</v>
      </c>
      <c r="B364" s="276"/>
      <c r="C364" s="1" t="s">
        <v>306</v>
      </c>
      <c r="D364" s="1" t="s">
        <v>309</v>
      </c>
      <c r="E364" s="136">
        <v>2.5506290273641601</v>
      </c>
      <c r="F364" s="136">
        <v>2.7114104405587001</v>
      </c>
      <c r="G364" s="129">
        <v>4.2</v>
      </c>
      <c r="H364" s="136">
        <f t="shared" si="321"/>
        <v>4.0307101727447217</v>
      </c>
      <c r="I364" s="127">
        <v>1208.5</v>
      </c>
      <c r="J364" s="127">
        <v>718.3</v>
      </c>
      <c r="K364" s="127">
        <v>1211.5999999999999</v>
      </c>
      <c r="L364" s="127">
        <v>64.03</v>
      </c>
      <c r="M364" s="127">
        <v>63.9</v>
      </c>
      <c r="N364" s="127">
        <v>64.13</v>
      </c>
      <c r="O364" s="127">
        <v>64.16</v>
      </c>
      <c r="P364" s="127">
        <v>64.055000000000007</v>
      </c>
      <c r="Q364" s="79">
        <v>14.16</v>
      </c>
      <c r="R364" s="79">
        <v>2.54</v>
      </c>
      <c r="S364" s="127">
        <f t="shared" si="300"/>
        <v>2.4498276910602068</v>
      </c>
      <c r="T364" s="127">
        <f t="shared" si="301"/>
        <v>2.4427231907561322</v>
      </c>
      <c r="U364" s="79">
        <f t="shared" si="302"/>
        <v>4.2305578526069976</v>
      </c>
      <c r="V364" s="127">
        <f t="shared" si="303"/>
        <v>13.540788087720031</v>
      </c>
      <c r="W364" s="127">
        <f t="shared" si="304"/>
        <v>68.756930355895335</v>
      </c>
      <c r="X364"/>
      <c r="Y364"/>
      <c r="Z364" s="133"/>
      <c r="AA364"/>
      <c r="AB364"/>
      <c r="AC364" s="235">
        <v>161</v>
      </c>
      <c r="AD364" s="235">
        <v>91</v>
      </c>
      <c r="AE364" s="235">
        <v>44</v>
      </c>
      <c r="AF364" s="235">
        <v>15</v>
      </c>
    </row>
    <row r="365" spans="1:32">
      <c r="A365" s="1" t="s">
        <v>113</v>
      </c>
      <c r="B365" s="276"/>
      <c r="C365" s="1" t="s">
        <v>306</v>
      </c>
      <c r="D365" s="1" t="s">
        <v>310</v>
      </c>
      <c r="E365" s="136">
        <v>2.5506290273641601</v>
      </c>
      <c r="F365" s="136">
        <v>2.7114104405587001</v>
      </c>
      <c r="G365" s="129">
        <v>4.2</v>
      </c>
      <c r="H365" s="136">
        <f t="shared" si="321"/>
        <v>4.0307101727447217</v>
      </c>
      <c r="I365" s="127">
        <v>1215.5999999999999</v>
      </c>
      <c r="J365" s="127">
        <v>720.9</v>
      </c>
      <c r="K365" s="127">
        <v>1217.9000000000001</v>
      </c>
      <c r="L365" s="127">
        <v>64.290000000000006</v>
      </c>
      <c r="M365" s="127">
        <v>64.180000000000007</v>
      </c>
      <c r="N365" s="127">
        <v>64.25</v>
      </c>
      <c r="O365" s="127">
        <v>64.23</v>
      </c>
      <c r="P365" s="127">
        <v>64.237499999999997</v>
      </c>
      <c r="Q365" s="79">
        <v>19.809999999999999</v>
      </c>
      <c r="R365" s="79">
        <v>2.4900000000000002</v>
      </c>
      <c r="S365" s="127">
        <f t="shared" si="300"/>
        <v>2.4458752515090536</v>
      </c>
      <c r="T365" s="127">
        <f t="shared" si="301"/>
        <v>2.4387822132796773</v>
      </c>
      <c r="U365" s="79">
        <f t="shared" si="302"/>
        <v>4.3850678748083682</v>
      </c>
      <c r="V365" s="127">
        <f t="shared" si="303"/>
        <v>13.68027741179398</v>
      </c>
      <c r="W365" s="127">
        <f t="shared" si="304"/>
        <v>67.946060282169924</v>
      </c>
      <c r="X365"/>
      <c r="Y365"/>
      <c r="Z365" s="133"/>
      <c r="AA365"/>
      <c r="AB365"/>
      <c r="AC365" s="235">
        <v>161</v>
      </c>
      <c r="AD365" s="235">
        <v>91</v>
      </c>
      <c r="AE365" s="235">
        <v>44</v>
      </c>
      <c r="AF365" s="235">
        <v>15</v>
      </c>
    </row>
    <row r="366" spans="1:32">
      <c r="A366" s="1" t="s">
        <v>113</v>
      </c>
      <c r="B366" s="276"/>
      <c r="C366" s="1" t="s">
        <v>306</v>
      </c>
      <c r="D366" s="1" t="s">
        <v>311</v>
      </c>
      <c r="E366" s="136">
        <v>2.5506290273641601</v>
      </c>
      <c r="F366" s="136">
        <v>2.7114104405587001</v>
      </c>
      <c r="G366" s="129">
        <v>4.2</v>
      </c>
      <c r="H366" s="136">
        <f t="shared" si="321"/>
        <v>4.0307101727447217</v>
      </c>
      <c r="I366" s="127">
        <v>1215.5</v>
      </c>
      <c r="J366" s="127">
        <v>720.4</v>
      </c>
      <c r="K366" s="127">
        <v>1218.0999999999999</v>
      </c>
      <c r="L366" s="127">
        <v>64.260000000000005</v>
      </c>
      <c r="M366" s="127">
        <v>64.540000000000006</v>
      </c>
      <c r="N366" s="127">
        <v>64.48</v>
      </c>
      <c r="O366" s="127">
        <v>64.319999999999993</v>
      </c>
      <c r="P366" s="127">
        <v>64.400000000000006</v>
      </c>
      <c r="Q366" s="79">
        <v>14.99</v>
      </c>
      <c r="R366" s="79">
        <v>3.25</v>
      </c>
      <c r="S366" s="127">
        <f t="shared" si="300"/>
        <v>2.4422342776773158</v>
      </c>
      <c r="T366" s="127">
        <f t="shared" si="301"/>
        <v>2.4351517982720514</v>
      </c>
      <c r="U366" s="79">
        <f t="shared" si="302"/>
        <v>4.5274019801869736</v>
      </c>
      <c r="V366" s="127">
        <f t="shared" si="303"/>
        <v>13.808774501297066</v>
      </c>
      <c r="W366" s="127">
        <f t="shared" si="304"/>
        <v>67.213585972008516</v>
      </c>
      <c r="X366"/>
      <c r="Y366"/>
      <c r="Z366" s="133"/>
      <c r="AA366"/>
      <c r="AB366"/>
      <c r="AC366" s="235">
        <v>161</v>
      </c>
      <c r="AD366" s="235">
        <v>91</v>
      </c>
      <c r="AE366" s="235">
        <v>44</v>
      </c>
      <c r="AF366" s="235">
        <v>15</v>
      </c>
    </row>
    <row r="367" spans="1:32">
      <c r="A367" s="1" t="s">
        <v>113</v>
      </c>
      <c r="B367" s="276"/>
      <c r="C367" s="1" t="s">
        <v>306</v>
      </c>
      <c r="D367" s="1" t="s">
        <v>307</v>
      </c>
      <c r="E367" s="136">
        <v>2.5506290273641601</v>
      </c>
      <c r="F367" s="136">
        <v>2.7114104405587001</v>
      </c>
      <c r="G367" s="129">
        <v>4.2</v>
      </c>
      <c r="H367" s="136">
        <f t="shared" si="321"/>
        <v>4.0307101727447217</v>
      </c>
      <c r="I367" s="127">
        <v>1199.0999999999999</v>
      </c>
      <c r="J367" s="127">
        <v>715.4</v>
      </c>
      <c r="K367" s="127">
        <v>1202.2</v>
      </c>
      <c r="L367" s="127">
        <v>63.18</v>
      </c>
      <c r="M367" s="127">
        <v>62.88</v>
      </c>
      <c r="N367" s="127">
        <v>62.95</v>
      </c>
      <c r="O367" s="127">
        <v>63.15</v>
      </c>
      <c r="P367" s="127">
        <v>63.04</v>
      </c>
      <c r="Q367" s="79">
        <v>17.52</v>
      </c>
      <c r="R367" s="79">
        <v>1.66</v>
      </c>
      <c r="S367" s="127">
        <f t="shared" si="300"/>
        <v>2.4632292522596542</v>
      </c>
      <c r="T367" s="127">
        <f t="shared" si="301"/>
        <v>2.4560858874281011</v>
      </c>
      <c r="U367" s="79">
        <f t="shared" si="302"/>
        <v>3.7066597659543121</v>
      </c>
      <c r="V367" s="127">
        <f t="shared" si="303"/>
        <v>13.067820774987538</v>
      </c>
      <c r="W367" s="127">
        <f t="shared" si="304"/>
        <v>71.635211181890071</v>
      </c>
      <c r="X367" s="132">
        <f>AVERAGE(S367:S371)</f>
        <v>2.4591069647922374</v>
      </c>
      <c r="Y367" s="132">
        <f t="shared" ref="Y367" si="326">AVERAGE(T367:T371)</f>
        <v>2.4519755545943402</v>
      </c>
      <c r="Z367" s="133">
        <f t="shared" ref="Z367" si="327">AVERAGE(U367:U371)</f>
        <v>3.8678095368407761</v>
      </c>
      <c r="AA367" s="132">
        <f t="shared" ref="AA367" si="328">AVERAGE(V367:V371)</f>
        <v>13.213304364306618</v>
      </c>
      <c r="AB367" s="132">
        <f t="shared" ref="AB367" si="329">AVERAGE(W367:W371)</f>
        <v>70.753247026921755</v>
      </c>
      <c r="AC367" s="235">
        <v>161</v>
      </c>
      <c r="AD367" s="235">
        <v>91</v>
      </c>
      <c r="AE367" s="235">
        <v>44</v>
      </c>
      <c r="AF367" s="235">
        <v>15</v>
      </c>
    </row>
    <row r="368" spans="1:32">
      <c r="A368" s="1" t="s">
        <v>113</v>
      </c>
      <c r="B368" s="276"/>
      <c r="C368" s="1" t="s">
        <v>306</v>
      </c>
      <c r="D368" s="1" t="s">
        <v>308</v>
      </c>
      <c r="E368" s="136">
        <v>2.5506290273641601</v>
      </c>
      <c r="F368" s="136">
        <v>2.7114104405587001</v>
      </c>
      <c r="G368" s="129">
        <v>4.2</v>
      </c>
      <c r="H368" s="136">
        <f t="shared" si="321"/>
        <v>4.0307101727447217</v>
      </c>
      <c r="I368" s="127">
        <v>1203.0999999999999</v>
      </c>
      <c r="J368" s="127">
        <v>715.9</v>
      </c>
      <c r="K368" s="127">
        <v>1205.8</v>
      </c>
      <c r="L368" s="127">
        <v>62.95</v>
      </c>
      <c r="M368" s="127">
        <v>62.79</v>
      </c>
      <c r="N368" s="127">
        <v>62.97</v>
      </c>
      <c r="O368" s="127">
        <v>63.06</v>
      </c>
      <c r="P368" s="127">
        <v>62.942500000000003</v>
      </c>
      <c r="Q368" s="79">
        <v>16.899999999999999</v>
      </c>
      <c r="R368" s="79">
        <v>1.51</v>
      </c>
      <c r="S368" s="127">
        <f t="shared" si="300"/>
        <v>2.4558073076137985</v>
      </c>
      <c r="T368" s="127">
        <f t="shared" si="301"/>
        <v>2.4486854664217184</v>
      </c>
      <c r="U368" s="79">
        <f t="shared" si="302"/>
        <v>3.9968007832087982</v>
      </c>
      <c r="V368" s="127">
        <f t="shared" si="303"/>
        <v>13.32975572138352</v>
      </c>
      <c r="W368" s="127">
        <f t="shared" si="304"/>
        <v>70.015948778437462</v>
      </c>
      <c r="X368"/>
      <c r="Y368"/>
      <c r="Z368" s="133"/>
      <c r="AA368"/>
      <c r="AB368"/>
      <c r="AC368" s="235">
        <v>161</v>
      </c>
      <c r="AD368" s="235">
        <v>91</v>
      </c>
      <c r="AE368" s="235">
        <v>44</v>
      </c>
      <c r="AF368" s="235">
        <v>15</v>
      </c>
    </row>
    <row r="369" spans="1:32">
      <c r="A369" s="1" t="s">
        <v>113</v>
      </c>
      <c r="B369" s="276"/>
      <c r="C369" s="1" t="s">
        <v>306</v>
      </c>
      <c r="D369" s="1" t="s">
        <v>309</v>
      </c>
      <c r="E369" s="136">
        <v>2.5506290273641601</v>
      </c>
      <c r="F369" s="136">
        <v>2.7114104405587001</v>
      </c>
      <c r="G369" s="129">
        <v>4.2</v>
      </c>
      <c r="H369" s="136">
        <f t="shared" si="321"/>
        <v>4.0307101727447217</v>
      </c>
      <c r="I369" s="127">
        <v>1204.4000000000001</v>
      </c>
      <c r="J369" s="127">
        <v>717.7</v>
      </c>
      <c r="K369" s="127">
        <v>1206.7</v>
      </c>
      <c r="L369" s="127">
        <v>64.3</v>
      </c>
      <c r="M369" s="127">
        <v>64.27</v>
      </c>
      <c r="N369" s="127">
        <v>64.31</v>
      </c>
      <c r="O369" s="127">
        <v>64.19</v>
      </c>
      <c r="P369" s="127">
        <v>64.267499999999998</v>
      </c>
      <c r="Q369" s="79">
        <v>16.66</v>
      </c>
      <c r="R369" s="79">
        <v>3.39</v>
      </c>
      <c r="S369" s="127">
        <f t="shared" si="300"/>
        <v>2.4629856850715748</v>
      </c>
      <c r="T369" s="127">
        <f t="shared" si="301"/>
        <v>2.455843026584867</v>
      </c>
      <c r="U369" s="79">
        <f t="shared" si="302"/>
        <v>3.7161813718259773</v>
      </c>
      <c r="V369" s="127">
        <f t="shared" si="303"/>
        <v>13.076416737554979</v>
      </c>
      <c r="W369" s="127">
        <f t="shared" si="304"/>
        <v>71.58104206672121</v>
      </c>
      <c r="X369"/>
      <c r="Y369"/>
      <c r="Z369" s="133"/>
      <c r="AA369"/>
      <c r="AB369"/>
      <c r="AC369" s="235">
        <v>161</v>
      </c>
      <c r="AD369" s="235">
        <v>91</v>
      </c>
      <c r="AE369" s="235">
        <v>44</v>
      </c>
      <c r="AF369" s="235">
        <v>15</v>
      </c>
    </row>
    <row r="370" spans="1:32">
      <c r="A370" s="1" t="s">
        <v>113</v>
      </c>
      <c r="B370" s="276"/>
      <c r="C370" s="1" t="s">
        <v>306</v>
      </c>
      <c r="D370" s="1" t="s">
        <v>310</v>
      </c>
      <c r="E370" s="136">
        <v>2.5506290273641601</v>
      </c>
      <c r="F370" s="136">
        <v>2.7114104405587001</v>
      </c>
      <c r="G370" s="129">
        <v>4.2</v>
      </c>
      <c r="H370" s="136">
        <f t="shared" si="321"/>
        <v>4.0307101727447217</v>
      </c>
      <c r="I370" s="127">
        <v>1199.9000000000001</v>
      </c>
      <c r="J370" s="127">
        <v>715.9</v>
      </c>
      <c r="K370" s="127">
        <v>1202.5</v>
      </c>
      <c r="L370" s="127">
        <v>62.37</v>
      </c>
      <c r="M370" s="127">
        <v>62.93</v>
      </c>
      <c r="N370" s="127">
        <v>62.88</v>
      </c>
      <c r="O370" s="127">
        <v>62.81</v>
      </c>
      <c r="P370" s="127">
        <v>62.747500000000002</v>
      </c>
      <c r="Q370" s="79">
        <v>16.940000000000001</v>
      </c>
      <c r="R370" s="79">
        <v>1.7</v>
      </c>
      <c r="S370" s="127">
        <f t="shared" si="300"/>
        <v>2.4658857377722976</v>
      </c>
      <c r="T370" s="127">
        <f t="shared" si="301"/>
        <v>2.4587346691327578</v>
      </c>
      <c r="U370" s="79">
        <f t="shared" si="302"/>
        <v>3.6028115906124758</v>
      </c>
      <c r="V370" s="127">
        <f t="shared" si="303"/>
        <v>12.974068204258728</v>
      </c>
      <c r="W370" s="127">
        <f t="shared" si="304"/>
        <v>72.230671722306383</v>
      </c>
      <c r="X370"/>
      <c r="Y370"/>
      <c r="Z370" s="133"/>
      <c r="AA370"/>
      <c r="AB370"/>
      <c r="AC370" s="235">
        <v>161</v>
      </c>
      <c r="AD370" s="235">
        <v>91</v>
      </c>
      <c r="AE370" s="235">
        <v>44</v>
      </c>
      <c r="AF370" s="235">
        <v>15</v>
      </c>
    </row>
    <row r="371" spans="1:32">
      <c r="A371" s="1" t="s">
        <v>113</v>
      </c>
      <c r="B371" s="276"/>
      <c r="C371" s="1" t="s">
        <v>306</v>
      </c>
      <c r="D371" s="1" t="s">
        <v>311</v>
      </c>
      <c r="E371" s="136">
        <v>2.5506290273641601</v>
      </c>
      <c r="F371" s="136">
        <v>2.7114104405587001</v>
      </c>
      <c r="G371" s="129">
        <v>4.2</v>
      </c>
      <c r="H371" s="136">
        <f t="shared" si="321"/>
        <v>4.0307101727447217</v>
      </c>
      <c r="I371" s="127">
        <v>1196.4000000000001</v>
      </c>
      <c r="J371" s="127">
        <v>710.7</v>
      </c>
      <c r="K371" s="127">
        <v>1199.5</v>
      </c>
      <c r="L371" s="127">
        <v>62.77</v>
      </c>
      <c r="M371" s="127">
        <v>62.49</v>
      </c>
      <c r="N371" s="127">
        <v>62.6</v>
      </c>
      <c r="O371" s="127">
        <v>63.16</v>
      </c>
      <c r="P371" s="127">
        <v>62.755000000000003</v>
      </c>
      <c r="Q371" s="79">
        <v>16.13</v>
      </c>
      <c r="R371" s="79">
        <v>1.19</v>
      </c>
      <c r="S371" s="127">
        <f t="shared" si="300"/>
        <v>2.4476268412438631</v>
      </c>
      <c r="T371" s="127">
        <f t="shared" si="301"/>
        <v>2.4405287234042556</v>
      </c>
      <c r="U371" s="79">
        <f t="shared" si="302"/>
        <v>4.3165941726023167</v>
      </c>
      <c r="V371" s="127">
        <f t="shared" si="303"/>
        <v>13.618460383348321</v>
      </c>
      <c r="W371" s="127">
        <f t="shared" si="304"/>
        <v>68.303361385253666</v>
      </c>
      <c r="X371"/>
      <c r="Y371"/>
      <c r="Z371" s="133"/>
      <c r="AA371"/>
      <c r="AB371"/>
      <c r="AC371" s="235">
        <v>161</v>
      </c>
      <c r="AD371" s="235">
        <v>91</v>
      </c>
      <c r="AE371" s="235">
        <v>44</v>
      </c>
      <c r="AF371" s="235">
        <v>15</v>
      </c>
    </row>
    <row r="372" spans="1:32">
      <c r="A372" s="1" t="s">
        <v>113</v>
      </c>
      <c r="B372" s="276"/>
      <c r="C372" s="1" t="s">
        <v>306</v>
      </c>
      <c r="D372" s="1" t="s">
        <v>307</v>
      </c>
      <c r="E372" s="137">
        <v>2.5542144631004602</v>
      </c>
      <c r="F372" s="137">
        <v>2.7114104405587001</v>
      </c>
      <c r="G372" s="129">
        <v>4.4000000000000004</v>
      </c>
      <c r="H372" s="136">
        <f t="shared" si="321"/>
        <v>4.2145593869731801</v>
      </c>
      <c r="I372" s="127">
        <v>1206.9000000000001</v>
      </c>
      <c r="J372" s="127">
        <v>719.3</v>
      </c>
      <c r="K372" s="127">
        <v>1209.9000000000001</v>
      </c>
      <c r="L372" s="127">
        <v>64.77</v>
      </c>
      <c r="M372" s="127">
        <v>64.8</v>
      </c>
      <c r="N372" s="127">
        <v>64.78</v>
      </c>
      <c r="O372" s="127">
        <v>64.61</v>
      </c>
      <c r="P372" s="127">
        <v>64.739999999999995</v>
      </c>
      <c r="Q372" s="79">
        <v>19.899999999999999</v>
      </c>
      <c r="R372" s="79">
        <v>1.95</v>
      </c>
      <c r="S372" s="127">
        <f t="shared" si="300"/>
        <v>2.4600489196901747</v>
      </c>
      <c r="T372" s="127">
        <f t="shared" si="301"/>
        <v>2.4529147778230733</v>
      </c>
      <c r="U372" s="79">
        <f t="shared" si="302"/>
        <v>3.9659819776614702</v>
      </c>
      <c r="V372" s="127">
        <f t="shared" si="303"/>
        <v>13.346382655525034</v>
      </c>
      <c r="W372" s="127">
        <f t="shared" si="304"/>
        <v>70.284217978572173</v>
      </c>
      <c r="X372" s="132">
        <f>AVERAGE(S372:S376)</f>
        <v>2.4577159403054685</v>
      </c>
      <c r="Y372" s="132">
        <f t="shared" ref="Y372" si="330">AVERAGE(T372:T376)</f>
        <v>2.4505885640785827</v>
      </c>
      <c r="Z372" s="133">
        <f t="shared" ref="Z372" si="331">AVERAGE(U372:U376)</f>
        <v>4.0570555260301164</v>
      </c>
      <c r="AA372" s="132">
        <f t="shared" ref="AA372" si="332">AVERAGE(V372:V376)</f>
        <v>13.428560331447173</v>
      </c>
      <c r="AB372" s="132">
        <f t="shared" ref="AB372" si="333">AVERAGE(W372:W376)</f>
        <v>69.797215173163991</v>
      </c>
      <c r="AC372" s="235">
        <v>161</v>
      </c>
      <c r="AD372" s="235">
        <v>91</v>
      </c>
      <c r="AE372" s="235">
        <v>44</v>
      </c>
      <c r="AF372" s="235">
        <v>15</v>
      </c>
    </row>
    <row r="373" spans="1:32">
      <c r="A373" s="1" t="s">
        <v>113</v>
      </c>
      <c r="B373" s="276"/>
      <c r="C373" s="1" t="s">
        <v>306</v>
      </c>
      <c r="D373" s="1" t="s">
        <v>308</v>
      </c>
      <c r="E373" s="137">
        <v>2.5542144631004602</v>
      </c>
      <c r="F373" s="137">
        <v>2.7114104405587001</v>
      </c>
      <c r="G373" s="129">
        <v>4.4000000000000004</v>
      </c>
      <c r="H373" s="136">
        <f t="shared" ref="H373:H376" si="334">100*G373/(100+G373)</f>
        <v>4.2145593869731801</v>
      </c>
      <c r="I373" s="127">
        <v>1210</v>
      </c>
      <c r="J373" s="127">
        <v>720</v>
      </c>
      <c r="K373" s="127">
        <v>1212.5999999999999</v>
      </c>
      <c r="L373" s="127">
        <v>64.19</v>
      </c>
      <c r="M373" s="127">
        <v>64.06</v>
      </c>
      <c r="N373" s="127">
        <v>64.12</v>
      </c>
      <c r="O373" s="127">
        <v>64.37</v>
      </c>
      <c r="P373" s="127">
        <v>64.185000000000002</v>
      </c>
      <c r="Q373" s="79">
        <v>14.07</v>
      </c>
      <c r="R373" s="79">
        <v>2.2400000000000002</v>
      </c>
      <c r="S373" s="127">
        <f t="shared" si="300"/>
        <v>2.4563540397888759</v>
      </c>
      <c r="T373" s="127">
        <f t="shared" si="301"/>
        <v>2.449230613073488</v>
      </c>
      <c r="U373" s="79">
        <f t="shared" si="302"/>
        <v>4.1102206390115086</v>
      </c>
      <c r="V373" s="127">
        <f t="shared" si="303"/>
        <v>13.476532388133322</v>
      </c>
      <c r="W373" s="127">
        <f t="shared" si="304"/>
        <v>69.500903343424326</v>
      </c>
      <c r="X373"/>
      <c r="Y373"/>
      <c r="Z373" s="133"/>
      <c r="AA373"/>
      <c r="AB373"/>
      <c r="AC373" s="235">
        <v>161</v>
      </c>
      <c r="AD373" s="235">
        <v>91</v>
      </c>
      <c r="AE373" s="235">
        <v>44</v>
      </c>
      <c r="AF373" s="235">
        <v>15</v>
      </c>
    </row>
    <row r="374" spans="1:32">
      <c r="A374" s="1" t="s">
        <v>113</v>
      </c>
      <c r="B374" s="276"/>
      <c r="C374" s="1" t="s">
        <v>306</v>
      </c>
      <c r="D374" s="1" t="s">
        <v>309</v>
      </c>
      <c r="E374" s="137">
        <v>2.5542144631004602</v>
      </c>
      <c r="F374" s="137">
        <v>2.7114104405587001</v>
      </c>
      <c r="G374" s="129">
        <v>4.4000000000000004</v>
      </c>
      <c r="H374" s="136">
        <f t="shared" si="334"/>
        <v>4.2145593869731801</v>
      </c>
      <c r="I374" s="127">
        <v>1203.9000000000001</v>
      </c>
      <c r="J374" s="127">
        <v>716.9</v>
      </c>
      <c r="K374" s="127">
        <v>1206.3</v>
      </c>
      <c r="L374" s="127">
        <v>64.03</v>
      </c>
      <c r="M374" s="127">
        <v>63.9</v>
      </c>
      <c r="N374" s="127">
        <v>64.13</v>
      </c>
      <c r="O374" s="127">
        <v>64.16</v>
      </c>
      <c r="P374" s="127">
        <v>64.055000000000007</v>
      </c>
      <c r="Q374" s="79">
        <v>14.16</v>
      </c>
      <c r="R374" s="79">
        <v>2.54</v>
      </c>
      <c r="S374" s="127">
        <f t="shared" si="300"/>
        <v>2.4599509603596244</v>
      </c>
      <c r="T374" s="127">
        <f t="shared" si="301"/>
        <v>2.4528171025745813</v>
      </c>
      <c r="U374" s="79">
        <f t="shared" si="302"/>
        <v>3.9698060593861273</v>
      </c>
      <c r="V374" s="127">
        <f t="shared" si="303"/>
        <v>13.349833208998547</v>
      </c>
      <c r="W374" s="127">
        <f t="shared" si="304"/>
        <v>70.263253501098049</v>
      </c>
      <c r="X374"/>
      <c r="Y374"/>
      <c r="Z374" s="133"/>
      <c r="AA374"/>
      <c r="AB374"/>
      <c r="AC374" s="235">
        <v>161</v>
      </c>
      <c r="AD374" s="235">
        <v>91</v>
      </c>
      <c r="AE374" s="235">
        <v>44</v>
      </c>
      <c r="AF374" s="235">
        <v>15</v>
      </c>
    </row>
    <row r="375" spans="1:32">
      <c r="A375" s="1" t="s">
        <v>113</v>
      </c>
      <c r="B375" s="276"/>
      <c r="C375" s="1" t="s">
        <v>306</v>
      </c>
      <c r="D375" s="1" t="s">
        <v>310</v>
      </c>
      <c r="E375" s="137">
        <v>2.5542144631004602</v>
      </c>
      <c r="F375" s="137">
        <v>2.7114104405587001</v>
      </c>
      <c r="G375" s="129">
        <v>4.4000000000000004</v>
      </c>
      <c r="H375" s="136">
        <f t="shared" si="334"/>
        <v>4.2145593869731801</v>
      </c>
      <c r="I375" s="127">
        <v>1206.0999999999999</v>
      </c>
      <c r="J375" s="127">
        <v>719.5</v>
      </c>
      <c r="K375" s="127">
        <v>1209.4000000000001</v>
      </c>
      <c r="L375" s="127">
        <v>64.290000000000006</v>
      </c>
      <c r="M375" s="127">
        <v>64.180000000000007</v>
      </c>
      <c r="N375" s="127">
        <v>64.25</v>
      </c>
      <c r="O375" s="127">
        <v>64.23</v>
      </c>
      <c r="P375" s="127">
        <v>64.237499999999997</v>
      </c>
      <c r="Q375" s="79">
        <v>19.809999999999999</v>
      </c>
      <c r="R375" s="79">
        <v>2.4900000000000002</v>
      </c>
      <c r="S375" s="127">
        <f t="shared" si="300"/>
        <v>2.4619310063278212</v>
      </c>
      <c r="T375" s="127">
        <f t="shared" si="301"/>
        <v>2.4547914064094707</v>
      </c>
      <c r="U375" s="79">
        <f t="shared" si="302"/>
        <v>3.8925101289381869</v>
      </c>
      <c r="V375" s="127">
        <f t="shared" si="303"/>
        <v>13.280087382287817</v>
      </c>
      <c r="W375" s="127">
        <f t="shared" si="304"/>
        <v>70.689122617297059</v>
      </c>
      <c r="X375"/>
      <c r="Y375"/>
      <c r="Z375" s="133"/>
      <c r="AA375"/>
      <c r="AB375"/>
      <c r="AC375" s="235">
        <v>161</v>
      </c>
      <c r="AD375" s="235">
        <v>91</v>
      </c>
      <c r="AE375" s="235">
        <v>44</v>
      </c>
      <c r="AF375" s="235">
        <v>15</v>
      </c>
    </row>
    <row r="376" spans="1:32">
      <c r="A376" s="1" t="s">
        <v>113</v>
      </c>
      <c r="B376" s="276"/>
      <c r="C376" s="1" t="s">
        <v>306</v>
      </c>
      <c r="D376" s="1" t="s">
        <v>311</v>
      </c>
      <c r="E376" s="137">
        <v>2.5542144631004602</v>
      </c>
      <c r="F376" s="137">
        <v>2.7114104405587001</v>
      </c>
      <c r="G376" s="129">
        <v>4.4000000000000004</v>
      </c>
      <c r="H376" s="136">
        <f t="shared" si="334"/>
        <v>4.2145593869731801</v>
      </c>
      <c r="I376" s="127">
        <v>1205.3</v>
      </c>
      <c r="J376" s="127">
        <v>716.9</v>
      </c>
      <c r="K376" s="127">
        <v>1208.8</v>
      </c>
      <c r="L376" s="127">
        <v>64.260000000000005</v>
      </c>
      <c r="M376" s="127">
        <v>64.540000000000006</v>
      </c>
      <c r="N376" s="127">
        <v>64.48</v>
      </c>
      <c r="O376" s="127">
        <v>64.319999999999993</v>
      </c>
      <c r="P376" s="127">
        <v>64.400000000000006</v>
      </c>
      <c r="Q376" s="79">
        <v>14.99</v>
      </c>
      <c r="R376" s="79">
        <v>3.25</v>
      </c>
      <c r="S376" s="127">
        <f t="shared" si="300"/>
        <v>2.4502947753608457</v>
      </c>
      <c r="T376" s="127">
        <f t="shared" si="301"/>
        <v>2.4431889205122994</v>
      </c>
      <c r="U376" s="79">
        <f t="shared" si="302"/>
        <v>4.3467588251532856</v>
      </c>
      <c r="V376" s="127">
        <f t="shared" si="303"/>
        <v>13.689966022291145</v>
      </c>
      <c r="W376" s="127">
        <f t="shared" si="304"/>
        <v>68.248578425428306</v>
      </c>
      <c r="X376"/>
      <c r="Y376"/>
      <c r="Z376" s="133"/>
      <c r="AA376"/>
      <c r="AB376"/>
      <c r="AC376" s="235">
        <v>161</v>
      </c>
      <c r="AD376" s="235">
        <v>91</v>
      </c>
      <c r="AE376" s="235">
        <v>44</v>
      </c>
      <c r="AF376" s="235">
        <v>15</v>
      </c>
    </row>
    <row r="377" spans="1:32">
      <c r="A377" s="1" t="s">
        <v>113</v>
      </c>
      <c r="B377" s="280" t="s">
        <v>259</v>
      </c>
      <c r="C377" s="1" t="s">
        <v>312</v>
      </c>
      <c r="D377" s="1" t="s">
        <v>307</v>
      </c>
      <c r="E377" s="127">
        <v>2.5355147340927902</v>
      </c>
      <c r="F377" s="127">
        <v>2.71329960206298</v>
      </c>
      <c r="G377" s="127">
        <v>4.2</v>
      </c>
      <c r="H377" s="127">
        <v>4.0307101727447199</v>
      </c>
      <c r="I377" s="127">
        <v>1217.0999999999999</v>
      </c>
      <c r="J377" s="127">
        <v>720.4</v>
      </c>
      <c r="K377" s="127">
        <v>1219.5999999999999</v>
      </c>
      <c r="L377" s="127">
        <v>64.77</v>
      </c>
      <c r="M377" s="127">
        <v>64.8</v>
      </c>
      <c r="N377" s="127">
        <v>64.78</v>
      </c>
      <c r="O377" s="127">
        <v>64.61</v>
      </c>
      <c r="P377" s="127">
        <v>64.739999999999995</v>
      </c>
      <c r="Q377" s="79">
        <v>17.52</v>
      </c>
      <c r="R377" s="79">
        <v>1.66</v>
      </c>
      <c r="S377" s="127">
        <f t="shared" si="300"/>
        <v>2.4381009615384617</v>
      </c>
      <c r="T377" s="127">
        <f t="shared" si="301"/>
        <v>2.43103046875</v>
      </c>
      <c r="U377" s="79">
        <f t="shared" si="302"/>
        <v>4.1208305334567434</v>
      </c>
      <c r="V377" s="127">
        <f t="shared" si="303"/>
        <v>14.014557236152328</v>
      </c>
      <c r="W377" s="127">
        <f t="shared" si="304"/>
        <v>70.596070471448513</v>
      </c>
      <c r="X377" s="132">
        <f>AVERAGE(S377:S381)</f>
        <v>2.448894107526562</v>
      </c>
      <c r="Y377" s="132">
        <f t="shared" ref="Y377" si="335">AVERAGE(T377:T381)</f>
        <v>2.4417923146147347</v>
      </c>
      <c r="Z377" s="133">
        <f t="shared" ref="Z377" si="336">AVERAGE(U377:U381)</f>
        <v>3.6963863083836395</v>
      </c>
      <c r="AA377" s="132">
        <f t="shared" ref="AA377" si="337">AVERAGE(V377:V381)</f>
        <v>13.633911212365026</v>
      </c>
      <c r="AB377" s="132">
        <f t="shared" ref="AB377" si="338">AVERAGE(W377:W381)</f>
        <v>72.921353230467545</v>
      </c>
      <c r="AC377" s="235">
        <v>161</v>
      </c>
      <c r="AD377" s="235">
        <v>91</v>
      </c>
      <c r="AE377" s="235">
        <v>44</v>
      </c>
      <c r="AF377" s="235">
        <v>15</v>
      </c>
    </row>
    <row r="378" spans="1:32">
      <c r="A378" s="1" t="s">
        <v>113</v>
      </c>
      <c r="B378" s="276"/>
      <c r="C378" s="1" t="s">
        <v>312</v>
      </c>
      <c r="D378" s="1" t="s">
        <v>308</v>
      </c>
      <c r="E378" s="127">
        <v>2.5355147340927902</v>
      </c>
      <c r="F378" s="127">
        <v>2.71329960206298</v>
      </c>
      <c r="G378" s="127">
        <v>4.2</v>
      </c>
      <c r="H378" s="127">
        <v>4.0307101727447199</v>
      </c>
      <c r="I378" s="127">
        <v>1220.7</v>
      </c>
      <c r="J378" s="127">
        <v>727.1</v>
      </c>
      <c r="K378" s="127">
        <v>1223.3</v>
      </c>
      <c r="L378" s="127">
        <v>64.19</v>
      </c>
      <c r="M378" s="127">
        <v>64.06</v>
      </c>
      <c r="N378" s="127">
        <v>64.12</v>
      </c>
      <c r="O378" s="127">
        <v>64.37</v>
      </c>
      <c r="P378" s="127">
        <v>64.185000000000002</v>
      </c>
      <c r="Q378" s="79">
        <v>16.899999999999999</v>
      </c>
      <c r="R378" s="79">
        <v>1.51</v>
      </c>
      <c r="S378" s="127">
        <f t="shared" si="300"/>
        <v>2.4600967351874248</v>
      </c>
      <c r="T378" s="127">
        <f t="shared" si="301"/>
        <v>2.4529624546553812</v>
      </c>
      <c r="U378" s="79">
        <f t="shared" si="302"/>
        <v>3.2558390739127918</v>
      </c>
      <c r="V378" s="127">
        <f t="shared" si="303"/>
        <v>13.238823841196435</v>
      </c>
      <c r="W378" s="127">
        <f t="shared" si="304"/>
        <v>75.406885740247517</v>
      </c>
      <c r="X378"/>
      <c r="Y378"/>
      <c r="Z378" s="133"/>
      <c r="AA378"/>
      <c r="AB378"/>
      <c r="AC378" s="235">
        <v>161</v>
      </c>
      <c r="AD378" s="235">
        <v>91</v>
      </c>
      <c r="AE378" s="235">
        <v>44</v>
      </c>
      <c r="AF378" s="235">
        <v>15</v>
      </c>
    </row>
    <row r="379" spans="1:32">
      <c r="A379" s="1" t="s">
        <v>113</v>
      </c>
      <c r="B379" s="276"/>
      <c r="C379" s="1" t="s">
        <v>312</v>
      </c>
      <c r="D379" s="1" t="s">
        <v>309</v>
      </c>
      <c r="E379" s="127">
        <v>2.5355147340927902</v>
      </c>
      <c r="F379" s="127">
        <v>2.71329960206298</v>
      </c>
      <c r="G379" s="127">
        <v>4.2</v>
      </c>
      <c r="H379" s="127">
        <v>4.0307101727447199</v>
      </c>
      <c r="I379" s="127">
        <v>1218.5</v>
      </c>
      <c r="J379" s="127">
        <v>724.9</v>
      </c>
      <c r="K379" s="127">
        <v>1221.4000000000001</v>
      </c>
      <c r="L379" s="127">
        <v>64.03</v>
      </c>
      <c r="M379" s="127">
        <v>63.9</v>
      </c>
      <c r="N379" s="127">
        <v>64.13</v>
      </c>
      <c r="O379" s="127">
        <v>64.16</v>
      </c>
      <c r="P379" s="127">
        <v>64.055000000000007</v>
      </c>
      <c r="Q379" s="79">
        <v>16.66</v>
      </c>
      <c r="R379" s="79">
        <v>3.39</v>
      </c>
      <c r="S379" s="127">
        <f t="shared" si="300"/>
        <v>2.454179254783484</v>
      </c>
      <c r="T379" s="127">
        <f t="shared" si="301"/>
        <v>2.4470621349446118</v>
      </c>
      <c r="U379" s="79">
        <f t="shared" si="302"/>
        <v>3.4885460517675493</v>
      </c>
      <c r="V379" s="127">
        <f t="shared" si="303"/>
        <v>13.447517894726602</v>
      </c>
      <c r="W379" s="127">
        <f t="shared" si="304"/>
        <v>74.058067227889154</v>
      </c>
      <c r="X379"/>
      <c r="Y379"/>
      <c r="Z379" s="133"/>
      <c r="AA379"/>
      <c r="AB379"/>
      <c r="AC379" s="235">
        <v>161</v>
      </c>
      <c r="AD379" s="235">
        <v>91</v>
      </c>
      <c r="AE379" s="235">
        <v>44</v>
      </c>
      <c r="AF379" s="235">
        <v>15</v>
      </c>
    </row>
    <row r="380" spans="1:32">
      <c r="A380" s="1" t="s">
        <v>113</v>
      </c>
      <c r="B380" s="276"/>
      <c r="C380" s="1" t="s">
        <v>312</v>
      </c>
      <c r="D380" s="1" t="s">
        <v>310</v>
      </c>
      <c r="E380" s="127">
        <v>2.5355147340927902</v>
      </c>
      <c r="F380" s="127">
        <v>2.71329960206298</v>
      </c>
      <c r="G380" s="127">
        <v>4.2</v>
      </c>
      <c r="H380" s="127">
        <v>4.0307101727447199</v>
      </c>
      <c r="I380" s="127">
        <v>1213.5999999999999</v>
      </c>
      <c r="J380" s="127">
        <v>720.2</v>
      </c>
      <c r="K380" s="127">
        <v>1216</v>
      </c>
      <c r="L380" s="127">
        <v>64.290000000000006</v>
      </c>
      <c r="M380" s="127">
        <v>64.180000000000007</v>
      </c>
      <c r="N380" s="127">
        <v>64.25</v>
      </c>
      <c r="O380" s="127">
        <v>64.23</v>
      </c>
      <c r="P380" s="127">
        <v>64.237499999999997</v>
      </c>
      <c r="Q380" s="79">
        <v>16.940000000000001</v>
      </c>
      <c r="R380" s="79">
        <v>1.7</v>
      </c>
      <c r="S380" s="127">
        <f t="shared" si="300"/>
        <v>2.4477611940298507</v>
      </c>
      <c r="T380" s="127">
        <f t="shared" si="301"/>
        <v>2.4406626865671641</v>
      </c>
      <c r="U380" s="79">
        <f t="shared" si="302"/>
        <v>3.7409385262185957</v>
      </c>
      <c r="V380" s="127">
        <f t="shared" si="303"/>
        <v>13.673866107656295</v>
      </c>
      <c r="W380" s="127">
        <f t="shared" si="304"/>
        <v>72.641691115258453</v>
      </c>
      <c r="X380"/>
      <c r="Y380"/>
      <c r="Z380" s="133"/>
      <c r="AA380"/>
      <c r="AB380"/>
      <c r="AC380" s="235">
        <v>161</v>
      </c>
      <c r="AD380" s="235">
        <v>91</v>
      </c>
      <c r="AE380" s="235">
        <v>44</v>
      </c>
      <c r="AF380" s="235">
        <v>15</v>
      </c>
    </row>
    <row r="381" spans="1:32">
      <c r="A381" s="1" t="s">
        <v>113</v>
      </c>
      <c r="B381" s="276"/>
      <c r="C381" s="1" t="s">
        <v>312</v>
      </c>
      <c r="D381" s="1" t="s">
        <v>311</v>
      </c>
      <c r="E381" s="127">
        <v>2.5355147340927902</v>
      </c>
      <c r="F381" s="127">
        <v>2.71329960206298</v>
      </c>
      <c r="G381" s="127">
        <v>4.2</v>
      </c>
      <c r="H381" s="127">
        <v>4.0307101727447199</v>
      </c>
      <c r="I381" s="127">
        <v>1211.9000000000001</v>
      </c>
      <c r="J381" s="127">
        <v>719</v>
      </c>
      <c r="K381" s="127">
        <v>1214.8</v>
      </c>
      <c r="L381" s="127">
        <v>64.260000000000005</v>
      </c>
      <c r="M381" s="127">
        <v>64.540000000000006</v>
      </c>
      <c r="N381" s="127">
        <v>64.48</v>
      </c>
      <c r="O381" s="127">
        <v>64.319999999999993</v>
      </c>
      <c r="P381" s="127">
        <v>64.400000000000006</v>
      </c>
      <c r="Q381" s="79">
        <v>16.13</v>
      </c>
      <c r="R381" s="79">
        <v>1.19</v>
      </c>
      <c r="S381" s="127">
        <f t="shared" si="300"/>
        <v>2.4443323920935867</v>
      </c>
      <c r="T381" s="127">
        <f t="shared" si="301"/>
        <v>2.4372438281565154</v>
      </c>
      <c r="U381" s="79">
        <f t="shared" si="302"/>
        <v>3.8757773565625153</v>
      </c>
      <c r="V381" s="127">
        <f t="shared" si="303"/>
        <v>13.794790982093474</v>
      </c>
      <c r="W381" s="127">
        <f t="shared" si="304"/>
        <v>71.904051597494131</v>
      </c>
      <c r="X381"/>
      <c r="Y381"/>
      <c r="Z381" s="133"/>
      <c r="AA381"/>
      <c r="AB381"/>
      <c r="AC381" s="235">
        <v>161</v>
      </c>
      <c r="AD381" s="235">
        <v>91</v>
      </c>
      <c r="AE381" s="235">
        <v>44</v>
      </c>
      <c r="AF381" s="235">
        <v>15</v>
      </c>
    </row>
    <row r="382" spans="1:32">
      <c r="A382" s="1" t="s">
        <v>113</v>
      </c>
      <c r="B382" s="276"/>
      <c r="C382" s="1" t="s">
        <v>312</v>
      </c>
      <c r="D382" s="1" t="s">
        <v>307</v>
      </c>
      <c r="E382" s="127">
        <v>2.5255957808355398</v>
      </c>
      <c r="F382" s="127">
        <v>2.71329960206298</v>
      </c>
      <c r="G382" s="127">
        <v>4.2</v>
      </c>
      <c r="H382" s="127">
        <v>4.0307101727447199</v>
      </c>
      <c r="I382" s="127">
        <v>1214.0999999999999</v>
      </c>
      <c r="J382" s="127">
        <v>719.3</v>
      </c>
      <c r="K382" s="127">
        <v>1217</v>
      </c>
      <c r="L382" s="127">
        <v>64.38</v>
      </c>
      <c r="M382" s="127">
        <v>64.75</v>
      </c>
      <c r="N382" s="127">
        <v>64.75</v>
      </c>
      <c r="O382" s="127">
        <v>64.55</v>
      </c>
      <c r="P382" s="127">
        <v>64.607500000000002</v>
      </c>
      <c r="Q382" s="79">
        <v>17.52</v>
      </c>
      <c r="R382" s="79">
        <v>1.66</v>
      </c>
      <c r="S382" s="127">
        <f t="shared" si="300"/>
        <v>2.439421338155515</v>
      </c>
      <c r="T382" s="127">
        <f t="shared" si="301"/>
        <v>2.4323470162748642</v>
      </c>
      <c r="U382" s="79">
        <f t="shared" si="302"/>
        <v>3.6921492056747995</v>
      </c>
      <c r="V382" s="127">
        <f t="shared" si="303"/>
        <v>13.967991007016053</v>
      </c>
      <c r="W382" s="127">
        <f t="shared" si="304"/>
        <v>73.567070569989269</v>
      </c>
      <c r="X382" s="132">
        <f>AVERAGE(S382:S386)</f>
        <v>2.4285740167387</v>
      </c>
      <c r="Y382" s="132">
        <f t="shared" ref="Y382" si="339">AVERAGE(T382:T386)</f>
        <v>2.4215311520901581</v>
      </c>
      <c r="Z382" s="133">
        <f t="shared" ref="Z382" si="340">AVERAGE(U382:U386)</f>
        <v>4.1203992157032516</v>
      </c>
      <c r="AA382" s="132">
        <f t="shared" ref="AA382" si="341">AVERAGE(V382:V386)</f>
        <v>14.350547656449507</v>
      </c>
      <c r="AB382" s="132">
        <f t="shared" ref="AB382" si="342">AVERAGE(W382:W386)</f>
        <v>71.325383220981919</v>
      </c>
      <c r="AC382" s="235">
        <v>161</v>
      </c>
      <c r="AD382" s="235">
        <v>91</v>
      </c>
      <c r="AE382" s="235">
        <v>44</v>
      </c>
      <c r="AF382" s="235">
        <v>15</v>
      </c>
    </row>
    <row r="383" spans="1:32">
      <c r="A383" s="1" t="s">
        <v>113</v>
      </c>
      <c r="B383" s="276"/>
      <c r="C383" s="1" t="s">
        <v>312</v>
      </c>
      <c r="D383" s="1" t="s">
        <v>308</v>
      </c>
      <c r="E383" s="127">
        <v>2.5255957808355398</v>
      </c>
      <c r="F383" s="127">
        <v>2.71329960206298</v>
      </c>
      <c r="G383" s="127">
        <v>4.2</v>
      </c>
      <c r="H383" s="127">
        <v>4.0307101727447199</v>
      </c>
      <c r="I383" s="127">
        <v>1210.4000000000001</v>
      </c>
      <c r="J383" s="127">
        <v>712.9</v>
      </c>
      <c r="K383" s="127">
        <v>1212.9000000000001</v>
      </c>
      <c r="L383" s="127">
        <v>64.08</v>
      </c>
      <c r="M383" s="127">
        <v>63.96</v>
      </c>
      <c r="N383" s="127">
        <v>64.19</v>
      </c>
      <c r="O383" s="127">
        <v>64.09</v>
      </c>
      <c r="P383" s="127">
        <v>64.08</v>
      </c>
      <c r="Q383" s="79">
        <v>16.899999999999999</v>
      </c>
      <c r="R383" s="79">
        <v>1.51</v>
      </c>
      <c r="S383" s="127">
        <f t="shared" si="300"/>
        <v>2.4207999999999998</v>
      </c>
      <c r="T383" s="127">
        <f t="shared" si="301"/>
        <v>2.4137796799999998</v>
      </c>
      <c r="U383" s="79">
        <f t="shared" si="302"/>
        <v>4.4273157915455492</v>
      </c>
      <c r="V383" s="127">
        <f t="shared" si="303"/>
        <v>14.624716889748569</v>
      </c>
      <c r="W383" s="127">
        <f t="shared" si="304"/>
        <v>69.727169251057788</v>
      </c>
      <c r="X383"/>
      <c r="Y383"/>
      <c r="Z383" s="133"/>
      <c r="AA383"/>
      <c r="AB383"/>
      <c r="AC383" s="235">
        <v>161</v>
      </c>
      <c r="AD383" s="235">
        <v>91</v>
      </c>
      <c r="AE383" s="235">
        <v>44</v>
      </c>
      <c r="AF383" s="235">
        <v>15</v>
      </c>
    </row>
    <row r="384" spans="1:32">
      <c r="A384" s="1" t="s">
        <v>113</v>
      </c>
      <c r="B384" s="276"/>
      <c r="C384" s="1" t="s">
        <v>312</v>
      </c>
      <c r="D384" s="1" t="s">
        <v>309</v>
      </c>
      <c r="E384" s="127">
        <v>2.5255957808355398</v>
      </c>
      <c r="F384" s="127">
        <v>2.71329960206298</v>
      </c>
      <c r="G384" s="127">
        <v>4.2</v>
      </c>
      <c r="H384" s="127">
        <v>4.0307101727447199</v>
      </c>
      <c r="I384" s="127">
        <v>1198.7</v>
      </c>
      <c r="J384" s="127">
        <v>708</v>
      </c>
      <c r="K384" s="127">
        <v>1201.5999999999999</v>
      </c>
      <c r="L384" s="127">
        <v>64.22</v>
      </c>
      <c r="M384" s="127">
        <v>64.08</v>
      </c>
      <c r="N384" s="127">
        <v>64</v>
      </c>
      <c r="O384" s="127">
        <v>64.099999999999994</v>
      </c>
      <c r="P384" s="127">
        <v>64.099999999999994</v>
      </c>
      <c r="Q384" s="79">
        <v>16.66</v>
      </c>
      <c r="R384" s="79">
        <v>3.39</v>
      </c>
      <c r="S384" s="127">
        <f t="shared" si="300"/>
        <v>2.4284846029173424</v>
      </c>
      <c r="T384" s="127">
        <f t="shared" si="301"/>
        <v>2.4214419975688819</v>
      </c>
      <c r="U384" s="79">
        <f t="shared" si="302"/>
        <v>4.1239292549103297</v>
      </c>
      <c r="V384" s="127">
        <f t="shared" si="303"/>
        <v>14.353701048019403</v>
      </c>
      <c r="W384" s="127">
        <f t="shared" si="304"/>
        <v>71.2692270717219</v>
      </c>
      <c r="X384"/>
      <c r="Y384"/>
      <c r="Z384" s="133"/>
      <c r="AA384"/>
      <c r="AB384"/>
      <c r="AC384" s="235">
        <v>161</v>
      </c>
      <c r="AD384" s="235">
        <v>91</v>
      </c>
      <c r="AE384" s="235">
        <v>44</v>
      </c>
      <c r="AF384" s="235">
        <v>15</v>
      </c>
    </row>
    <row r="385" spans="1:32">
      <c r="A385" s="1" t="s">
        <v>113</v>
      </c>
      <c r="B385" s="276"/>
      <c r="C385" s="1" t="s">
        <v>312</v>
      </c>
      <c r="D385" s="1" t="s">
        <v>310</v>
      </c>
      <c r="E385" s="127">
        <v>2.5255957808355398</v>
      </c>
      <c r="F385" s="127">
        <v>2.71329960206298</v>
      </c>
      <c r="G385" s="127">
        <v>4.2</v>
      </c>
      <c r="H385" s="127">
        <v>4.0307101727447199</v>
      </c>
      <c r="I385" s="127">
        <v>1207.5</v>
      </c>
      <c r="J385" s="127">
        <v>714</v>
      </c>
      <c r="K385" s="127">
        <v>1209.5</v>
      </c>
      <c r="L385" s="127">
        <v>63.58</v>
      </c>
      <c r="M385" s="127">
        <v>63.88</v>
      </c>
      <c r="N385" s="127">
        <v>63.77</v>
      </c>
      <c r="O385" s="127">
        <v>63.36</v>
      </c>
      <c r="P385" s="127">
        <v>63.647500000000001</v>
      </c>
      <c r="Q385" s="79">
        <v>16.940000000000001</v>
      </c>
      <c r="R385" s="79">
        <v>1.7</v>
      </c>
      <c r="S385" s="127">
        <f t="shared" si="300"/>
        <v>2.4369323915237135</v>
      </c>
      <c r="T385" s="127">
        <f t="shared" si="301"/>
        <v>2.4298652875882949</v>
      </c>
      <c r="U385" s="79">
        <f t="shared" si="302"/>
        <v>3.7904123048374205</v>
      </c>
      <c r="V385" s="127">
        <f t="shared" si="303"/>
        <v>14.055769643556189</v>
      </c>
      <c r="W385" s="127">
        <f t="shared" si="304"/>
        <v>73.033050477067817</v>
      </c>
      <c r="X385"/>
      <c r="Y385"/>
      <c r="Z385" s="133"/>
      <c r="AA385"/>
      <c r="AB385"/>
      <c r="AC385" s="235">
        <v>161</v>
      </c>
      <c r="AD385" s="235">
        <v>91</v>
      </c>
      <c r="AE385" s="235">
        <v>44</v>
      </c>
      <c r="AF385" s="235">
        <v>15</v>
      </c>
    </row>
    <row r="386" spans="1:32">
      <c r="A386" s="1" t="s">
        <v>113</v>
      </c>
      <c r="B386" s="276"/>
      <c r="C386" s="1" t="s">
        <v>312</v>
      </c>
      <c r="D386" s="1" t="s">
        <v>311</v>
      </c>
      <c r="E386" s="127">
        <v>2.5255957808355398</v>
      </c>
      <c r="F386" s="127">
        <v>2.71329960206298</v>
      </c>
      <c r="G386" s="127">
        <v>4.2</v>
      </c>
      <c r="H386" s="127">
        <v>4.0307101727447199</v>
      </c>
      <c r="I386" s="127">
        <v>1212</v>
      </c>
      <c r="J386" s="127">
        <v>713.2</v>
      </c>
      <c r="K386" s="127">
        <v>1214.5999999999999</v>
      </c>
      <c r="L386" s="127">
        <v>64.98</v>
      </c>
      <c r="M386" s="127">
        <v>65.180000000000007</v>
      </c>
      <c r="N386" s="127">
        <v>65.459999999999994</v>
      </c>
      <c r="O386" s="127">
        <v>65.09</v>
      </c>
      <c r="P386" s="127">
        <v>65.177499999999995</v>
      </c>
      <c r="Q386" s="79">
        <v>16.13</v>
      </c>
      <c r="R386" s="79">
        <v>1.19</v>
      </c>
      <c r="S386" s="127">
        <f t="shared" si="300"/>
        <v>2.4172317510969292</v>
      </c>
      <c r="T386" s="127">
        <f t="shared" si="301"/>
        <v>2.4102217790187481</v>
      </c>
      <c r="U386" s="79">
        <f t="shared" si="302"/>
        <v>4.5681895215481605</v>
      </c>
      <c r="V386" s="127">
        <f t="shared" si="303"/>
        <v>14.75055969390732</v>
      </c>
      <c r="W386" s="127">
        <f t="shared" si="304"/>
        <v>69.030398735072822</v>
      </c>
      <c r="X386"/>
      <c r="Y386"/>
      <c r="Z386" s="133"/>
      <c r="AA386"/>
      <c r="AB386"/>
      <c r="AC386" s="235">
        <v>161</v>
      </c>
      <c r="AD386" s="235">
        <v>91</v>
      </c>
      <c r="AE386" s="235">
        <v>44</v>
      </c>
      <c r="AF386" s="235">
        <v>15</v>
      </c>
    </row>
    <row r="387" spans="1:32">
      <c r="A387" s="1" t="s">
        <v>113</v>
      </c>
      <c r="B387" s="280" t="s">
        <v>260</v>
      </c>
      <c r="C387" s="1" t="s">
        <v>313</v>
      </c>
      <c r="D387" s="1" t="s">
        <v>307</v>
      </c>
      <c r="E387" s="127">
        <v>2.5404372312478301</v>
      </c>
      <c r="F387" s="127">
        <v>2.7013989342397098</v>
      </c>
      <c r="G387" s="127">
        <v>4.2</v>
      </c>
      <c r="H387" s="127">
        <v>4.0307101727447199</v>
      </c>
      <c r="I387" s="138">
        <v>1207.5</v>
      </c>
      <c r="J387" s="138">
        <v>722.5</v>
      </c>
      <c r="K387" s="139">
        <v>1210.0999999999999</v>
      </c>
      <c r="L387" s="138">
        <v>62.71</v>
      </c>
      <c r="M387" s="127">
        <v>63.16</v>
      </c>
      <c r="N387" s="127">
        <v>63.07</v>
      </c>
      <c r="O387" s="127">
        <v>62.81</v>
      </c>
      <c r="P387" s="127">
        <v>62.9375</v>
      </c>
      <c r="Q387" s="79">
        <v>17.52</v>
      </c>
      <c r="R387" s="79">
        <v>1.66</v>
      </c>
      <c r="S387" s="127">
        <f t="shared" ref="S387:S433" si="343">I387/(K387-J387)</f>
        <v>2.476415094339623</v>
      </c>
      <c r="T387" s="127">
        <f t="shared" ref="T387:T433" si="344">0.9971*S387</f>
        <v>2.469233490566038</v>
      </c>
      <c r="U387" s="79">
        <f t="shared" ref="U387:U433" si="345">100*(1-T387/E387)</f>
        <v>2.8028144055666226</v>
      </c>
      <c r="V387" s="127">
        <f t="shared" ref="V387:V433" si="346">100-T387*(100-H387)/F387</f>
        <v>12.278567410484641</v>
      </c>
      <c r="W387" s="127">
        <f t="shared" ref="W387:W433" si="347">100*(V387-U387)/V387</f>
        <v>77.173115463182583</v>
      </c>
      <c r="X387" s="132">
        <f>AVERAGE(S387:S391)</f>
        <v>2.4664289699003961</v>
      </c>
      <c r="Y387" s="132">
        <f t="shared" ref="Y387" si="348">AVERAGE(T387:T391)</f>
        <v>2.4592763258876849</v>
      </c>
      <c r="Z387" s="133">
        <f t="shared" ref="Z387" si="349">AVERAGE(U387:U391)</f>
        <v>3.194761293916315</v>
      </c>
      <c r="AA387" s="132">
        <f t="shared" ref="AA387" si="350">AVERAGE(V387:V391)</f>
        <v>12.632303399183963</v>
      </c>
      <c r="AB387" s="132">
        <f t="shared" ref="AB387" si="351">AVERAGE(W387:W391)</f>
        <v>74.748541273869336</v>
      </c>
      <c r="AC387" s="235">
        <v>161</v>
      </c>
      <c r="AD387" s="235">
        <v>91</v>
      </c>
      <c r="AE387" s="235">
        <v>44</v>
      </c>
      <c r="AF387" s="235">
        <v>15</v>
      </c>
    </row>
    <row r="388" spans="1:32">
      <c r="A388" s="1" t="s">
        <v>113</v>
      </c>
      <c r="B388" s="276"/>
      <c r="C388" s="1" t="s">
        <v>313</v>
      </c>
      <c r="D388" s="1" t="s">
        <v>308</v>
      </c>
      <c r="E388" s="127">
        <v>2.5404372312478301</v>
      </c>
      <c r="F388" s="127">
        <v>2.7013989342397098</v>
      </c>
      <c r="G388" s="127">
        <v>4.2</v>
      </c>
      <c r="H388" s="127">
        <v>4.0307101727447199</v>
      </c>
      <c r="I388" s="127">
        <v>1201.4000000000001</v>
      </c>
      <c r="J388" s="127">
        <v>717.3</v>
      </c>
      <c r="K388" s="127">
        <v>1203.7</v>
      </c>
      <c r="L388" s="127">
        <v>63.61</v>
      </c>
      <c r="M388" s="127">
        <v>63.84</v>
      </c>
      <c r="N388" s="127">
        <v>63.71</v>
      </c>
      <c r="O388" s="127">
        <v>63.39</v>
      </c>
      <c r="P388" s="127">
        <v>63.637500000000003</v>
      </c>
      <c r="Q388" s="79">
        <v>16.899999999999999</v>
      </c>
      <c r="R388" s="79">
        <v>1.51</v>
      </c>
      <c r="S388" s="127">
        <f t="shared" si="343"/>
        <v>2.4699835526315788</v>
      </c>
      <c r="T388" s="127">
        <f t="shared" si="344"/>
        <v>2.4628206003289472</v>
      </c>
      <c r="U388" s="79">
        <f t="shared" si="345"/>
        <v>3.0552469458479226</v>
      </c>
      <c r="V388" s="127">
        <f t="shared" si="346"/>
        <v>12.506390304020712</v>
      </c>
      <c r="W388" s="127">
        <f t="shared" si="347"/>
        <v>75.570513380941875</v>
      </c>
      <c r="X388"/>
      <c r="Y388"/>
      <c r="Z388" s="133"/>
      <c r="AA388"/>
      <c r="AB388"/>
      <c r="AC388" s="235">
        <v>161</v>
      </c>
      <c r="AD388" s="235">
        <v>91</v>
      </c>
      <c r="AE388" s="235">
        <v>44</v>
      </c>
      <c r="AF388" s="235">
        <v>15</v>
      </c>
    </row>
    <row r="389" spans="1:32">
      <c r="A389" s="1" t="s">
        <v>113</v>
      </c>
      <c r="B389" s="276"/>
      <c r="C389" s="1" t="s">
        <v>313</v>
      </c>
      <c r="D389" s="1" t="s">
        <v>309</v>
      </c>
      <c r="E389" s="127">
        <v>2.5404372312478301</v>
      </c>
      <c r="F389" s="127">
        <v>2.7013989342397098</v>
      </c>
      <c r="G389" s="127">
        <v>4.2</v>
      </c>
      <c r="H389" s="127">
        <v>4.0307101727447199</v>
      </c>
      <c r="I389" s="127">
        <v>1210.5</v>
      </c>
      <c r="J389" s="127">
        <v>722.7</v>
      </c>
      <c r="K389" s="127">
        <v>1212.9000000000001</v>
      </c>
      <c r="L389" s="127">
        <v>63.02</v>
      </c>
      <c r="M389" s="127">
        <v>62.73</v>
      </c>
      <c r="N389" s="127">
        <v>62.72</v>
      </c>
      <c r="O389" s="127">
        <v>62.94</v>
      </c>
      <c r="P389" s="127">
        <v>62.852499999999999</v>
      </c>
      <c r="Q389" s="79">
        <v>16.66</v>
      </c>
      <c r="R389" s="79">
        <v>3.39</v>
      </c>
      <c r="S389" s="127">
        <f t="shared" si="343"/>
        <v>2.4694002447980412</v>
      </c>
      <c r="T389" s="127">
        <f t="shared" si="344"/>
        <v>2.4622389840881267</v>
      </c>
      <c r="U389" s="79">
        <f t="shared" si="345"/>
        <v>3.0781412820537701</v>
      </c>
      <c r="V389" s="127">
        <f t="shared" si="346"/>
        <v>12.527052671535586</v>
      </c>
      <c r="W389" s="127">
        <f t="shared" si="347"/>
        <v>75.428048697775239</v>
      </c>
      <c r="X389"/>
      <c r="Y389"/>
      <c r="Z389" s="133"/>
      <c r="AA389"/>
      <c r="AB389"/>
      <c r="AC389" s="235">
        <v>161</v>
      </c>
      <c r="AD389" s="235">
        <v>91</v>
      </c>
      <c r="AE389" s="235">
        <v>44</v>
      </c>
      <c r="AF389" s="235">
        <v>15</v>
      </c>
    </row>
    <row r="390" spans="1:32">
      <c r="A390" s="1" t="s">
        <v>113</v>
      </c>
      <c r="B390" s="276"/>
      <c r="C390" s="1" t="s">
        <v>313</v>
      </c>
      <c r="D390" s="1" t="s">
        <v>310</v>
      </c>
      <c r="E390" s="127">
        <v>2.5404372312478301</v>
      </c>
      <c r="F390" s="127">
        <v>2.7013989342397098</v>
      </c>
      <c r="G390" s="127">
        <v>4.2</v>
      </c>
      <c r="H390" s="127">
        <v>4.0307101727447199</v>
      </c>
      <c r="I390" s="127">
        <v>1209</v>
      </c>
      <c r="J390" s="127">
        <v>720.5</v>
      </c>
      <c r="K390" s="127">
        <v>1211.5</v>
      </c>
      <c r="L390" s="127">
        <v>63.01</v>
      </c>
      <c r="M390" s="127">
        <v>63.48</v>
      </c>
      <c r="N390" s="127">
        <v>63.41</v>
      </c>
      <c r="O390" s="127">
        <v>63.25</v>
      </c>
      <c r="P390" s="127">
        <v>63.287500000000001</v>
      </c>
      <c r="Q390" s="79">
        <v>16.940000000000001</v>
      </c>
      <c r="R390" s="79">
        <v>1.7</v>
      </c>
      <c r="S390" s="127">
        <f t="shared" si="343"/>
        <v>2.4623217922606924</v>
      </c>
      <c r="T390" s="127">
        <f t="shared" si="344"/>
        <v>2.4551810590631362</v>
      </c>
      <c r="U390" s="79">
        <f t="shared" si="345"/>
        <v>3.3559645220132883</v>
      </c>
      <c r="V390" s="127">
        <f t="shared" si="346"/>
        <v>12.777790925599859</v>
      </c>
      <c r="W390" s="127">
        <f t="shared" si="347"/>
        <v>73.735956852371643</v>
      </c>
      <c r="X390"/>
      <c r="Y390"/>
      <c r="Z390" s="133"/>
      <c r="AA390"/>
      <c r="AB390"/>
      <c r="AC390" s="235">
        <v>161</v>
      </c>
      <c r="AD390" s="235">
        <v>91</v>
      </c>
      <c r="AE390" s="235">
        <v>44</v>
      </c>
      <c r="AF390" s="235">
        <v>15</v>
      </c>
    </row>
    <row r="391" spans="1:32">
      <c r="A391" s="1" t="s">
        <v>113</v>
      </c>
      <c r="B391" s="276"/>
      <c r="C391" s="1" t="s">
        <v>313</v>
      </c>
      <c r="D391" s="1" t="s">
        <v>311</v>
      </c>
      <c r="E391" s="127">
        <v>2.5404372312478301</v>
      </c>
      <c r="F391" s="127">
        <v>2.7013989342397098</v>
      </c>
      <c r="G391" s="127">
        <v>4.2</v>
      </c>
      <c r="H391" s="127">
        <v>4.0307101727447199</v>
      </c>
      <c r="I391" s="127">
        <v>1198.3</v>
      </c>
      <c r="J391" s="127">
        <v>712.2</v>
      </c>
      <c r="K391" s="127">
        <v>1200.5</v>
      </c>
      <c r="L391" s="127">
        <v>62.28</v>
      </c>
      <c r="M391" s="127">
        <v>62.57</v>
      </c>
      <c r="N391" s="127">
        <v>62.61</v>
      </c>
      <c r="O391" s="127">
        <v>62.52</v>
      </c>
      <c r="P391" s="127">
        <v>62.494999999999997</v>
      </c>
      <c r="Q391" s="79">
        <v>16.13</v>
      </c>
      <c r="R391" s="79">
        <v>1.19</v>
      </c>
      <c r="S391" s="127">
        <f t="shared" si="343"/>
        <v>2.4540241654720458</v>
      </c>
      <c r="T391" s="127">
        <f t="shared" si="344"/>
        <v>2.446907495392177</v>
      </c>
      <c r="U391" s="79">
        <f t="shared" si="345"/>
        <v>3.6816393140999715</v>
      </c>
      <c r="V391" s="127">
        <f t="shared" si="346"/>
        <v>13.071715684279013</v>
      </c>
      <c r="W391" s="127">
        <f t="shared" si="347"/>
        <v>71.835071975075337</v>
      </c>
      <c r="X391"/>
      <c r="Y391"/>
      <c r="Z391" s="133"/>
      <c r="AA391"/>
      <c r="AB391"/>
      <c r="AC391" s="235">
        <v>161</v>
      </c>
      <c r="AD391" s="235">
        <v>91</v>
      </c>
      <c r="AE391" s="235">
        <v>44</v>
      </c>
      <c r="AF391" s="235">
        <v>15</v>
      </c>
    </row>
    <row r="392" spans="1:32">
      <c r="A392" s="1" t="s">
        <v>113</v>
      </c>
      <c r="B392" s="276"/>
      <c r="C392" s="1" t="s">
        <v>313</v>
      </c>
      <c r="D392" s="1" t="s">
        <v>307</v>
      </c>
      <c r="E392" s="127">
        <v>2.5435772345787</v>
      </c>
      <c r="F392" s="127">
        <v>2.7013989342397098</v>
      </c>
      <c r="G392" s="127">
        <v>4.2</v>
      </c>
      <c r="H392" s="127">
        <v>4.0307101727447199</v>
      </c>
      <c r="I392" s="127">
        <v>1208.4000000000001</v>
      </c>
      <c r="J392" s="127">
        <v>724.7</v>
      </c>
      <c r="K392" s="127">
        <v>1210</v>
      </c>
      <c r="L392" s="127">
        <v>61.95</v>
      </c>
      <c r="M392" s="127">
        <v>61.73</v>
      </c>
      <c r="N392" s="127">
        <v>61.75</v>
      </c>
      <c r="O392" s="127">
        <v>61.91</v>
      </c>
      <c r="P392" s="127">
        <v>61.835000000000001</v>
      </c>
      <c r="Q392" s="79">
        <v>17.52</v>
      </c>
      <c r="R392" s="79">
        <v>1.66</v>
      </c>
      <c r="S392" s="127">
        <f t="shared" si="343"/>
        <v>2.4900061817432522</v>
      </c>
      <c r="T392" s="127">
        <f t="shared" si="344"/>
        <v>2.4827851638161968</v>
      </c>
      <c r="U392" s="79">
        <f t="shared" si="345"/>
        <v>2.3900226002994684</v>
      </c>
      <c r="V392" s="127">
        <f t="shared" si="346"/>
        <v>11.797133720219733</v>
      </c>
      <c r="W392" s="127">
        <f t="shared" si="347"/>
        <v>79.740650085172106</v>
      </c>
      <c r="X392" s="132">
        <f>AVERAGE(S392:S396)</f>
        <v>2.4695257374298318</v>
      </c>
      <c r="Y392" s="132">
        <f t="shared" ref="Y392" si="352">AVERAGE(T392:T396)</f>
        <v>2.4623641127912852</v>
      </c>
      <c r="Z392" s="133">
        <f t="shared" ref="Z392" si="353">AVERAGE(U392:U396)</f>
        <v>3.1928702884804006</v>
      </c>
      <c r="AA392" s="132">
        <f t="shared" ref="AA392" si="354">AVERAGE(V392:V396)</f>
        <v>12.522607377422627</v>
      </c>
      <c r="AB392" s="132">
        <f t="shared" ref="AB392" si="355">AVERAGE(W392:W396)</f>
        <v>74.677208362227702</v>
      </c>
      <c r="AC392" s="235">
        <v>161</v>
      </c>
      <c r="AD392" s="235">
        <v>91</v>
      </c>
      <c r="AE392" s="235">
        <v>44</v>
      </c>
      <c r="AF392" s="235">
        <v>15</v>
      </c>
    </row>
    <row r="393" spans="1:32">
      <c r="A393" s="1" t="s">
        <v>113</v>
      </c>
      <c r="B393" s="276"/>
      <c r="C393" s="1" t="s">
        <v>313</v>
      </c>
      <c r="D393" s="1" t="s">
        <v>308</v>
      </c>
      <c r="E393" s="127">
        <v>2.5435772345787</v>
      </c>
      <c r="F393" s="127">
        <v>2.7013989342397098</v>
      </c>
      <c r="G393" s="127">
        <v>4.2</v>
      </c>
      <c r="H393" s="127">
        <v>4.0307101727447199</v>
      </c>
      <c r="I393" s="127">
        <v>1204.4000000000001</v>
      </c>
      <c r="J393" s="127">
        <v>714.6</v>
      </c>
      <c r="K393" s="127">
        <v>1207.5999999999999</v>
      </c>
      <c r="L393" s="127">
        <v>63.69</v>
      </c>
      <c r="M393" s="127">
        <v>63.78</v>
      </c>
      <c r="N393" s="127">
        <v>63.97</v>
      </c>
      <c r="O393" s="127">
        <v>63.78</v>
      </c>
      <c r="P393" s="127">
        <v>63.805</v>
      </c>
      <c r="Q393" s="79">
        <v>16.899999999999999</v>
      </c>
      <c r="R393" s="79">
        <v>1.51</v>
      </c>
      <c r="S393" s="127">
        <f t="shared" si="343"/>
        <v>2.4430020283975669</v>
      </c>
      <c r="T393" s="127">
        <f t="shared" si="344"/>
        <v>2.435917322515214</v>
      </c>
      <c r="U393" s="79">
        <f t="shared" si="345"/>
        <v>4.2326181646816785</v>
      </c>
      <c r="V393" s="127">
        <f t="shared" si="346"/>
        <v>13.462150089472757</v>
      </c>
      <c r="W393" s="127">
        <f t="shared" si="347"/>
        <v>68.559122156931409</v>
      </c>
      <c r="X393"/>
      <c r="Y393"/>
      <c r="Z393" s="133"/>
      <c r="AA393"/>
      <c r="AB393"/>
      <c r="AC393" s="235">
        <v>161</v>
      </c>
      <c r="AD393" s="235">
        <v>91</v>
      </c>
      <c r="AE393" s="235">
        <v>44</v>
      </c>
      <c r="AF393" s="235">
        <v>15</v>
      </c>
    </row>
    <row r="394" spans="1:32">
      <c r="A394" s="1" t="s">
        <v>113</v>
      </c>
      <c r="B394" s="276"/>
      <c r="C394" s="1" t="s">
        <v>313</v>
      </c>
      <c r="D394" s="1" t="s">
        <v>309</v>
      </c>
      <c r="E394" s="127">
        <v>2.5435772345787</v>
      </c>
      <c r="F394" s="127">
        <v>2.7013989342397098</v>
      </c>
      <c r="G394" s="127">
        <v>4.2</v>
      </c>
      <c r="H394" s="127">
        <v>4.0307101727447199</v>
      </c>
      <c r="I394" s="127">
        <v>1210.0999999999999</v>
      </c>
      <c r="J394" s="127">
        <v>724.6</v>
      </c>
      <c r="K394" s="127">
        <v>1212.5999999999999</v>
      </c>
      <c r="L394" s="127">
        <v>63.36</v>
      </c>
      <c r="M394" s="127">
        <v>63.33</v>
      </c>
      <c r="N394" s="127">
        <v>63.17</v>
      </c>
      <c r="O394" s="127">
        <v>63.17</v>
      </c>
      <c r="P394" s="127">
        <v>63.2575</v>
      </c>
      <c r="Q394" s="79">
        <v>16.66</v>
      </c>
      <c r="R394" s="79">
        <v>3.39</v>
      </c>
      <c r="S394" s="127">
        <f t="shared" si="343"/>
        <v>2.4797131147540989</v>
      </c>
      <c r="T394" s="127">
        <f t="shared" si="344"/>
        <v>2.472521946721312</v>
      </c>
      <c r="U394" s="79">
        <f t="shared" si="345"/>
        <v>2.7935179986448122</v>
      </c>
      <c r="V394" s="127">
        <f t="shared" si="346"/>
        <v>12.161742458105465</v>
      </c>
      <c r="W394" s="127">
        <f t="shared" si="347"/>
        <v>77.030281571346634</v>
      </c>
      <c r="X394"/>
      <c r="Y394"/>
      <c r="Z394" s="133"/>
      <c r="AA394"/>
      <c r="AB394"/>
      <c r="AC394" s="235">
        <v>161</v>
      </c>
      <c r="AD394" s="235">
        <v>91</v>
      </c>
      <c r="AE394" s="235">
        <v>44</v>
      </c>
      <c r="AF394" s="235">
        <v>15</v>
      </c>
    </row>
    <row r="395" spans="1:32">
      <c r="A395" s="1" t="s">
        <v>113</v>
      </c>
      <c r="B395" s="276"/>
      <c r="C395" s="1" t="s">
        <v>313</v>
      </c>
      <c r="D395" s="1" t="s">
        <v>310</v>
      </c>
      <c r="E395" s="127">
        <v>2.5435772345787</v>
      </c>
      <c r="F395" s="127">
        <v>2.7013989342397098</v>
      </c>
      <c r="G395" s="127">
        <v>4.2</v>
      </c>
      <c r="H395" s="127">
        <v>4.0307101727447199</v>
      </c>
      <c r="I395" s="127">
        <v>1207.5999999999999</v>
      </c>
      <c r="J395" s="127">
        <v>722</v>
      </c>
      <c r="K395" s="127">
        <v>1210.3</v>
      </c>
      <c r="L395" s="127">
        <v>63.03</v>
      </c>
      <c r="M395" s="127">
        <v>63.02</v>
      </c>
      <c r="N395" s="127">
        <v>63.15</v>
      </c>
      <c r="O395" s="127">
        <v>63.35</v>
      </c>
      <c r="P395" s="127">
        <v>63.137500000000003</v>
      </c>
      <c r="Q395" s="79">
        <v>16.940000000000001</v>
      </c>
      <c r="R395" s="79">
        <v>1.7</v>
      </c>
      <c r="S395" s="127">
        <f t="shared" si="343"/>
        <v>2.4730698341183701</v>
      </c>
      <c r="T395" s="127">
        <f t="shared" si="344"/>
        <v>2.4658979315994269</v>
      </c>
      <c r="U395" s="79">
        <f t="shared" si="345"/>
        <v>3.0539392287075251</v>
      </c>
      <c r="V395" s="127">
        <f t="shared" si="346"/>
        <v>12.397065726725629</v>
      </c>
      <c r="W395" s="127">
        <f t="shared" si="347"/>
        <v>75.365628479940739</v>
      </c>
      <c r="X395"/>
      <c r="Y395"/>
      <c r="Z395" s="133"/>
      <c r="AA395"/>
      <c r="AB395"/>
      <c r="AC395" s="235">
        <v>161</v>
      </c>
      <c r="AD395" s="235">
        <v>91</v>
      </c>
      <c r="AE395" s="235">
        <v>44</v>
      </c>
      <c r="AF395" s="235">
        <v>15</v>
      </c>
    </row>
    <row r="396" spans="1:32">
      <c r="A396" s="1" t="s">
        <v>113</v>
      </c>
      <c r="B396" s="276"/>
      <c r="C396" s="1" t="s">
        <v>313</v>
      </c>
      <c r="D396" s="1" t="s">
        <v>311</v>
      </c>
      <c r="E396" s="127">
        <v>2.5435772345787</v>
      </c>
      <c r="F396" s="127">
        <v>2.7013989342397098</v>
      </c>
      <c r="G396" s="127">
        <v>4.2</v>
      </c>
      <c r="H396" s="127">
        <v>4.0307101727447199</v>
      </c>
      <c r="I396" s="127">
        <v>1203.0999999999999</v>
      </c>
      <c r="J396" s="127">
        <v>717.8</v>
      </c>
      <c r="K396" s="127">
        <v>1206.5</v>
      </c>
      <c r="L396" s="127">
        <v>64.37</v>
      </c>
      <c r="M396" s="127">
        <v>64.260000000000005</v>
      </c>
      <c r="N396" s="127">
        <v>64.069999999999993</v>
      </c>
      <c r="O396" s="127">
        <v>63.93</v>
      </c>
      <c r="P396" s="127">
        <v>64.157499999999999</v>
      </c>
      <c r="Q396" s="79">
        <v>16.13</v>
      </c>
      <c r="R396" s="79">
        <v>1.19</v>
      </c>
      <c r="S396" s="127">
        <f t="shared" si="343"/>
        <v>2.4618375281358702</v>
      </c>
      <c r="T396" s="127">
        <f t="shared" si="344"/>
        <v>2.4546981993042762</v>
      </c>
      <c r="U396" s="79">
        <f t="shared" si="345"/>
        <v>3.4942534500685185</v>
      </c>
      <c r="V396" s="127">
        <f t="shared" si="346"/>
        <v>12.794944892589555</v>
      </c>
      <c r="W396" s="127">
        <f t="shared" si="347"/>
        <v>72.690359517747638</v>
      </c>
      <c r="X396"/>
      <c r="Y396"/>
      <c r="Z396" s="133"/>
      <c r="AA396"/>
      <c r="AB396"/>
      <c r="AC396" s="235">
        <v>161</v>
      </c>
      <c r="AD396" s="235">
        <v>91</v>
      </c>
      <c r="AE396" s="235">
        <v>44</v>
      </c>
      <c r="AF396" s="235">
        <v>15</v>
      </c>
    </row>
    <row r="397" spans="1:32">
      <c r="A397" s="1" t="s">
        <v>113</v>
      </c>
      <c r="B397" s="276"/>
      <c r="C397" s="1" t="s">
        <v>313</v>
      </c>
      <c r="D397" s="1" t="s">
        <v>307</v>
      </c>
      <c r="E397" s="127">
        <v>2.5430253398428899</v>
      </c>
      <c r="F397" s="127">
        <v>2.7013989342397098</v>
      </c>
      <c r="G397" s="127">
        <v>4.2</v>
      </c>
      <c r="H397" s="127">
        <v>4.0307101727447199</v>
      </c>
      <c r="I397" s="127">
        <v>1205.5999999999999</v>
      </c>
      <c r="J397" s="127">
        <v>712.3</v>
      </c>
      <c r="K397" s="127">
        <v>1208.0999999999999</v>
      </c>
      <c r="L397" s="127">
        <v>63.87</v>
      </c>
      <c r="M397" s="127">
        <v>64.209999999999994</v>
      </c>
      <c r="N397" s="127">
        <v>64.25</v>
      </c>
      <c r="O397" s="127">
        <v>63.89</v>
      </c>
      <c r="P397" s="127">
        <v>64.055000000000007</v>
      </c>
      <c r="Q397" s="79">
        <v>12</v>
      </c>
      <c r="R397" s="79">
        <v>1.76</v>
      </c>
      <c r="S397" s="127">
        <f t="shared" si="343"/>
        <v>2.4316256555062528</v>
      </c>
      <c r="T397" s="127">
        <f t="shared" si="344"/>
        <v>2.4245739411052845</v>
      </c>
      <c r="U397" s="79">
        <f t="shared" si="345"/>
        <v>4.6578929781691976</v>
      </c>
      <c r="V397" s="127">
        <f t="shared" si="346"/>
        <v>13.865132501419637</v>
      </c>
      <c r="W397" s="127">
        <f t="shared" si="347"/>
        <v>66.405708869408357</v>
      </c>
      <c r="X397" s="132">
        <f>AVERAGE(S397:S401)</f>
        <v>2.4434993801028244</v>
      </c>
      <c r="Y397" s="132">
        <f t="shared" ref="Y397" si="356">AVERAGE(T397:T401)</f>
        <v>2.4364132319005263</v>
      </c>
      <c r="Z397" s="133">
        <f t="shared" ref="Z397" si="357">AVERAGE(U397:U401)</f>
        <v>4.1923336850803903</v>
      </c>
      <c r="AA397" s="132">
        <f t="shared" ref="AA397" si="358">AVERAGE(V397:V401)</f>
        <v>13.444532524394209</v>
      </c>
      <c r="AB397" s="132">
        <f t="shared" ref="AB397" si="359">AVERAGE(W397:W401)</f>
        <v>68.859111254477995</v>
      </c>
      <c r="AC397" s="235">
        <v>161</v>
      </c>
      <c r="AD397" s="235">
        <v>91</v>
      </c>
      <c r="AE397" s="235">
        <v>44</v>
      </c>
      <c r="AF397" s="235">
        <v>15</v>
      </c>
    </row>
    <row r="398" spans="1:32">
      <c r="A398" s="1" t="s">
        <v>113</v>
      </c>
      <c r="B398" s="276"/>
      <c r="C398" s="1" t="s">
        <v>313</v>
      </c>
      <c r="D398" s="1" t="s">
        <v>308</v>
      </c>
      <c r="E398" s="127">
        <v>2.5430253398428899</v>
      </c>
      <c r="F398" s="127">
        <v>2.7013989342397098</v>
      </c>
      <c r="G398" s="127">
        <v>4.2</v>
      </c>
      <c r="H398" s="127">
        <v>4.0307101727447199</v>
      </c>
      <c r="I398" s="127">
        <v>1208.3</v>
      </c>
      <c r="J398" s="127">
        <v>717.7</v>
      </c>
      <c r="K398" s="127">
        <v>1211.7</v>
      </c>
      <c r="L398" s="127">
        <v>64.27</v>
      </c>
      <c r="M398" s="127">
        <v>64.61</v>
      </c>
      <c r="N398" s="127">
        <v>64.52</v>
      </c>
      <c r="O398" s="127">
        <v>64.27</v>
      </c>
      <c r="P398" s="127">
        <v>64.417500000000004</v>
      </c>
      <c r="Q398" s="79">
        <v>15.46</v>
      </c>
      <c r="R398" s="79">
        <v>3.7</v>
      </c>
      <c r="S398" s="127">
        <f t="shared" si="343"/>
        <v>2.4459514170040486</v>
      </c>
      <c r="T398" s="127">
        <f t="shared" si="344"/>
        <v>2.438858157894737</v>
      </c>
      <c r="U398" s="79">
        <f t="shared" si="345"/>
        <v>4.0961912693559093</v>
      </c>
      <c r="V398" s="127">
        <f t="shared" si="346"/>
        <v>13.357674634442958</v>
      </c>
      <c r="W398" s="127">
        <f t="shared" si="347"/>
        <v>69.334548254425812</v>
      </c>
      <c r="X398"/>
      <c r="Y398"/>
      <c r="Z398" s="133"/>
      <c r="AA398"/>
      <c r="AB398"/>
      <c r="AC398" s="235">
        <v>161</v>
      </c>
      <c r="AD398" s="235">
        <v>91</v>
      </c>
      <c r="AE398" s="235">
        <v>44</v>
      </c>
      <c r="AF398" s="235">
        <v>15</v>
      </c>
    </row>
    <row r="399" spans="1:32">
      <c r="A399" s="1" t="s">
        <v>113</v>
      </c>
      <c r="B399" s="276"/>
      <c r="C399" s="1" t="s">
        <v>313</v>
      </c>
      <c r="D399" s="1" t="s">
        <v>309</v>
      </c>
      <c r="E399" s="127">
        <v>2.5430253398428899</v>
      </c>
      <c r="F399" s="127">
        <v>2.7013989342397098</v>
      </c>
      <c r="G399" s="127">
        <v>4.2</v>
      </c>
      <c r="H399" s="127">
        <v>4.0307101727447199</v>
      </c>
      <c r="I399" s="127">
        <v>1205.5999999999999</v>
      </c>
      <c r="J399" s="127">
        <v>714.4</v>
      </c>
      <c r="K399" s="127">
        <v>1209.4000000000001</v>
      </c>
      <c r="L399" s="127">
        <v>64.790000000000006</v>
      </c>
      <c r="M399" s="127">
        <v>64.8</v>
      </c>
      <c r="N399" s="127">
        <v>64.63</v>
      </c>
      <c r="O399" s="127">
        <v>64.64</v>
      </c>
      <c r="P399" s="127">
        <v>64.715000000000003</v>
      </c>
      <c r="Q399" s="79">
        <v>12.98</v>
      </c>
      <c r="R399" s="79">
        <v>2.79</v>
      </c>
      <c r="S399" s="127">
        <f t="shared" si="343"/>
        <v>2.4355555555555548</v>
      </c>
      <c r="T399" s="127">
        <f t="shared" si="344"/>
        <v>2.4284924444444438</v>
      </c>
      <c r="U399" s="79">
        <f t="shared" si="345"/>
        <v>4.5038047243965762</v>
      </c>
      <c r="V399" s="127">
        <f t="shared" si="346"/>
        <v>13.725924634755287</v>
      </c>
      <c r="W399" s="127">
        <f t="shared" si="347"/>
        <v>67.187604156061482</v>
      </c>
      <c r="X399"/>
      <c r="Y399"/>
      <c r="Z399" s="133"/>
      <c r="AA399"/>
      <c r="AB399"/>
      <c r="AC399" s="235">
        <v>161</v>
      </c>
      <c r="AD399" s="235">
        <v>91</v>
      </c>
      <c r="AE399" s="235">
        <v>44</v>
      </c>
      <c r="AF399" s="235">
        <v>15</v>
      </c>
    </row>
    <row r="400" spans="1:32">
      <c r="A400" s="1" t="s">
        <v>113</v>
      </c>
      <c r="B400" s="276"/>
      <c r="C400" s="1" t="s">
        <v>313</v>
      </c>
      <c r="D400" s="1" t="s">
        <v>310</v>
      </c>
      <c r="E400" s="127">
        <v>2.5430253398428899</v>
      </c>
      <c r="F400" s="127">
        <v>2.7013989342397098</v>
      </c>
      <c r="G400" s="127">
        <v>4.2</v>
      </c>
      <c r="H400" s="127">
        <v>4.0307101727447199</v>
      </c>
      <c r="I400" s="127">
        <v>1206.9000000000001</v>
      </c>
      <c r="J400" s="127">
        <v>718</v>
      </c>
      <c r="K400" s="127">
        <v>1209.5999999999999</v>
      </c>
      <c r="L400" s="127">
        <v>64.27</v>
      </c>
      <c r="M400" s="127">
        <v>64.38</v>
      </c>
      <c r="N400" s="127">
        <v>64.709999999999994</v>
      </c>
      <c r="O400" s="127">
        <v>64.55</v>
      </c>
      <c r="P400" s="127">
        <v>64.477500000000006</v>
      </c>
      <c r="Q400" s="79">
        <v>14.54</v>
      </c>
      <c r="R400" s="79">
        <v>3.37</v>
      </c>
      <c r="S400" s="127">
        <f t="shared" si="343"/>
        <v>2.4550447518307572</v>
      </c>
      <c r="T400" s="127">
        <f t="shared" si="344"/>
        <v>2.4479251220504481</v>
      </c>
      <c r="U400" s="79">
        <f t="shared" si="345"/>
        <v>3.7396488466889255</v>
      </c>
      <c r="V400" s="127">
        <f t="shared" si="346"/>
        <v>13.035563708920719</v>
      </c>
      <c r="W400" s="127">
        <f t="shared" si="347"/>
        <v>71.311951441503481</v>
      </c>
      <c r="X400"/>
      <c r="Y400"/>
      <c r="Z400" s="133"/>
      <c r="AA400"/>
      <c r="AB400"/>
      <c r="AC400" s="235">
        <v>161</v>
      </c>
      <c r="AD400" s="235">
        <v>91</v>
      </c>
      <c r="AE400" s="235">
        <v>44</v>
      </c>
      <c r="AF400" s="235">
        <v>15</v>
      </c>
    </row>
    <row r="401" spans="1:32">
      <c r="A401" s="1" t="s">
        <v>113</v>
      </c>
      <c r="B401" s="276"/>
      <c r="C401" s="1" t="s">
        <v>313</v>
      </c>
      <c r="D401" s="1" t="s">
        <v>311</v>
      </c>
      <c r="E401" s="127">
        <v>2.5430253398428899</v>
      </c>
      <c r="F401" s="127">
        <v>2.7013989342397098</v>
      </c>
      <c r="G401" s="127">
        <v>4.2</v>
      </c>
      <c r="H401" s="127">
        <v>4.0307101727447199</v>
      </c>
      <c r="I401" s="127">
        <v>1205.8</v>
      </c>
      <c r="J401" s="127">
        <v>716.6</v>
      </c>
      <c r="K401" s="127">
        <v>1208.9000000000001</v>
      </c>
      <c r="L401" s="127">
        <v>64.66</v>
      </c>
      <c r="M401" s="127">
        <v>64.22</v>
      </c>
      <c r="N401" s="127">
        <v>64.11</v>
      </c>
      <c r="O401" s="127">
        <v>64.36</v>
      </c>
      <c r="P401" s="127">
        <v>64.337500000000006</v>
      </c>
      <c r="Q401" s="79">
        <v>13.01</v>
      </c>
      <c r="R401" s="79">
        <v>3.36</v>
      </c>
      <c r="S401" s="127">
        <f t="shared" si="343"/>
        <v>2.4493195206175091</v>
      </c>
      <c r="T401" s="127">
        <f t="shared" si="344"/>
        <v>2.4422164940077185</v>
      </c>
      <c r="U401" s="79">
        <f t="shared" si="345"/>
        <v>3.9641306067913384</v>
      </c>
      <c r="V401" s="127">
        <f t="shared" si="346"/>
        <v>13.238367142432438</v>
      </c>
      <c r="W401" s="127">
        <f t="shared" si="347"/>
        <v>70.055743550990812</v>
      </c>
      <c r="X401"/>
      <c r="Y401"/>
      <c r="Z401" s="133"/>
      <c r="AA401"/>
      <c r="AB401"/>
      <c r="AC401" s="235">
        <v>161</v>
      </c>
      <c r="AD401" s="235">
        <v>91</v>
      </c>
      <c r="AE401" s="235">
        <v>44</v>
      </c>
      <c r="AF401" s="235">
        <v>15</v>
      </c>
    </row>
    <row r="402" spans="1:32">
      <c r="A402" s="1" t="s">
        <v>113</v>
      </c>
      <c r="B402" s="280" t="s">
        <v>261</v>
      </c>
      <c r="C402" s="1" t="s">
        <v>325</v>
      </c>
      <c r="D402" s="1" t="s">
        <v>307</v>
      </c>
      <c r="E402" s="127">
        <v>2.5478749702353798</v>
      </c>
      <c r="F402" s="127">
        <v>2.70169289946395</v>
      </c>
      <c r="G402" s="127">
        <v>4.2</v>
      </c>
      <c r="H402" s="127">
        <v>4.0307101727447199</v>
      </c>
      <c r="I402" s="127">
        <v>1203.0999999999999</v>
      </c>
      <c r="J402" s="127">
        <v>712.1</v>
      </c>
      <c r="K402" s="127">
        <v>1205.4000000000001</v>
      </c>
      <c r="L402" s="127">
        <v>64.16</v>
      </c>
      <c r="M402" s="127">
        <v>63.88</v>
      </c>
      <c r="N402" s="127">
        <v>63.68</v>
      </c>
      <c r="O402" s="127">
        <v>63.77</v>
      </c>
      <c r="P402" s="127">
        <v>63.872500000000002</v>
      </c>
      <c r="Q402" s="79">
        <v>15.14</v>
      </c>
      <c r="R402" s="79">
        <v>2.3199999999999998</v>
      </c>
      <c r="S402" s="127">
        <f t="shared" si="343"/>
        <v>2.4388810054733421</v>
      </c>
      <c r="T402" s="127">
        <f t="shared" si="344"/>
        <v>2.4318082505574692</v>
      </c>
      <c r="U402" s="79">
        <f t="shared" si="345"/>
        <v>4.5554323125670537</v>
      </c>
      <c r="V402" s="127">
        <f t="shared" si="346"/>
        <v>13.617528162299379</v>
      </c>
      <c r="W402" s="127">
        <f t="shared" si="347"/>
        <v>66.547289212304094</v>
      </c>
      <c r="X402" s="132">
        <f>AVERAGE(S402:S406)</f>
        <v>2.4486786049901612</v>
      </c>
      <c r="Y402" s="132">
        <f t="shared" ref="Y402" si="360">AVERAGE(T402:T406)</f>
        <v>2.4415774370356895</v>
      </c>
      <c r="Z402" s="133">
        <f t="shared" ref="Z402" si="361">AVERAGE(U402:U406)</f>
        <v>4.1720074352734189</v>
      </c>
      <c r="AA402" s="132">
        <f t="shared" ref="AA402" si="362">AVERAGE(V402:V406)</f>
        <v>13.270508007384354</v>
      </c>
      <c r="AB402" s="132">
        <f t="shared" ref="AB402" si="363">AVERAGE(W402:W406)</f>
        <v>68.580057207428126</v>
      </c>
      <c r="AC402" s="235">
        <v>161</v>
      </c>
      <c r="AD402" s="235">
        <v>91</v>
      </c>
      <c r="AE402" s="235">
        <v>44</v>
      </c>
      <c r="AF402" s="235">
        <v>15</v>
      </c>
    </row>
    <row r="403" spans="1:32">
      <c r="A403" s="1" t="s">
        <v>113</v>
      </c>
      <c r="B403" s="276"/>
      <c r="C403" s="1" t="s">
        <v>325</v>
      </c>
      <c r="D403" s="1" t="s">
        <v>308</v>
      </c>
      <c r="E403" s="127">
        <v>2.5478749702353798</v>
      </c>
      <c r="F403" s="127">
        <v>2.70169289946395</v>
      </c>
      <c r="G403" s="127">
        <v>4.2</v>
      </c>
      <c r="H403" s="127">
        <v>4.0307101727447199</v>
      </c>
      <c r="I403" s="127">
        <v>1204.3</v>
      </c>
      <c r="J403" s="127">
        <v>715.2</v>
      </c>
      <c r="K403" s="127">
        <v>1207.3</v>
      </c>
      <c r="L403" s="127">
        <v>63.14</v>
      </c>
      <c r="M403" s="127">
        <v>62.73</v>
      </c>
      <c r="N403" s="127">
        <v>62.55</v>
      </c>
      <c r="O403" s="127">
        <v>62.7</v>
      </c>
      <c r="P403" s="127">
        <v>62.78</v>
      </c>
      <c r="Q403" s="79">
        <v>13.91</v>
      </c>
      <c r="R403" s="79">
        <v>1.63</v>
      </c>
      <c r="S403" s="127">
        <f t="shared" si="343"/>
        <v>2.4472668156878687</v>
      </c>
      <c r="T403" s="127">
        <f t="shared" si="344"/>
        <v>2.4401697419223738</v>
      </c>
      <c r="U403" s="79">
        <f t="shared" si="345"/>
        <v>4.2272572073289716</v>
      </c>
      <c r="V403" s="127">
        <f t="shared" si="346"/>
        <v>13.320512025363229</v>
      </c>
      <c r="W403" s="127">
        <f t="shared" si="347"/>
        <v>68.265054681982463</v>
      </c>
      <c r="X403"/>
      <c r="Y403"/>
      <c r="Z403" s="133"/>
      <c r="AA403"/>
      <c r="AB403"/>
      <c r="AC403" s="235">
        <v>161</v>
      </c>
      <c r="AD403" s="235">
        <v>91</v>
      </c>
      <c r="AE403" s="235">
        <v>44</v>
      </c>
      <c r="AF403" s="235">
        <v>15</v>
      </c>
    </row>
    <row r="404" spans="1:32">
      <c r="A404" s="1" t="s">
        <v>113</v>
      </c>
      <c r="B404" s="276"/>
      <c r="C404" s="1" t="s">
        <v>325</v>
      </c>
      <c r="D404" s="1" t="s">
        <v>309</v>
      </c>
      <c r="E404" s="127">
        <v>2.5478749702353798</v>
      </c>
      <c r="F404" s="127">
        <v>2.70169289946395</v>
      </c>
      <c r="G404" s="127">
        <v>4.2</v>
      </c>
      <c r="H404" s="127">
        <v>4.0307101727447199</v>
      </c>
      <c r="I404" s="127">
        <v>1206.5999999999999</v>
      </c>
      <c r="J404" s="127">
        <v>718.2</v>
      </c>
      <c r="K404" s="127">
        <v>1209.8</v>
      </c>
      <c r="L404" s="127">
        <v>62.88</v>
      </c>
      <c r="M404" s="127">
        <v>62.62</v>
      </c>
      <c r="N404" s="127">
        <v>62.87</v>
      </c>
      <c r="O404" s="127">
        <v>63.13</v>
      </c>
      <c r="P404" s="127">
        <v>62.875</v>
      </c>
      <c r="Q404" s="79">
        <v>15.88</v>
      </c>
      <c r="R404" s="79">
        <v>2.2400000000000002</v>
      </c>
      <c r="S404" s="127">
        <f t="shared" si="343"/>
        <v>2.4544344995931655</v>
      </c>
      <c r="T404" s="127">
        <f t="shared" si="344"/>
        <v>2.4473166395443453</v>
      </c>
      <c r="U404" s="79">
        <f t="shared" si="345"/>
        <v>3.9467529555323733</v>
      </c>
      <c r="V404" s="127">
        <f t="shared" si="346"/>
        <v>13.066640577063239</v>
      </c>
      <c r="W404" s="127">
        <f t="shared" si="347"/>
        <v>69.795197684855765</v>
      </c>
      <c r="X404"/>
      <c r="Y404"/>
      <c r="Z404" s="133"/>
      <c r="AA404"/>
      <c r="AB404"/>
      <c r="AC404" s="235">
        <v>161</v>
      </c>
      <c r="AD404" s="235">
        <v>91</v>
      </c>
      <c r="AE404" s="235">
        <v>44</v>
      </c>
      <c r="AF404" s="235">
        <v>15</v>
      </c>
    </row>
    <row r="405" spans="1:32">
      <c r="A405" s="1" t="s">
        <v>113</v>
      </c>
      <c r="B405" s="276"/>
      <c r="C405" s="1" t="s">
        <v>325</v>
      </c>
      <c r="D405" s="1" t="s">
        <v>310</v>
      </c>
      <c r="E405" s="127">
        <v>2.5478749702353798</v>
      </c>
      <c r="F405" s="127">
        <v>2.70169289946395</v>
      </c>
      <c r="G405" s="127">
        <v>4.2</v>
      </c>
      <c r="H405" s="127">
        <v>4.0307101727447199</v>
      </c>
      <c r="I405" s="127">
        <v>1204.5999999999999</v>
      </c>
      <c r="J405" s="127">
        <v>717</v>
      </c>
      <c r="K405" s="127">
        <v>1207.8</v>
      </c>
      <c r="L405" s="127">
        <v>63.15</v>
      </c>
      <c r="M405" s="127">
        <v>63</v>
      </c>
      <c r="N405" s="127">
        <v>62.91</v>
      </c>
      <c r="O405" s="127">
        <v>63.05</v>
      </c>
      <c r="P405" s="127">
        <v>63.027500000000003</v>
      </c>
      <c r="Q405" s="79">
        <v>14.96</v>
      </c>
      <c r="R405" s="79">
        <v>2.38</v>
      </c>
      <c r="S405" s="127">
        <f t="shared" si="343"/>
        <v>2.4543602281988592</v>
      </c>
      <c r="T405" s="127">
        <f t="shared" si="344"/>
        <v>2.4472425835370823</v>
      </c>
      <c r="U405" s="79">
        <f t="shared" si="345"/>
        <v>3.9496595348633146</v>
      </c>
      <c r="V405" s="127">
        <f t="shared" si="346"/>
        <v>13.069271187828022</v>
      </c>
      <c r="W405" s="127">
        <f t="shared" si="347"/>
        <v>69.779037575241347</v>
      </c>
      <c r="X405"/>
      <c r="Y405"/>
      <c r="Z405" s="133"/>
      <c r="AA405"/>
      <c r="AB405"/>
      <c r="AC405" s="235">
        <v>161</v>
      </c>
      <c r="AD405" s="235">
        <v>91</v>
      </c>
      <c r="AE405" s="235">
        <v>44</v>
      </c>
      <c r="AF405" s="235">
        <v>15</v>
      </c>
    </row>
    <row r="406" spans="1:32">
      <c r="A406" s="1" t="s">
        <v>113</v>
      </c>
      <c r="B406" s="276"/>
      <c r="C406" s="1" t="s">
        <v>325</v>
      </c>
      <c r="D406" s="1" t="s">
        <v>311</v>
      </c>
      <c r="E406" s="127">
        <v>2.5478749702353798</v>
      </c>
      <c r="F406" s="127">
        <v>2.70169289946395</v>
      </c>
      <c r="G406" s="127">
        <v>4.2</v>
      </c>
      <c r="H406" s="127">
        <v>4.0307101727447199</v>
      </c>
      <c r="I406" s="127">
        <v>1208.8</v>
      </c>
      <c r="J406" s="127">
        <v>718.5</v>
      </c>
      <c r="K406" s="127">
        <v>1212.2</v>
      </c>
      <c r="L406" s="127">
        <v>64.55</v>
      </c>
      <c r="M406" s="127">
        <v>64.52</v>
      </c>
      <c r="N406" s="127">
        <v>64.41</v>
      </c>
      <c r="O406" s="127">
        <v>64.45</v>
      </c>
      <c r="P406" s="127">
        <v>64.482500000000002</v>
      </c>
      <c r="Q406" s="79">
        <v>15.84</v>
      </c>
      <c r="R406" s="79">
        <v>3.05</v>
      </c>
      <c r="S406" s="127">
        <f t="shared" si="343"/>
        <v>2.4484504759975692</v>
      </c>
      <c r="T406" s="127">
        <f t="shared" si="344"/>
        <v>2.4413499696171761</v>
      </c>
      <c r="U406" s="79">
        <f t="shared" si="345"/>
        <v>4.1809351660753835</v>
      </c>
      <c r="V406" s="127">
        <f t="shared" si="346"/>
        <v>13.278588084367897</v>
      </c>
      <c r="W406" s="127">
        <f t="shared" si="347"/>
        <v>68.513706882756964</v>
      </c>
      <c r="X406"/>
      <c r="Y406"/>
      <c r="Z406" s="133"/>
      <c r="AA406"/>
      <c r="AB406"/>
      <c r="AC406" s="235">
        <v>161</v>
      </c>
      <c r="AD406" s="235">
        <v>91</v>
      </c>
      <c r="AE406" s="235">
        <v>44</v>
      </c>
      <c r="AF406" s="235">
        <v>15</v>
      </c>
    </row>
    <row r="407" spans="1:32">
      <c r="A407" s="1" t="s">
        <v>114</v>
      </c>
      <c r="B407" s="280" t="s">
        <v>218</v>
      </c>
      <c r="C407" s="1" t="s">
        <v>324</v>
      </c>
      <c r="D407" s="1" t="s">
        <v>307</v>
      </c>
      <c r="E407" s="127">
        <v>2.4901062980356801</v>
      </c>
      <c r="F407" s="127">
        <v>2.6922828766859501</v>
      </c>
      <c r="G407" s="127">
        <v>5.2</v>
      </c>
      <c r="H407" s="127">
        <v>4.9429657794676798</v>
      </c>
      <c r="I407" s="140">
        <v>1217.3</v>
      </c>
      <c r="J407" s="140">
        <v>710.7</v>
      </c>
      <c r="K407" s="140">
        <v>1219.0999999999999</v>
      </c>
      <c r="L407" s="141">
        <v>63.75</v>
      </c>
      <c r="M407" s="141">
        <v>63.56</v>
      </c>
      <c r="N407" s="141">
        <v>63.52</v>
      </c>
      <c r="O407" s="141">
        <v>63.71</v>
      </c>
      <c r="P407" s="141">
        <f>AVERAGE(L407:O407)</f>
        <v>63.635000000000005</v>
      </c>
      <c r="Q407" s="79">
        <v>19.3</v>
      </c>
      <c r="R407" s="79">
        <v>1.88</v>
      </c>
      <c r="S407" s="127">
        <f t="shared" si="343"/>
        <v>2.3943745082612122</v>
      </c>
      <c r="T407" s="127">
        <f t="shared" si="344"/>
        <v>2.3874308221872549</v>
      </c>
      <c r="U407" s="79">
        <f t="shared" si="345"/>
        <v>4.1233370611295062</v>
      </c>
      <c r="V407" s="127">
        <f t="shared" si="346"/>
        <v>15.706445511713639</v>
      </c>
      <c r="W407" s="127">
        <f t="shared" si="347"/>
        <v>73.747484381145426</v>
      </c>
      <c r="X407" s="132">
        <f>AVERAGE(S407:S411)</f>
        <v>2.395070104715542</v>
      </c>
      <c r="Y407" s="132">
        <f t="shared" ref="Y407" si="364">AVERAGE(T407:T411)</f>
        <v>2.3881244014118672</v>
      </c>
      <c r="Z407" s="133">
        <f t="shared" ref="Z407" si="365">AVERAGE(U407:U411)</f>
        <v>4.0954836628565463</v>
      </c>
      <c r="AA407" s="132">
        <f t="shared" ref="AA407" si="366">AVERAGE(V407:V411)</f>
        <v>15.681957154765888</v>
      </c>
      <c r="AB407" s="132">
        <f t="shared" ref="AB407" si="367">AVERAGE(W407:W411)</f>
        <v>73.895127550208073</v>
      </c>
      <c r="AC407" s="235">
        <v>161</v>
      </c>
      <c r="AD407" s="235">
        <v>91</v>
      </c>
      <c r="AE407" s="235">
        <v>44</v>
      </c>
      <c r="AF407" s="235">
        <v>15</v>
      </c>
    </row>
    <row r="408" spans="1:32">
      <c r="A408" s="1" t="s">
        <v>114</v>
      </c>
      <c r="B408" s="276"/>
      <c r="C408" s="1" t="s">
        <v>324</v>
      </c>
      <c r="D408" s="1" t="s">
        <v>308</v>
      </c>
      <c r="E408" s="127">
        <v>2.4901062980356801</v>
      </c>
      <c r="F408" s="127">
        <v>2.6922828766859501</v>
      </c>
      <c r="G408" s="127">
        <v>5.2</v>
      </c>
      <c r="H408" s="127">
        <v>4.9429657794676798</v>
      </c>
      <c r="I408" s="140">
        <v>1211.2</v>
      </c>
      <c r="J408" s="140">
        <v>709</v>
      </c>
      <c r="K408" s="140">
        <v>1213.0999999999999</v>
      </c>
      <c r="L408" s="141">
        <v>63.04</v>
      </c>
      <c r="M408" s="141">
        <v>63.17</v>
      </c>
      <c r="N408" s="141">
        <v>63.39</v>
      </c>
      <c r="O408" s="141">
        <v>63.19</v>
      </c>
      <c r="P408" s="141">
        <f>AVERAGE(L408:O408)</f>
        <v>63.197500000000005</v>
      </c>
      <c r="Q408" s="79">
        <v>18.649999999999999</v>
      </c>
      <c r="R408" s="79">
        <v>2.37</v>
      </c>
      <c r="S408" s="127">
        <f t="shared" si="343"/>
        <v>2.4026978774052772</v>
      </c>
      <c r="T408" s="127">
        <f t="shared" si="344"/>
        <v>2.3957300535608019</v>
      </c>
      <c r="U408" s="79">
        <f t="shared" si="345"/>
        <v>3.7900488243946429</v>
      </c>
      <c r="V408" s="127">
        <f t="shared" si="346"/>
        <v>15.413422691745154</v>
      </c>
      <c r="W408" s="127">
        <f t="shared" si="347"/>
        <v>75.410725442412939</v>
      </c>
      <c r="X408"/>
      <c r="Y408"/>
      <c r="Z408" s="133"/>
      <c r="AA408"/>
      <c r="AB408"/>
      <c r="AC408" s="235">
        <v>161</v>
      </c>
      <c r="AD408" s="235">
        <v>91</v>
      </c>
      <c r="AE408" s="235">
        <v>44</v>
      </c>
      <c r="AF408" s="235">
        <v>15</v>
      </c>
    </row>
    <row r="409" spans="1:32">
      <c r="A409" s="1" t="s">
        <v>114</v>
      </c>
      <c r="B409" s="276"/>
      <c r="C409" s="1" t="s">
        <v>324</v>
      </c>
      <c r="D409" s="1" t="s">
        <v>309</v>
      </c>
      <c r="E409" s="127">
        <v>2.4901062980356801</v>
      </c>
      <c r="F409" s="127">
        <v>2.6922828766859501</v>
      </c>
      <c r="G409" s="127">
        <v>5.2</v>
      </c>
      <c r="H409" s="127">
        <v>4.9429657794676798</v>
      </c>
      <c r="I409" s="140">
        <v>1213.0999999999999</v>
      </c>
      <c r="J409" s="140">
        <v>707.5</v>
      </c>
      <c r="K409" s="140">
        <v>1215.7</v>
      </c>
      <c r="L409" s="141">
        <v>63.29</v>
      </c>
      <c r="M409" s="141">
        <v>63.21</v>
      </c>
      <c r="N409" s="141">
        <v>63.39</v>
      </c>
      <c r="O409" s="141">
        <v>63.88</v>
      </c>
      <c r="P409" s="141">
        <f>AVERAGE(L409:O409)</f>
        <v>63.442499999999995</v>
      </c>
      <c r="Q409" s="79">
        <v>17.739999999999998</v>
      </c>
      <c r="R409" s="79">
        <v>1.78</v>
      </c>
      <c r="S409" s="127">
        <f t="shared" si="343"/>
        <v>2.3870523415977956</v>
      </c>
      <c r="T409" s="127">
        <f t="shared" si="344"/>
        <v>2.3801298898071619</v>
      </c>
      <c r="U409" s="79">
        <f t="shared" si="345"/>
        <v>4.4165346802774286</v>
      </c>
      <c r="V409" s="127">
        <f t="shared" si="346"/>
        <v>15.964221165641419</v>
      </c>
      <c r="W409" s="127">
        <f t="shared" si="347"/>
        <v>72.334793946711287</v>
      </c>
      <c r="X409"/>
      <c r="Y409"/>
      <c r="Z409" s="133"/>
      <c r="AA409"/>
      <c r="AB409"/>
      <c r="AC409" s="235">
        <v>161</v>
      </c>
      <c r="AD409" s="235">
        <v>91</v>
      </c>
      <c r="AE409" s="235">
        <v>44</v>
      </c>
      <c r="AF409" s="235">
        <v>15</v>
      </c>
    </row>
    <row r="410" spans="1:32">
      <c r="A410" s="1" t="s">
        <v>114</v>
      </c>
      <c r="B410" s="276"/>
      <c r="C410" s="1" t="s">
        <v>324</v>
      </c>
      <c r="D410" s="1" t="s">
        <v>310</v>
      </c>
      <c r="E410" s="127">
        <v>2.4901062980356801</v>
      </c>
      <c r="F410" s="127">
        <v>2.6922828766859501</v>
      </c>
      <c r="G410" s="127">
        <v>5.2</v>
      </c>
      <c r="H410" s="127">
        <v>4.9429657794676798</v>
      </c>
      <c r="I410" s="140">
        <v>1210.8</v>
      </c>
      <c r="J410" s="140">
        <v>707.8</v>
      </c>
      <c r="K410" s="140">
        <v>1213.4000000000001</v>
      </c>
      <c r="L410" s="141">
        <v>63.2</v>
      </c>
      <c r="M410" s="141">
        <v>63.37</v>
      </c>
      <c r="N410" s="141">
        <v>63.26</v>
      </c>
      <c r="O410" s="141">
        <v>63.09</v>
      </c>
      <c r="P410" s="141">
        <f>AVERAGE(L410:O410)</f>
        <v>63.23</v>
      </c>
      <c r="Q410" s="79">
        <v>20.36</v>
      </c>
      <c r="R410" s="79">
        <v>1.62</v>
      </c>
      <c r="S410" s="127">
        <f t="shared" si="343"/>
        <v>2.3947784810126573</v>
      </c>
      <c r="T410" s="127">
        <f t="shared" si="344"/>
        <v>2.3878336234177207</v>
      </c>
      <c r="U410" s="79">
        <f t="shared" si="345"/>
        <v>4.1071609954417276</v>
      </c>
      <c r="V410" s="127">
        <f t="shared" si="346"/>
        <v>15.692223718498653</v>
      </c>
      <c r="W410" s="127">
        <f t="shared" si="347"/>
        <v>73.826775165077251</v>
      </c>
      <c r="X410"/>
      <c r="Y410"/>
      <c r="Z410" s="133"/>
      <c r="AA410"/>
      <c r="AB410"/>
      <c r="AC410" s="235">
        <v>161</v>
      </c>
      <c r="AD410" s="235">
        <v>91</v>
      </c>
      <c r="AE410" s="235">
        <v>44</v>
      </c>
      <c r="AF410" s="235">
        <v>15</v>
      </c>
    </row>
    <row r="411" spans="1:32">
      <c r="A411" s="1" t="s">
        <v>114</v>
      </c>
      <c r="B411" s="276"/>
      <c r="C411" s="1" t="s">
        <v>324</v>
      </c>
      <c r="D411" s="1" t="s">
        <v>311</v>
      </c>
      <c r="E411" s="127">
        <v>2.4901062980356801</v>
      </c>
      <c r="F411" s="127">
        <v>2.6922828766859501</v>
      </c>
      <c r="G411" s="127">
        <v>5.2</v>
      </c>
      <c r="H411" s="127">
        <v>4.9429657794676798</v>
      </c>
      <c r="I411" s="140">
        <v>1187.2</v>
      </c>
      <c r="J411" s="140">
        <v>694.4</v>
      </c>
      <c r="K411" s="140">
        <v>1189.8</v>
      </c>
      <c r="L411" s="141">
        <v>62.56</v>
      </c>
      <c r="M411" s="141">
        <v>62.45</v>
      </c>
      <c r="N411" s="141">
        <v>62.45</v>
      </c>
      <c r="O411" s="141">
        <v>62.76</v>
      </c>
      <c r="P411" s="141">
        <f>AVERAGE(L411:O411)</f>
        <v>62.555</v>
      </c>
      <c r="Q411" s="79">
        <v>17.559999999999999</v>
      </c>
      <c r="R411" s="79">
        <v>2.62</v>
      </c>
      <c r="S411" s="127">
        <f t="shared" si="343"/>
        <v>2.396447315300767</v>
      </c>
      <c r="T411" s="127">
        <f t="shared" si="344"/>
        <v>2.3894976180863949</v>
      </c>
      <c r="U411" s="79">
        <f t="shared" si="345"/>
        <v>4.0403367530394307</v>
      </c>
      <c r="V411" s="127">
        <f t="shared" si="346"/>
        <v>15.633472686230576</v>
      </c>
      <c r="W411" s="127">
        <f t="shared" si="347"/>
        <v>74.155858815693449</v>
      </c>
      <c r="X411"/>
      <c r="Y411"/>
      <c r="Z411" s="133"/>
      <c r="AA411"/>
      <c r="AB411"/>
      <c r="AC411" s="235">
        <v>161</v>
      </c>
      <c r="AD411" s="235">
        <v>91</v>
      </c>
      <c r="AE411" s="235">
        <v>44</v>
      </c>
      <c r="AF411" s="235">
        <v>15</v>
      </c>
    </row>
    <row r="412" spans="1:32">
      <c r="A412" s="1" t="s">
        <v>114</v>
      </c>
      <c r="B412" s="276"/>
      <c r="C412" s="1" t="s">
        <v>314</v>
      </c>
      <c r="D412" s="1" t="s">
        <v>307</v>
      </c>
      <c r="E412" s="127">
        <v>2.4928947725855699</v>
      </c>
      <c r="F412" s="127">
        <v>2.6922828766859501</v>
      </c>
      <c r="G412" s="127">
        <v>5.2</v>
      </c>
      <c r="H412" s="127">
        <v>4.9429657794676798</v>
      </c>
      <c r="I412" s="127">
        <v>1213.8</v>
      </c>
      <c r="J412" s="127">
        <v>712.9</v>
      </c>
      <c r="K412" s="127">
        <v>1216.0999999999999</v>
      </c>
      <c r="L412" s="127">
        <v>63.6</v>
      </c>
      <c r="M412" s="127">
        <v>63.33</v>
      </c>
      <c r="N412" s="127">
        <v>63.58</v>
      </c>
      <c r="O412" s="127">
        <v>63.67</v>
      </c>
      <c r="P412" s="127">
        <v>63.545000000000002</v>
      </c>
      <c r="Q412" s="79">
        <v>18.010000000000002</v>
      </c>
      <c r="R412" s="79">
        <v>1.86</v>
      </c>
      <c r="S412" s="127">
        <f t="shared" si="343"/>
        <v>2.4121621621621623</v>
      </c>
      <c r="T412" s="127">
        <f t="shared" si="344"/>
        <v>2.4051668918918918</v>
      </c>
      <c r="U412" s="79">
        <f t="shared" si="345"/>
        <v>3.519116878033679</v>
      </c>
      <c r="V412" s="127">
        <f t="shared" si="346"/>
        <v>15.080234128262461</v>
      </c>
      <c r="W412" s="127">
        <f t="shared" si="347"/>
        <v>76.664043488301274</v>
      </c>
      <c r="X412" s="132">
        <f>AVERAGE(S412:S416)</f>
        <v>2.4083781762331338</v>
      </c>
      <c r="Y412" s="132">
        <f t="shared" ref="Y412" si="368">AVERAGE(T412:T416)</f>
        <v>2.4013938795220575</v>
      </c>
      <c r="Z412" s="133">
        <f t="shared" ref="Z412" si="369">AVERAGE(U412:U416)</f>
        <v>3.6704675251338381</v>
      </c>
      <c r="AA412" s="132">
        <f t="shared" ref="AA412" si="370">AVERAGE(V412:V416)</f>
        <v>15.213448720629263</v>
      </c>
      <c r="AB412" s="132">
        <f t="shared" ref="AB412" si="371">AVERAGE(W412:W416)</f>
        <v>75.882333385122337</v>
      </c>
      <c r="AC412" s="236">
        <v>258</v>
      </c>
      <c r="AD412" s="235">
        <v>72.2</v>
      </c>
      <c r="AE412" s="235">
        <v>47.6</v>
      </c>
      <c r="AF412" s="235">
        <v>8.1999999999999993</v>
      </c>
    </row>
    <row r="413" spans="1:32">
      <c r="A413" s="1" t="s">
        <v>114</v>
      </c>
      <c r="B413" s="276"/>
      <c r="C413" s="1" t="s">
        <v>314</v>
      </c>
      <c r="D413" s="1" t="s">
        <v>308</v>
      </c>
      <c r="E413" s="127">
        <v>2.4928947725855699</v>
      </c>
      <c r="F413" s="127">
        <v>2.6922828766859501</v>
      </c>
      <c r="G413" s="127">
        <v>5.2</v>
      </c>
      <c r="H413" s="127">
        <v>4.9429657794676798</v>
      </c>
      <c r="I413" s="127">
        <v>1218.4000000000001</v>
      </c>
      <c r="J413" s="127">
        <v>714.9</v>
      </c>
      <c r="K413" s="127">
        <v>1221.2</v>
      </c>
      <c r="L413" s="127">
        <v>63.93</v>
      </c>
      <c r="M413" s="127">
        <v>63.36</v>
      </c>
      <c r="N413" s="127">
        <v>62.36</v>
      </c>
      <c r="O413" s="127">
        <v>62.38</v>
      </c>
      <c r="P413" s="127">
        <v>63.0075</v>
      </c>
      <c r="Q413" s="79">
        <v>18.05</v>
      </c>
      <c r="R413" s="79">
        <v>2.19</v>
      </c>
      <c r="S413" s="127">
        <f t="shared" si="343"/>
        <v>2.4064783725064189</v>
      </c>
      <c r="T413" s="127">
        <f t="shared" si="344"/>
        <v>2.3994995852261503</v>
      </c>
      <c r="U413" s="79">
        <f t="shared" si="345"/>
        <v>3.7464552610278257</v>
      </c>
      <c r="V413" s="127">
        <f t="shared" si="346"/>
        <v>15.280330993390834</v>
      </c>
      <c r="W413" s="127">
        <f t="shared" si="347"/>
        <v>75.481844845846126</v>
      </c>
      <c r="X413"/>
      <c r="Y413"/>
      <c r="Z413" s="133"/>
      <c r="AA413"/>
      <c r="AB413"/>
      <c r="AC413" s="236">
        <v>258</v>
      </c>
      <c r="AD413" s="235">
        <v>72.2</v>
      </c>
      <c r="AE413" s="235">
        <v>47.6</v>
      </c>
      <c r="AF413" s="235">
        <v>8.1999999999999993</v>
      </c>
    </row>
    <row r="414" spans="1:32">
      <c r="A414" s="1" t="s">
        <v>114</v>
      </c>
      <c r="B414" s="276"/>
      <c r="C414" s="1" t="s">
        <v>314</v>
      </c>
      <c r="D414" s="1" t="s">
        <v>309</v>
      </c>
      <c r="E414" s="127">
        <v>2.4928947725855699</v>
      </c>
      <c r="F414" s="127">
        <v>2.6922828766859501</v>
      </c>
      <c r="G414" s="127">
        <v>5.2</v>
      </c>
      <c r="H414" s="127">
        <v>4.9429657794676798</v>
      </c>
      <c r="I414" s="127">
        <v>1215.7</v>
      </c>
      <c r="J414" s="127">
        <v>713.6</v>
      </c>
      <c r="K414" s="127">
        <v>1217.5999999999999</v>
      </c>
      <c r="L414" s="127">
        <v>63.1</v>
      </c>
      <c r="M414" s="127">
        <v>63.07</v>
      </c>
      <c r="N414" s="127">
        <v>63.26</v>
      </c>
      <c r="O414" s="127">
        <v>62.87</v>
      </c>
      <c r="P414" s="127">
        <v>63.075000000000003</v>
      </c>
      <c r="Q414" s="79">
        <v>20.71</v>
      </c>
      <c r="R414" s="79">
        <v>2.19</v>
      </c>
      <c r="S414" s="127">
        <f t="shared" si="343"/>
        <v>2.4121031746031751</v>
      </c>
      <c r="T414" s="127">
        <f t="shared" si="344"/>
        <v>2.4051080753968259</v>
      </c>
      <c r="U414" s="79">
        <f t="shared" si="345"/>
        <v>3.5214762433672164</v>
      </c>
      <c r="V414" s="127">
        <f t="shared" si="346"/>
        <v>15.082310775420396</v>
      </c>
      <c r="W414" s="127">
        <f t="shared" si="347"/>
        <v>76.651613298499612</v>
      </c>
      <c r="X414"/>
      <c r="Y414"/>
      <c r="Z414" s="133"/>
      <c r="AA414"/>
      <c r="AB414"/>
      <c r="AC414" s="236">
        <v>258</v>
      </c>
      <c r="AD414" s="235">
        <v>72.2</v>
      </c>
      <c r="AE414" s="235">
        <v>47.6</v>
      </c>
      <c r="AF414" s="235">
        <v>8.1999999999999993</v>
      </c>
    </row>
    <row r="415" spans="1:32">
      <c r="A415" s="1" t="s">
        <v>114</v>
      </c>
      <c r="B415" s="276"/>
      <c r="C415" s="1" t="s">
        <v>314</v>
      </c>
      <c r="D415" s="1" t="s">
        <v>310</v>
      </c>
      <c r="E415" s="127">
        <v>2.4928947725855699</v>
      </c>
      <c r="F415" s="127">
        <v>2.6922828766859501</v>
      </c>
      <c r="G415" s="127">
        <v>5.2</v>
      </c>
      <c r="H415" s="127">
        <v>4.9429657794676798</v>
      </c>
      <c r="I415" s="127">
        <v>1215.3</v>
      </c>
      <c r="J415" s="127">
        <v>712</v>
      </c>
      <c r="K415" s="127">
        <v>1218.2</v>
      </c>
      <c r="L415" s="127">
        <v>63.31</v>
      </c>
      <c r="M415" s="127">
        <v>62.28</v>
      </c>
      <c r="N415" s="127">
        <v>62.25</v>
      </c>
      <c r="O415" s="127">
        <v>62.49</v>
      </c>
      <c r="P415" s="127">
        <v>62.582500000000003</v>
      </c>
      <c r="Q415" s="79">
        <v>16.86</v>
      </c>
      <c r="R415" s="79">
        <v>1.45</v>
      </c>
      <c r="S415" s="127">
        <f t="shared" si="343"/>
        <v>2.4008297115764519</v>
      </c>
      <c r="T415" s="127">
        <f t="shared" si="344"/>
        <v>2.3938673054128801</v>
      </c>
      <c r="U415" s="79">
        <f t="shared" si="345"/>
        <v>3.9723885765936662</v>
      </c>
      <c r="V415" s="127">
        <f t="shared" si="346"/>
        <v>15.479191157597896</v>
      </c>
      <c r="W415" s="127">
        <f t="shared" si="347"/>
        <v>74.337234186530253</v>
      </c>
      <c r="X415"/>
      <c r="Y415"/>
      <c r="Z415" s="133"/>
      <c r="AA415"/>
      <c r="AB415"/>
      <c r="AC415" s="236">
        <v>258</v>
      </c>
      <c r="AD415" s="235">
        <v>72.2</v>
      </c>
      <c r="AE415" s="235">
        <v>47.6</v>
      </c>
      <c r="AF415" s="235">
        <v>8.1999999999999993</v>
      </c>
    </row>
    <row r="416" spans="1:32">
      <c r="A416" s="1" t="s">
        <v>114</v>
      </c>
      <c r="B416" s="276"/>
      <c r="C416" s="1" t="s">
        <v>314</v>
      </c>
      <c r="D416" s="1" t="s">
        <v>311</v>
      </c>
      <c r="E416" s="127">
        <v>2.4928947725855699</v>
      </c>
      <c r="F416" s="127">
        <v>2.6922828766859501</v>
      </c>
      <c r="G416" s="127">
        <v>5.2</v>
      </c>
      <c r="H416" s="127">
        <v>4.9429657794676798</v>
      </c>
      <c r="I416" s="127">
        <v>1214.8</v>
      </c>
      <c r="J416" s="127">
        <v>713</v>
      </c>
      <c r="K416" s="127">
        <v>1217</v>
      </c>
      <c r="L416" s="127">
        <v>63.13</v>
      </c>
      <c r="M416" s="127">
        <v>63.18</v>
      </c>
      <c r="N416" s="127">
        <v>63.48</v>
      </c>
      <c r="O416" s="127">
        <v>63.21</v>
      </c>
      <c r="P416" s="127">
        <v>63.25</v>
      </c>
      <c r="Q416" s="79">
        <v>18.55</v>
      </c>
      <c r="R416" s="79">
        <v>2.36</v>
      </c>
      <c r="S416" s="127">
        <f t="shared" si="343"/>
        <v>2.4103174603174602</v>
      </c>
      <c r="T416" s="127">
        <f t="shared" si="344"/>
        <v>2.4033275396825395</v>
      </c>
      <c r="U416" s="79">
        <f t="shared" si="345"/>
        <v>3.5929006666468033</v>
      </c>
      <c r="V416" s="127">
        <f t="shared" si="346"/>
        <v>15.145176548474723</v>
      </c>
      <c r="W416" s="127">
        <f t="shared" si="347"/>
        <v>76.276931106434361</v>
      </c>
      <c r="X416"/>
      <c r="Y416"/>
      <c r="Z416" s="133"/>
      <c r="AA416"/>
      <c r="AB416"/>
      <c r="AC416" s="236">
        <v>258</v>
      </c>
      <c r="AD416" s="235">
        <v>72.2</v>
      </c>
      <c r="AE416" s="235">
        <v>47.6</v>
      </c>
      <c r="AF416" s="235">
        <v>8.1999999999999993</v>
      </c>
    </row>
    <row r="417" spans="1:32">
      <c r="A417" s="1" t="s">
        <v>118</v>
      </c>
      <c r="B417" s="280" t="s">
        <v>218</v>
      </c>
      <c r="C417" s="1" t="s">
        <v>314</v>
      </c>
      <c r="D417" s="1" t="s">
        <v>307</v>
      </c>
      <c r="E417" s="127">
        <v>2.52947730099496</v>
      </c>
      <c r="F417" s="127">
        <v>2.6025087362875601</v>
      </c>
      <c r="G417" s="127">
        <v>5.5</v>
      </c>
      <c r="H417" s="127">
        <v>5.2132701421800904</v>
      </c>
      <c r="I417" s="127">
        <v>1236.0999999999999</v>
      </c>
      <c r="J417" s="127">
        <v>731.8</v>
      </c>
      <c r="K417" s="127">
        <v>1238.7</v>
      </c>
      <c r="L417" s="127">
        <v>62.92</v>
      </c>
      <c r="M417" s="127">
        <v>63.16</v>
      </c>
      <c r="N417" s="127">
        <v>62.83</v>
      </c>
      <c r="O417" s="127">
        <v>62.81</v>
      </c>
      <c r="P417" s="127">
        <f>AVERAGE(L417:O417)</f>
        <v>62.93</v>
      </c>
      <c r="Q417" s="79">
        <v>25.31</v>
      </c>
      <c r="R417" s="79">
        <v>2.75</v>
      </c>
      <c r="S417" s="127">
        <f t="shared" si="343"/>
        <v>2.4385480370881822</v>
      </c>
      <c r="T417" s="127">
        <f t="shared" si="344"/>
        <v>2.4314762477806267</v>
      </c>
      <c r="U417" s="79">
        <f t="shared" si="345"/>
        <v>3.8743598598724338</v>
      </c>
      <c r="V417" s="127">
        <f t="shared" si="346"/>
        <v>11.442494297693585</v>
      </c>
      <c r="W417" s="127">
        <f t="shared" si="347"/>
        <v>66.140600475078486</v>
      </c>
      <c r="X417" s="132">
        <f>AVERAGE(S417:S421)</f>
        <v>2.4349586235393188</v>
      </c>
      <c r="Y417" s="132">
        <f t="shared" ref="Y417" si="372">AVERAGE(T417:T421)</f>
        <v>2.4278972435310551</v>
      </c>
      <c r="Z417" s="133">
        <f t="shared" ref="Z417" si="373">AVERAGE(U417:U421)</f>
        <v>3.9526594666600539</v>
      </c>
      <c r="AA417" s="132">
        <f t="shared" ref="AA417" si="374">AVERAGE(V417:V421)</f>
        <v>11.572846255492621</v>
      </c>
      <c r="AB417" s="132">
        <f t="shared" ref="AB417" si="375">AVERAGE(W417:W421)</f>
        <v>65.87294373361037</v>
      </c>
      <c r="AC417" s="236">
        <v>258</v>
      </c>
      <c r="AD417" s="235">
        <v>72.2</v>
      </c>
      <c r="AE417" s="235">
        <v>47.6</v>
      </c>
      <c r="AF417" s="235">
        <v>8.1999999999999993</v>
      </c>
    </row>
    <row r="418" spans="1:32">
      <c r="A418" s="1" t="s">
        <v>118</v>
      </c>
      <c r="B418" s="276"/>
      <c r="C418" s="1" t="s">
        <v>314</v>
      </c>
      <c r="D418" s="1" t="s">
        <v>308</v>
      </c>
      <c r="E418" s="127">
        <v>2.52947730099496</v>
      </c>
      <c r="F418" s="127">
        <v>2.6025087362875601</v>
      </c>
      <c r="G418" s="127">
        <v>5.5</v>
      </c>
      <c r="H418" s="127">
        <v>5.2132701421800904</v>
      </c>
      <c r="I418" s="127">
        <v>1237.8</v>
      </c>
      <c r="J418" s="127">
        <v>733.3</v>
      </c>
      <c r="K418" s="127">
        <v>1240.0999999999999</v>
      </c>
      <c r="L418" s="127">
        <v>62.97</v>
      </c>
      <c r="M418" s="127">
        <v>63.06</v>
      </c>
      <c r="N418" s="127">
        <v>63.08</v>
      </c>
      <c r="O418" s="127">
        <v>62.87</v>
      </c>
      <c r="P418" s="127">
        <f t="shared" ref="P418:P421" si="376">AVERAGE(L418:O418)</f>
        <v>62.995000000000005</v>
      </c>
      <c r="Q418" s="79">
        <v>26.88</v>
      </c>
      <c r="R418" s="79">
        <v>2.36</v>
      </c>
      <c r="S418" s="127">
        <f t="shared" si="343"/>
        <v>2.4423835832675613</v>
      </c>
      <c r="T418" s="127">
        <f t="shared" si="344"/>
        <v>2.4353006708760851</v>
      </c>
      <c r="U418" s="79">
        <f t="shared" si="345"/>
        <v>3.7231656548896819</v>
      </c>
      <c r="V418" s="127">
        <f t="shared" si="346"/>
        <v>11.303203868517798</v>
      </c>
      <c r="W418" s="127">
        <f t="shared" si="347"/>
        <v>67.060970515982518</v>
      </c>
      <c r="X418"/>
      <c r="Y418"/>
      <c r="Z418" s="133"/>
      <c r="AA418"/>
      <c r="AB418"/>
      <c r="AC418" s="236">
        <v>258</v>
      </c>
      <c r="AD418" s="235">
        <v>72.2</v>
      </c>
      <c r="AE418" s="235">
        <v>47.6</v>
      </c>
      <c r="AF418" s="235">
        <v>8.1999999999999993</v>
      </c>
    </row>
    <row r="419" spans="1:32">
      <c r="A419" s="1" t="s">
        <v>118</v>
      </c>
      <c r="B419" s="276"/>
      <c r="C419" s="1" t="s">
        <v>314</v>
      </c>
      <c r="D419" s="1" t="s">
        <v>309</v>
      </c>
      <c r="E419" s="127">
        <v>2.52947730099496</v>
      </c>
      <c r="F419" s="127">
        <v>2.6025087362875601</v>
      </c>
      <c r="G419" s="127">
        <v>5.5</v>
      </c>
      <c r="H419" s="127">
        <v>5.2132701421800904</v>
      </c>
      <c r="I419" s="127">
        <v>1234.8</v>
      </c>
      <c r="J419" s="127">
        <v>730.7</v>
      </c>
      <c r="K419" s="127">
        <v>1236.9000000000001</v>
      </c>
      <c r="L419" s="127">
        <v>63.11</v>
      </c>
      <c r="M419" s="127">
        <v>63.52</v>
      </c>
      <c r="N419" s="127">
        <v>64.12</v>
      </c>
      <c r="O419" s="127">
        <v>63.7</v>
      </c>
      <c r="P419" s="127">
        <f t="shared" si="376"/>
        <v>63.612499999999997</v>
      </c>
      <c r="Q419" s="79">
        <v>22.68</v>
      </c>
      <c r="R419" s="79">
        <v>3.37</v>
      </c>
      <c r="S419" s="127">
        <f t="shared" si="343"/>
        <v>2.439352034768866</v>
      </c>
      <c r="T419" s="127">
        <f t="shared" si="344"/>
        <v>2.4322779138680364</v>
      </c>
      <c r="U419" s="79">
        <f t="shared" si="345"/>
        <v>3.8426669054784868</v>
      </c>
      <c r="V419" s="127">
        <f t="shared" si="346"/>
        <v>11.413296583271375</v>
      </c>
      <c r="W419" s="127">
        <f t="shared" si="347"/>
        <v>66.331665199073726</v>
      </c>
      <c r="X419"/>
      <c r="Y419"/>
      <c r="Z419" s="133"/>
      <c r="AA419"/>
      <c r="AB419"/>
      <c r="AC419" s="236">
        <v>258</v>
      </c>
      <c r="AD419" s="235">
        <v>72.2</v>
      </c>
      <c r="AE419" s="235">
        <v>47.6</v>
      </c>
      <c r="AF419" s="235">
        <v>8.1999999999999993</v>
      </c>
    </row>
    <row r="420" spans="1:32">
      <c r="A420" s="1" t="s">
        <v>118</v>
      </c>
      <c r="B420" s="276"/>
      <c r="C420" s="1" t="s">
        <v>314</v>
      </c>
      <c r="D420" s="1" t="s">
        <v>310</v>
      </c>
      <c r="E420" s="127">
        <v>2.52947730099496</v>
      </c>
      <c r="F420" s="127">
        <v>2.6025087362875601</v>
      </c>
      <c r="G420" s="127">
        <v>5.5</v>
      </c>
      <c r="H420" s="127">
        <v>5.2132701421800904</v>
      </c>
      <c r="I420" s="127">
        <v>1233.9000000000001</v>
      </c>
      <c r="J420" s="127">
        <v>729.6</v>
      </c>
      <c r="K420" s="127">
        <v>1235.9000000000001</v>
      </c>
      <c r="L420" s="127">
        <v>62.96</v>
      </c>
      <c r="M420" s="127">
        <v>62.6</v>
      </c>
      <c r="N420" s="127">
        <v>63.13</v>
      </c>
      <c r="O420" s="127">
        <v>62.63</v>
      </c>
      <c r="P420" s="127">
        <f t="shared" si="376"/>
        <v>62.83</v>
      </c>
      <c r="Q420" s="79">
        <v>23.82</v>
      </c>
      <c r="R420" s="79">
        <v>3.26</v>
      </c>
      <c r="S420" s="127">
        <f t="shared" si="343"/>
        <v>2.4370926328263876</v>
      </c>
      <c r="T420" s="127">
        <f t="shared" si="344"/>
        <v>2.4300250641911911</v>
      </c>
      <c r="U420" s="79">
        <f t="shared" si="345"/>
        <v>3.9317307478762387</v>
      </c>
      <c r="V420" s="127">
        <f t="shared" si="346"/>
        <v>11.495348278526777</v>
      </c>
      <c r="W420" s="127">
        <f t="shared" si="347"/>
        <v>65.797202028052666</v>
      </c>
      <c r="X420"/>
      <c r="Y420"/>
      <c r="Z420" s="133"/>
      <c r="AA420"/>
      <c r="AB420"/>
      <c r="AC420" s="236">
        <v>258</v>
      </c>
      <c r="AD420" s="235">
        <v>72.2</v>
      </c>
      <c r="AE420" s="235">
        <v>47.6</v>
      </c>
      <c r="AF420" s="235">
        <v>8.1999999999999993</v>
      </c>
    </row>
    <row r="421" spans="1:32">
      <c r="A421" s="1" t="s">
        <v>118</v>
      </c>
      <c r="B421" s="276"/>
      <c r="C421" s="1" t="s">
        <v>332</v>
      </c>
      <c r="D421" s="1" t="s">
        <v>307</v>
      </c>
      <c r="E421" s="127">
        <v>2.5211180475533701</v>
      </c>
      <c r="F421" s="127">
        <v>2.6025087362875601</v>
      </c>
      <c r="G421" s="127">
        <v>5.5</v>
      </c>
      <c r="H421" s="127">
        <v>5.2132701421800904</v>
      </c>
      <c r="I421" s="127">
        <v>1235.3</v>
      </c>
      <c r="J421" s="127">
        <v>728.5</v>
      </c>
      <c r="K421" s="127">
        <v>1239.5</v>
      </c>
      <c r="L421" s="127">
        <v>64.599999999999994</v>
      </c>
      <c r="M421" s="127">
        <v>63.15</v>
      </c>
      <c r="N421" s="127">
        <v>64.59</v>
      </c>
      <c r="O421" s="127">
        <v>64.08</v>
      </c>
      <c r="P421" s="127">
        <f t="shared" si="376"/>
        <v>64.105000000000004</v>
      </c>
      <c r="Q421" s="79">
        <v>18.399999999999999</v>
      </c>
      <c r="R421" s="79">
        <v>2.52</v>
      </c>
      <c r="S421" s="127">
        <f t="shared" si="343"/>
        <v>2.4174168297455969</v>
      </c>
      <c r="T421" s="127">
        <f t="shared" si="344"/>
        <v>2.4104063209393347</v>
      </c>
      <c r="U421" s="79">
        <f t="shared" si="345"/>
        <v>4.3913741651834259</v>
      </c>
      <c r="V421" s="127">
        <f t="shared" si="346"/>
        <v>12.20988824945357</v>
      </c>
      <c r="W421" s="127">
        <f t="shared" si="347"/>
        <v>64.034280449864454</v>
      </c>
      <c r="X421" s="132">
        <f>AVERAGE(S421:S425)</f>
        <v>2.4281725542317489</v>
      </c>
      <c r="Y421" s="132">
        <f t="shared" ref="Y421" si="377">AVERAGE(T421:T425)</f>
        <v>2.4211308538244771</v>
      </c>
      <c r="Z421" s="133">
        <f t="shared" ref="Z421" si="378">AVERAGE(U421:U425)</f>
        <v>3.9505462321174272</v>
      </c>
      <c r="AA421" s="132">
        <f t="shared" ref="AA421" si="379">AVERAGE(V421:V425)</f>
        <v>11.819286908808166</v>
      </c>
      <c r="AB421" s="132">
        <f t="shared" ref="AB421" si="380">AVERAGE(W421:W425)</f>
        <v>66.602014642130399</v>
      </c>
      <c r="AC421" s="235">
        <v>144</v>
      </c>
      <c r="AD421" s="235">
        <v>107.8</v>
      </c>
      <c r="AE421" s="235">
        <v>43.95</v>
      </c>
      <c r="AF421" s="235">
        <v>60.3</v>
      </c>
    </row>
    <row r="422" spans="1:32">
      <c r="A422" s="1" t="s">
        <v>118</v>
      </c>
      <c r="B422" s="276"/>
      <c r="C422" s="1" t="s">
        <v>332</v>
      </c>
      <c r="D422" s="1" t="s">
        <v>308</v>
      </c>
      <c r="E422" s="127">
        <v>2.5211180475533701</v>
      </c>
      <c r="F422" s="127">
        <v>2.6025087362875601</v>
      </c>
      <c r="G422" s="127">
        <v>5.5</v>
      </c>
      <c r="H422" s="127">
        <v>5.2132701421800904</v>
      </c>
      <c r="I422" s="127">
        <v>1230.3</v>
      </c>
      <c r="J422" s="127">
        <v>727.7</v>
      </c>
      <c r="K422" s="127">
        <v>1232.9000000000001</v>
      </c>
      <c r="L422" s="127">
        <v>64.150000000000006</v>
      </c>
      <c r="M422" s="127">
        <v>63.85</v>
      </c>
      <c r="N422" s="127">
        <v>64.239999999999995</v>
      </c>
      <c r="O422" s="127">
        <v>64.739999999999995</v>
      </c>
      <c r="P422" s="127">
        <f t="shared" ref="P422:P423" si="381">AVERAGE(L422:O422)</f>
        <v>64.245000000000005</v>
      </c>
      <c r="Q422" s="79">
        <v>16.96</v>
      </c>
      <c r="R422" s="79">
        <v>2.99</v>
      </c>
      <c r="S422" s="127">
        <f t="shared" si="343"/>
        <v>2.4352731591448928</v>
      </c>
      <c r="T422" s="127">
        <f t="shared" si="344"/>
        <v>2.4282108669833726</v>
      </c>
      <c r="U422" s="79">
        <f t="shared" si="345"/>
        <v>3.6851578870001567</v>
      </c>
      <c r="V422" s="127">
        <f t="shared" si="346"/>
        <v>11.561423684249178</v>
      </c>
      <c r="W422" s="127">
        <f t="shared" si="347"/>
        <v>68.125397116787013</v>
      </c>
      <c r="X422"/>
      <c r="Y422"/>
      <c r="Z422" s="133"/>
      <c r="AA422"/>
      <c r="AB422"/>
      <c r="AC422" s="235">
        <v>144</v>
      </c>
      <c r="AD422" s="235">
        <v>107.8</v>
      </c>
      <c r="AE422" s="235">
        <v>43.95</v>
      </c>
      <c r="AF422" s="235">
        <v>60.3</v>
      </c>
    </row>
    <row r="423" spans="1:32">
      <c r="A423" s="1" t="s">
        <v>118</v>
      </c>
      <c r="B423" s="276"/>
      <c r="C423" s="1" t="s">
        <v>332</v>
      </c>
      <c r="D423" s="1" t="s">
        <v>309</v>
      </c>
      <c r="E423" s="127">
        <v>2.5211180475533701</v>
      </c>
      <c r="F423" s="127">
        <v>2.6025087362875601</v>
      </c>
      <c r="G423" s="127">
        <v>5.5</v>
      </c>
      <c r="H423" s="127">
        <v>5.2132701421800904</v>
      </c>
      <c r="I423" s="127">
        <v>1232.9000000000001</v>
      </c>
      <c r="J423" s="127">
        <v>728.3</v>
      </c>
      <c r="K423" s="127">
        <v>1235.0999999999999</v>
      </c>
      <c r="L423" s="127">
        <v>63.97</v>
      </c>
      <c r="M423" s="127">
        <v>63.85</v>
      </c>
      <c r="N423" s="127">
        <v>63.91</v>
      </c>
      <c r="O423" s="127">
        <v>64.34</v>
      </c>
      <c r="P423" s="127">
        <f t="shared" si="381"/>
        <v>64.017499999999998</v>
      </c>
      <c r="Q423" s="79">
        <v>18.22</v>
      </c>
      <c r="R423" s="79">
        <v>2.68</v>
      </c>
      <c r="S423" s="127">
        <f t="shared" si="343"/>
        <v>2.4327150749802686</v>
      </c>
      <c r="T423" s="127">
        <f t="shared" si="344"/>
        <v>2.4256602012628257</v>
      </c>
      <c r="U423" s="79">
        <f t="shared" si="345"/>
        <v>3.7863298937224288</v>
      </c>
      <c r="V423" s="127">
        <f t="shared" si="346"/>
        <v>11.654322224507666</v>
      </c>
      <c r="W423" s="127">
        <f t="shared" si="347"/>
        <v>67.511367707336746</v>
      </c>
      <c r="X423"/>
      <c r="Y423"/>
      <c r="Z423" s="133"/>
      <c r="AA423"/>
      <c r="AB423"/>
      <c r="AC423" s="235">
        <v>144</v>
      </c>
      <c r="AD423" s="235">
        <v>107.8</v>
      </c>
      <c r="AE423" s="235">
        <v>43.95</v>
      </c>
      <c r="AF423" s="235">
        <v>60.3</v>
      </c>
    </row>
    <row r="424" spans="1:32">
      <c r="A424" s="1" t="s">
        <v>118</v>
      </c>
      <c r="B424" s="276"/>
      <c r="C424" s="1" t="s">
        <v>332</v>
      </c>
      <c r="D424" s="1" t="s">
        <v>310</v>
      </c>
      <c r="E424" s="127">
        <v>2.5211180475533701</v>
      </c>
      <c r="F424" s="127">
        <v>2.6025087362875601</v>
      </c>
      <c r="G424" s="127">
        <v>5.5</v>
      </c>
      <c r="H424" s="127">
        <v>5.2132701421800904</v>
      </c>
      <c r="I424" s="127">
        <v>1234.5999999999999</v>
      </c>
      <c r="J424" s="127">
        <v>728.4</v>
      </c>
      <c r="K424" s="127">
        <v>1237.0999999999999</v>
      </c>
      <c r="L424" s="127">
        <v>64.66</v>
      </c>
      <c r="M424" s="127">
        <v>64.22</v>
      </c>
      <c r="N424" s="127">
        <v>64.11</v>
      </c>
      <c r="O424" s="127">
        <v>64.36</v>
      </c>
      <c r="P424" s="127">
        <v>64.337500000000006</v>
      </c>
      <c r="Q424" s="79">
        <v>17.16</v>
      </c>
      <c r="R424" s="79">
        <v>2.77</v>
      </c>
      <c r="S424" s="127">
        <f t="shared" si="343"/>
        <v>2.4269707096520543</v>
      </c>
      <c r="T424" s="127">
        <f t="shared" si="344"/>
        <v>2.4199324945940632</v>
      </c>
      <c r="U424" s="79">
        <f t="shared" si="345"/>
        <v>4.013519043961578</v>
      </c>
      <c r="V424" s="127">
        <f t="shared" si="346"/>
        <v>11.862932699910445</v>
      </c>
      <c r="W424" s="127">
        <f t="shared" si="347"/>
        <v>66.16756458551032</v>
      </c>
      <c r="X424"/>
      <c r="Y424"/>
      <c r="Z424" s="133"/>
      <c r="AA424"/>
      <c r="AB424"/>
      <c r="AC424" s="235">
        <v>144</v>
      </c>
      <c r="AD424" s="235">
        <v>107.8</v>
      </c>
      <c r="AE424" s="235">
        <v>43.95</v>
      </c>
      <c r="AF424" s="235">
        <v>60.3</v>
      </c>
    </row>
    <row r="425" spans="1:32">
      <c r="A425" s="1" t="s">
        <v>118</v>
      </c>
      <c r="B425" s="276"/>
      <c r="C425" s="1" t="s">
        <v>333</v>
      </c>
      <c r="D425" s="1" t="s">
        <v>307</v>
      </c>
      <c r="E425" s="127">
        <v>2.5190932612768799</v>
      </c>
      <c r="F425" s="127">
        <v>2.6025087362875601</v>
      </c>
      <c r="G425" s="127">
        <v>5.5</v>
      </c>
      <c r="H425" s="127">
        <v>5.2132701421800904</v>
      </c>
      <c r="I425" s="127">
        <v>1232.7</v>
      </c>
      <c r="J425" s="127">
        <v>727.8</v>
      </c>
      <c r="K425" s="127">
        <v>1235.4000000000001</v>
      </c>
      <c r="L425" s="127">
        <v>62.41</v>
      </c>
      <c r="M425" s="127">
        <v>62.69</v>
      </c>
      <c r="N425" s="127">
        <v>62.35</v>
      </c>
      <c r="O425" s="127">
        <v>62.33</v>
      </c>
      <c r="P425" s="127">
        <f>AVERAGE(L425:O425)</f>
        <v>62.444999999999993</v>
      </c>
      <c r="Q425" s="79">
        <v>18.170000000000002</v>
      </c>
      <c r="R425" s="79">
        <v>1.99</v>
      </c>
      <c r="S425" s="127">
        <f t="shared" si="343"/>
        <v>2.4284869976359333</v>
      </c>
      <c r="T425" s="127">
        <f t="shared" si="344"/>
        <v>2.4214443853427889</v>
      </c>
      <c r="U425" s="79">
        <f t="shared" si="345"/>
        <v>3.8763501707195447</v>
      </c>
      <c r="V425" s="127">
        <f t="shared" si="346"/>
        <v>11.807867685919973</v>
      </c>
      <c r="W425" s="127">
        <f t="shared" si="347"/>
        <v>67.171463351153463</v>
      </c>
      <c r="X425" s="132">
        <f>AVERAGE(S425:S429)</f>
        <v>2.4107902518143547</v>
      </c>
      <c r="Y425" s="132">
        <f t="shared" ref="Y425" si="382">AVERAGE(T425:T429)</f>
        <v>2.4037989600840932</v>
      </c>
      <c r="Z425" s="133">
        <f t="shared" ref="Z425" si="383">AVERAGE(U425:U429)</f>
        <v>4.1894762445326617</v>
      </c>
      <c r="AA425" s="132">
        <f t="shared" ref="AA425" si="384">AVERAGE(V425:V429)</f>
        <v>12.240332513075453</v>
      </c>
      <c r="AB425" s="132">
        <f t="shared" ref="AB425" si="385">AVERAGE(W425:W429)</f>
        <v>65.798336965083919</v>
      </c>
      <c r="AC425" s="235">
        <v>144</v>
      </c>
      <c r="AD425" s="235">
        <v>107.8</v>
      </c>
      <c r="AE425" s="235">
        <v>43.95</v>
      </c>
      <c r="AF425" s="235">
        <v>60.3</v>
      </c>
    </row>
    <row r="426" spans="1:32">
      <c r="A426" s="1" t="s">
        <v>118</v>
      </c>
      <c r="B426" s="276"/>
      <c r="C426" s="1" t="s">
        <v>333</v>
      </c>
      <c r="D426" s="1" t="s">
        <v>308</v>
      </c>
      <c r="E426" s="127">
        <v>2.5190932612768799</v>
      </c>
      <c r="F426" s="127">
        <v>2.6025087362875601</v>
      </c>
      <c r="G426" s="127">
        <v>5.5</v>
      </c>
      <c r="H426" s="127">
        <v>5.2132701421800904</v>
      </c>
      <c r="I426" s="127">
        <v>1227.4000000000001</v>
      </c>
      <c r="J426" s="127">
        <v>724.6</v>
      </c>
      <c r="K426" s="127">
        <v>1231.2</v>
      </c>
      <c r="L426" s="127">
        <v>62.6</v>
      </c>
      <c r="M426" s="127">
        <v>61.82</v>
      </c>
      <c r="N426" s="127">
        <v>62.26</v>
      </c>
      <c r="O426" s="127">
        <v>62.39</v>
      </c>
      <c r="P426" s="127">
        <f t="shared" ref="P426:P428" si="386">AVERAGE(L426:O426)</f>
        <v>62.267499999999998</v>
      </c>
      <c r="Q426" s="79">
        <v>16.46</v>
      </c>
      <c r="R426" s="79">
        <v>2.3199999999999998</v>
      </c>
      <c r="S426" s="127">
        <f t="shared" si="343"/>
        <v>2.4228187919463089</v>
      </c>
      <c r="T426" s="127">
        <f t="shared" si="344"/>
        <v>2.4157926174496644</v>
      </c>
      <c r="U426" s="79">
        <f t="shared" si="345"/>
        <v>4.1007074019504319</v>
      </c>
      <c r="V426" s="127">
        <f t="shared" si="346"/>
        <v>12.013712373023267</v>
      </c>
      <c r="W426" s="127">
        <f t="shared" si="347"/>
        <v>65.866442656322036</v>
      </c>
      <c r="X426"/>
      <c r="Y426"/>
      <c r="Z426" s="133"/>
      <c r="AA426"/>
      <c r="AB426"/>
      <c r="AC426" s="235">
        <v>144</v>
      </c>
      <c r="AD426" s="235">
        <v>107.8</v>
      </c>
      <c r="AE426" s="235">
        <v>43.95</v>
      </c>
      <c r="AF426" s="235">
        <v>60.3</v>
      </c>
    </row>
    <row r="427" spans="1:32">
      <c r="A427" s="1" t="s">
        <v>118</v>
      </c>
      <c r="B427" s="276"/>
      <c r="C427" s="1" t="s">
        <v>333</v>
      </c>
      <c r="D427" s="1" t="s">
        <v>309</v>
      </c>
      <c r="E427" s="127">
        <v>2.5190932612768799</v>
      </c>
      <c r="F427" s="127">
        <v>2.6025087362875601</v>
      </c>
      <c r="G427" s="127">
        <v>5.5</v>
      </c>
      <c r="H427" s="127">
        <v>5.2132701421800904</v>
      </c>
      <c r="I427" s="127">
        <v>1229.5999999999999</v>
      </c>
      <c r="J427" s="127">
        <v>724.7</v>
      </c>
      <c r="K427" s="127">
        <v>1231.8</v>
      </c>
      <c r="L427" s="127">
        <v>63.12</v>
      </c>
      <c r="M427" s="127">
        <v>63.8</v>
      </c>
      <c r="N427" s="127">
        <v>63.42</v>
      </c>
      <c r="O427" s="127">
        <v>63.82</v>
      </c>
      <c r="P427" s="127">
        <f t="shared" si="386"/>
        <v>63.539999999999992</v>
      </c>
      <c r="Q427" s="79">
        <v>16.23</v>
      </c>
      <c r="R427" s="79">
        <v>2.65</v>
      </c>
      <c r="S427" s="127">
        <f t="shared" si="343"/>
        <v>2.4247682902780521</v>
      </c>
      <c r="T427" s="127">
        <f t="shared" si="344"/>
        <v>2.4177364622362458</v>
      </c>
      <c r="U427" s="79">
        <f t="shared" si="345"/>
        <v>4.0235429389882231</v>
      </c>
      <c r="V427" s="127">
        <f t="shared" si="346"/>
        <v>11.942915035015446</v>
      </c>
      <c r="W427" s="127">
        <f t="shared" si="347"/>
        <v>66.310210470462252</v>
      </c>
      <c r="X427"/>
      <c r="Y427"/>
      <c r="Z427" s="133"/>
      <c r="AA427"/>
      <c r="AB427"/>
      <c r="AC427" s="235">
        <v>144</v>
      </c>
      <c r="AD427" s="235">
        <v>107.8</v>
      </c>
      <c r="AE427" s="235">
        <v>43.95</v>
      </c>
      <c r="AF427" s="235">
        <v>60.3</v>
      </c>
    </row>
    <row r="428" spans="1:32">
      <c r="A428" s="1" t="s">
        <v>118</v>
      </c>
      <c r="B428" s="276"/>
      <c r="C428" s="1" t="s">
        <v>333</v>
      </c>
      <c r="D428" s="1" t="s">
        <v>310</v>
      </c>
      <c r="E428" s="127">
        <v>2.5190932612768799</v>
      </c>
      <c r="F428" s="127">
        <v>2.6025087362875601</v>
      </c>
      <c r="G428" s="127">
        <v>5.5</v>
      </c>
      <c r="H428" s="127">
        <v>5.2132701421800904</v>
      </c>
      <c r="I428" s="127">
        <v>1225.4000000000001</v>
      </c>
      <c r="J428" s="127">
        <v>721.1</v>
      </c>
      <c r="K428" s="127">
        <v>1228</v>
      </c>
      <c r="L428" s="127">
        <v>63.73</v>
      </c>
      <c r="M428" s="127">
        <v>63.7</v>
      </c>
      <c r="N428" s="127">
        <v>63.35</v>
      </c>
      <c r="O428" s="127">
        <v>62.94</v>
      </c>
      <c r="P428" s="127">
        <f t="shared" si="386"/>
        <v>63.43</v>
      </c>
      <c r="Q428" s="79">
        <v>15.66</v>
      </c>
      <c r="R428" s="79">
        <v>2.31</v>
      </c>
      <c r="S428" s="127">
        <f t="shared" si="343"/>
        <v>2.4174393371473668</v>
      </c>
      <c r="T428" s="127">
        <f t="shared" si="344"/>
        <v>2.4104287630696395</v>
      </c>
      <c r="U428" s="79">
        <f t="shared" si="345"/>
        <v>4.3136353813340129</v>
      </c>
      <c r="V428" s="127">
        <f t="shared" si="346"/>
        <v>12.209070878079189</v>
      </c>
      <c r="W428" s="127">
        <f t="shared" si="347"/>
        <v>64.668602349758302</v>
      </c>
      <c r="X428"/>
      <c r="Y428"/>
      <c r="Z428" s="133"/>
      <c r="AA428"/>
      <c r="AB428"/>
      <c r="AC428" s="235">
        <v>144</v>
      </c>
      <c r="AD428" s="235">
        <v>107.8</v>
      </c>
      <c r="AE428" s="235">
        <v>43.95</v>
      </c>
      <c r="AF428" s="235">
        <v>60.3</v>
      </c>
    </row>
    <row r="429" spans="1:32">
      <c r="A429" s="1" t="s">
        <v>119</v>
      </c>
      <c r="B429" s="280" t="s">
        <v>245</v>
      </c>
      <c r="C429" s="1" t="s">
        <v>324</v>
      </c>
      <c r="D429" s="1" t="s">
        <v>307</v>
      </c>
      <c r="E429" s="127">
        <v>2.4679356160567498</v>
      </c>
      <c r="F429" s="127">
        <v>2.59310723048086</v>
      </c>
      <c r="G429" s="127">
        <v>4.5999999999999996</v>
      </c>
      <c r="H429" s="127">
        <v>4.3977055449330802</v>
      </c>
      <c r="I429" s="127">
        <v>1207.5999999999999</v>
      </c>
      <c r="J429" s="127">
        <v>699.2</v>
      </c>
      <c r="K429" s="127">
        <v>1210.8</v>
      </c>
      <c r="L429" s="127">
        <v>66.2</v>
      </c>
      <c r="M429" s="127">
        <v>66.66</v>
      </c>
      <c r="N429" s="127">
        <v>66.14</v>
      </c>
      <c r="O429" s="127">
        <v>66.150000000000006</v>
      </c>
      <c r="P429" s="127">
        <v>66.287499999999994</v>
      </c>
      <c r="Q429" s="79">
        <v>17.52</v>
      </c>
      <c r="R429" s="79">
        <v>1.66</v>
      </c>
      <c r="S429" s="127">
        <f t="shared" si="343"/>
        <v>2.3604378420641128</v>
      </c>
      <c r="T429" s="127">
        <f t="shared" si="344"/>
        <v>2.3535925723221269</v>
      </c>
      <c r="U429" s="79">
        <f t="shared" si="345"/>
        <v>4.6331453296710956</v>
      </c>
      <c r="V429" s="127">
        <f t="shared" si="346"/>
        <v>13.228096593339387</v>
      </c>
      <c r="W429" s="127">
        <f t="shared" si="347"/>
        <v>64.974965997723544</v>
      </c>
      <c r="X429" s="132">
        <f>AVERAGE(S429:S433)</f>
        <v>2.3643785346917512</v>
      </c>
      <c r="Y429" s="132">
        <f t="shared" ref="Y429" si="387">AVERAGE(T429:T433)</f>
        <v>2.357521836941145</v>
      </c>
      <c r="Z429" s="133">
        <f t="shared" ref="Z429" si="388">AVERAGE(U429:U433)</f>
        <v>4.473932723254082</v>
      </c>
      <c r="AA429" s="132">
        <f t="shared" ref="AA429" si="389">AVERAGE(V429:V433)</f>
        <v>13.083233045591104</v>
      </c>
      <c r="AB429" s="132">
        <f t="shared" ref="AB429" si="390">AVERAGE(W429:W433)</f>
        <v>65.815581452008246</v>
      </c>
      <c r="AC429" s="235">
        <v>161</v>
      </c>
      <c r="AD429" s="235">
        <v>91</v>
      </c>
      <c r="AE429" s="235">
        <v>44</v>
      </c>
      <c r="AF429" s="235">
        <v>15</v>
      </c>
    </row>
    <row r="430" spans="1:32">
      <c r="A430" s="1" t="s">
        <v>119</v>
      </c>
      <c r="B430" s="276"/>
      <c r="C430" s="1" t="s">
        <v>324</v>
      </c>
      <c r="D430" s="1" t="s">
        <v>308</v>
      </c>
      <c r="E430" s="127">
        <v>2.4679356160567498</v>
      </c>
      <c r="F430" s="127">
        <v>2.59310723048086</v>
      </c>
      <c r="G430" s="127">
        <v>4.5999999999999996</v>
      </c>
      <c r="H430" s="127">
        <v>4.3977055449330802</v>
      </c>
      <c r="I430" s="127">
        <v>1191.5</v>
      </c>
      <c r="J430" s="127">
        <v>689.4</v>
      </c>
      <c r="K430" s="127">
        <v>1194.3</v>
      </c>
      <c r="L430" s="127">
        <v>64.77</v>
      </c>
      <c r="M430" s="127">
        <v>64.69</v>
      </c>
      <c r="N430" s="127">
        <v>64.56</v>
      </c>
      <c r="O430" s="127">
        <v>64.459999999999994</v>
      </c>
      <c r="P430" s="127">
        <v>64.62</v>
      </c>
      <c r="Q430" s="79">
        <v>16.899999999999999</v>
      </c>
      <c r="R430" s="79">
        <v>1.51</v>
      </c>
      <c r="S430" s="127">
        <f t="shared" si="343"/>
        <v>2.3598732422261834</v>
      </c>
      <c r="T430" s="127">
        <f t="shared" si="344"/>
        <v>2.3530296098237273</v>
      </c>
      <c r="U430" s="79">
        <f t="shared" si="345"/>
        <v>4.655956398758021</v>
      </c>
      <c r="V430" s="127">
        <f t="shared" si="346"/>
        <v>13.248851811598996</v>
      </c>
      <c r="W430" s="127">
        <f t="shared" si="347"/>
        <v>64.857661139496898</v>
      </c>
      <c r="X430"/>
      <c r="Y430"/>
      <c r="Z430" s="133"/>
      <c r="AA430"/>
      <c r="AB430"/>
      <c r="AC430" s="235">
        <v>161</v>
      </c>
      <c r="AD430" s="235">
        <v>91</v>
      </c>
      <c r="AE430" s="235">
        <v>44</v>
      </c>
      <c r="AF430" s="235">
        <v>15</v>
      </c>
    </row>
    <row r="431" spans="1:32">
      <c r="A431" s="1" t="s">
        <v>119</v>
      </c>
      <c r="B431" s="276"/>
      <c r="C431" s="1" t="s">
        <v>324</v>
      </c>
      <c r="D431" s="1" t="s">
        <v>309</v>
      </c>
      <c r="E431" s="127">
        <v>2.4679356160567498</v>
      </c>
      <c r="F431" s="127">
        <v>2.59310723048086</v>
      </c>
      <c r="G431" s="127">
        <v>4.5999999999999996</v>
      </c>
      <c r="H431" s="127">
        <v>4.3977055449330802</v>
      </c>
      <c r="I431" s="127">
        <v>1190</v>
      </c>
      <c r="J431" s="127">
        <v>689.4</v>
      </c>
      <c r="K431" s="127">
        <v>1191.7</v>
      </c>
      <c r="L431" s="127">
        <v>63.71</v>
      </c>
      <c r="M431" s="127">
        <v>63.65</v>
      </c>
      <c r="N431" s="127">
        <v>63.44</v>
      </c>
      <c r="O431" s="127">
        <v>63.31</v>
      </c>
      <c r="P431" s="127">
        <v>63.527500000000003</v>
      </c>
      <c r="Q431" s="79">
        <v>16.66</v>
      </c>
      <c r="R431" s="79">
        <v>3.39</v>
      </c>
      <c r="S431" s="127">
        <f t="shared" si="343"/>
        <v>2.3691021302010746</v>
      </c>
      <c r="T431" s="127">
        <f t="shared" si="344"/>
        <v>2.3622317340234913</v>
      </c>
      <c r="U431" s="79">
        <f t="shared" si="345"/>
        <v>4.2830891270231541</v>
      </c>
      <c r="V431" s="127">
        <f t="shared" si="346"/>
        <v>12.909589255459039</v>
      </c>
      <c r="W431" s="127">
        <f t="shared" si="347"/>
        <v>66.822421362383963</v>
      </c>
      <c r="X431"/>
      <c r="Y431"/>
      <c r="Z431" s="133"/>
      <c r="AA431"/>
      <c r="AB431"/>
      <c r="AC431" s="235">
        <v>161</v>
      </c>
      <c r="AD431" s="235">
        <v>91</v>
      </c>
      <c r="AE431" s="235">
        <v>44</v>
      </c>
      <c r="AF431" s="235">
        <v>15</v>
      </c>
    </row>
    <row r="432" spans="1:32">
      <c r="A432" s="1" t="s">
        <v>119</v>
      </c>
      <c r="B432" s="276"/>
      <c r="C432" s="1" t="s">
        <v>324</v>
      </c>
      <c r="D432" s="1" t="s">
        <v>310</v>
      </c>
      <c r="E432" s="127">
        <v>2.4679356160567498</v>
      </c>
      <c r="F432" s="127">
        <v>2.59310723048086</v>
      </c>
      <c r="G432" s="127">
        <v>4.5999999999999996</v>
      </c>
      <c r="H432" s="127">
        <v>4.3977055449330802</v>
      </c>
      <c r="I432" s="127">
        <v>1171</v>
      </c>
      <c r="J432" s="127">
        <v>678.4</v>
      </c>
      <c r="K432" s="127">
        <v>1174.0999999999999</v>
      </c>
      <c r="L432" s="127">
        <v>63.55</v>
      </c>
      <c r="M432" s="127">
        <v>63.65</v>
      </c>
      <c r="N432" s="127">
        <v>63.57</v>
      </c>
      <c r="O432" s="127">
        <v>63.63</v>
      </c>
      <c r="P432" s="127">
        <v>63.6</v>
      </c>
      <c r="Q432" s="79">
        <v>16.940000000000001</v>
      </c>
      <c r="R432" s="79">
        <v>1.7</v>
      </c>
      <c r="S432" s="127">
        <f t="shared" si="343"/>
        <v>2.3623159168852133</v>
      </c>
      <c r="T432" s="127">
        <f t="shared" si="344"/>
        <v>2.355465200726246</v>
      </c>
      <c r="U432" s="79">
        <f t="shared" si="345"/>
        <v>4.5572669967058665</v>
      </c>
      <c r="V432" s="127">
        <f t="shared" si="346"/>
        <v>13.159056805863159</v>
      </c>
      <c r="W432" s="127">
        <f t="shared" si="347"/>
        <v>65.367829442948164</v>
      </c>
      <c r="X432"/>
      <c r="Y432"/>
      <c r="Z432" s="133"/>
      <c r="AA432"/>
      <c r="AB432"/>
      <c r="AC432" s="235">
        <v>161</v>
      </c>
      <c r="AD432" s="235">
        <v>91</v>
      </c>
      <c r="AE432" s="235">
        <v>44</v>
      </c>
      <c r="AF432" s="235">
        <v>15</v>
      </c>
    </row>
    <row r="433" spans="1:32">
      <c r="A433" s="1" t="s">
        <v>119</v>
      </c>
      <c r="B433" s="276"/>
      <c r="C433" s="1" t="s">
        <v>324</v>
      </c>
      <c r="D433" s="1" t="s">
        <v>311</v>
      </c>
      <c r="E433" s="127">
        <v>2.4679356160567498</v>
      </c>
      <c r="F433" s="127">
        <v>2.59310723048086</v>
      </c>
      <c r="G433" s="127">
        <v>4.5999999999999996</v>
      </c>
      <c r="H433" s="127">
        <v>4.3977055449330802</v>
      </c>
      <c r="I433" s="127">
        <v>1188.4000000000001</v>
      </c>
      <c r="J433" s="127">
        <v>688.9</v>
      </c>
      <c r="K433" s="127">
        <v>1190.3</v>
      </c>
      <c r="L433" s="127">
        <v>64.52</v>
      </c>
      <c r="M433" s="127">
        <v>64.290000000000006</v>
      </c>
      <c r="N433" s="127">
        <v>64.05</v>
      </c>
      <c r="O433" s="127">
        <v>64.150000000000006</v>
      </c>
      <c r="P433" s="127">
        <v>64.252499999999998</v>
      </c>
      <c r="Q433" s="79">
        <v>16.13</v>
      </c>
      <c r="R433" s="79">
        <v>1.19</v>
      </c>
      <c r="S433" s="127">
        <f t="shared" si="343"/>
        <v>2.3701635420821701</v>
      </c>
      <c r="T433" s="127">
        <f t="shared" si="344"/>
        <v>2.3632900678101318</v>
      </c>
      <c r="U433" s="79">
        <f t="shared" si="345"/>
        <v>4.2402057641122699</v>
      </c>
      <c r="V433" s="127">
        <f t="shared" si="346"/>
        <v>12.870570761694935</v>
      </c>
      <c r="W433" s="127">
        <f t="shared" si="347"/>
        <v>67.055029317488689</v>
      </c>
      <c r="X433"/>
      <c r="Y433"/>
      <c r="Z433" s="133"/>
      <c r="AA433"/>
      <c r="AB433"/>
      <c r="AC433" s="235">
        <v>161</v>
      </c>
      <c r="AD433" s="235">
        <v>91</v>
      </c>
      <c r="AE433" s="235">
        <v>44</v>
      </c>
      <c r="AF433" s="235">
        <v>15</v>
      </c>
    </row>
    <row r="434" spans="1:32">
      <c r="A434" s="1" t="s">
        <v>120</v>
      </c>
      <c r="B434" s="280" t="s">
        <v>248</v>
      </c>
      <c r="C434" s="1" t="s">
        <v>314</v>
      </c>
      <c r="D434" s="1" t="s">
        <v>307</v>
      </c>
      <c r="E434" s="142">
        <v>2.5188489999999999</v>
      </c>
      <c r="F434" s="127">
        <v>2.58119910852457</v>
      </c>
      <c r="G434" s="127">
        <v>4.5999999999999996</v>
      </c>
      <c r="H434" s="127">
        <v>4.3977055449330802</v>
      </c>
      <c r="I434" s="127">
        <v>1212.3</v>
      </c>
      <c r="J434" s="127">
        <v>714.3</v>
      </c>
      <c r="K434" s="127">
        <v>1215.5999999999999</v>
      </c>
      <c r="L434" s="127">
        <v>64.92</v>
      </c>
      <c r="M434" s="127">
        <v>64.12</v>
      </c>
      <c r="N434" s="127">
        <v>64.83</v>
      </c>
      <c r="O434" s="127">
        <v>64.81</v>
      </c>
      <c r="P434" s="127">
        <v>64.67</v>
      </c>
      <c r="Q434" s="79">
        <v>17.52</v>
      </c>
      <c r="R434" s="79">
        <v>1.66</v>
      </c>
      <c r="S434" s="127">
        <f t="shared" ref="S434:S483" si="391">I434/(K434-J434)</f>
        <v>2.4183123877917416</v>
      </c>
      <c r="T434" s="127">
        <f t="shared" ref="T434:T483" si="392">0.9971*S434</f>
        <v>2.4112992818671457</v>
      </c>
      <c r="U434" s="79">
        <f t="shared" ref="U434:U483" si="393">100*(1-T434/E434)</f>
        <v>4.2697961701100073</v>
      </c>
      <c r="V434" s="127">
        <f t="shared" ref="V434:V483" si="394">100-T434*(100-H434)/F434</f>
        <v>10.690444916461985</v>
      </c>
      <c r="W434" s="127">
        <f t="shared" ref="W434:W483" si="395">100*(V434-U434)/V434</f>
        <v>60.059696266382318</v>
      </c>
      <c r="X434" s="132">
        <f>AVERAGE(S434:S438)</f>
        <v>2.4069281475495155</v>
      </c>
      <c r="Y434" s="132">
        <f t="shared" ref="Y434" si="396">AVERAGE(T434:T438)</f>
        <v>2.3999480559216217</v>
      </c>
      <c r="Z434" s="133">
        <f t="shared" ref="Z434" si="397">AVERAGE(U434:U438)</f>
        <v>4.7204474773350125</v>
      </c>
      <c r="AA434" s="132">
        <f t="shared" ref="AA434" si="398">AVERAGE(V434:V438)</f>
        <v>11.110870927646493</v>
      </c>
      <c r="AB434" s="132">
        <f t="shared" ref="AB434" si="399">AVERAGE(W434:W438)</f>
        <v>57.549920465162621</v>
      </c>
      <c r="AC434" s="236">
        <v>258</v>
      </c>
      <c r="AD434" s="235">
        <v>72.2</v>
      </c>
      <c r="AE434" s="235">
        <v>47.6</v>
      </c>
      <c r="AF434" s="235">
        <v>8.1999999999999993</v>
      </c>
    </row>
    <row r="435" spans="1:32">
      <c r="A435" s="1" t="s">
        <v>120</v>
      </c>
      <c r="B435" s="280"/>
      <c r="C435" s="1" t="s">
        <v>314</v>
      </c>
      <c r="D435" s="1" t="s">
        <v>308</v>
      </c>
      <c r="E435" s="142">
        <v>2.5188489999999999</v>
      </c>
      <c r="F435" s="127">
        <v>2.58119910852457</v>
      </c>
      <c r="G435" s="127">
        <v>4.5999999999999996</v>
      </c>
      <c r="H435" s="127">
        <v>4.3977055449330802</v>
      </c>
      <c r="I435" s="127">
        <v>1208.7</v>
      </c>
      <c r="J435" s="127">
        <v>710.4</v>
      </c>
      <c r="K435" s="127">
        <v>1214</v>
      </c>
      <c r="L435" s="127">
        <v>64.77</v>
      </c>
      <c r="M435" s="127">
        <v>64.69</v>
      </c>
      <c r="N435" s="127">
        <v>64.56</v>
      </c>
      <c r="O435" s="127">
        <v>64.459999999999994</v>
      </c>
      <c r="P435" s="127">
        <v>64.62</v>
      </c>
      <c r="Q435" s="79">
        <v>16.899999999999999</v>
      </c>
      <c r="R435" s="79">
        <v>1.51</v>
      </c>
      <c r="S435" s="127">
        <f t="shared" si="391"/>
        <v>2.4001191421763304</v>
      </c>
      <c r="T435" s="127">
        <f t="shared" si="392"/>
        <v>2.3931587966640189</v>
      </c>
      <c r="U435" s="79">
        <f t="shared" si="393"/>
        <v>4.9899856377250469</v>
      </c>
      <c r="V435" s="127">
        <f t="shared" si="394"/>
        <v>11.362331096113749</v>
      </c>
      <c r="W435" s="127">
        <f t="shared" si="395"/>
        <v>56.083081935257383</v>
      </c>
      <c r="AC435" s="236">
        <v>258</v>
      </c>
      <c r="AD435" s="235">
        <v>72.2</v>
      </c>
      <c r="AE435" s="235">
        <v>47.6</v>
      </c>
      <c r="AF435" s="235">
        <v>8.1999999999999993</v>
      </c>
    </row>
    <row r="436" spans="1:32">
      <c r="A436" s="1" t="s">
        <v>120</v>
      </c>
      <c r="B436" s="280"/>
      <c r="C436" s="1" t="s">
        <v>314</v>
      </c>
      <c r="D436" s="1" t="s">
        <v>309</v>
      </c>
      <c r="E436" s="142">
        <v>2.5188489999999999</v>
      </c>
      <c r="F436" s="127">
        <v>2.58119910852457</v>
      </c>
      <c r="G436" s="127">
        <v>4.5999999999999996</v>
      </c>
      <c r="H436" s="127">
        <v>4.3977055449330802</v>
      </c>
      <c r="I436" s="127">
        <v>1193.3</v>
      </c>
      <c r="J436" s="127">
        <v>702.8</v>
      </c>
      <c r="K436" s="127">
        <v>1200.0999999999999</v>
      </c>
      <c r="L436" s="127">
        <v>63.71</v>
      </c>
      <c r="M436" s="127">
        <v>63.65</v>
      </c>
      <c r="N436" s="127">
        <v>63.44</v>
      </c>
      <c r="O436" s="127">
        <v>63.31</v>
      </c>
      <c r="P436" s="127">
        <v>63.527500000000003</v>
      </c>
      <c r="Q436" s="79">
        <v>16.66</v>
      </c>
      <c r="R436" s="79">
        <v>3.39</v>
      </c>
      <c r="S436" s="127">
        <f t="shared" si="391"/>
        <v>2.3995576110999397</v>
      </c>
      <c r="T436" s="127">
        <f t="shared" si="392"/>
        <v>2.3925988940277501</v>
      </c>
      <c r="U436" s="79">
        <f t="shared" si="393"/>
        <v>5.0122141490914984</v>
      </c>
      <c r="V436" s="127">
        <f t="shared" si="394"/>
        <v>11.383068735655769</v>
      </c>
      <c r="W436" s="127">
        <f t="shared" si="395"/>
        <v>55.967812674349545</v>
      </c>
      <c r="AC436" s="236">
        <v>258</v>
      </c>
      <c r="AD436" s="235">
        <v>72.2</v>
      </c>
      <c r="AE436" s="235">
        <v>47.6</v>
      </c>
      <c r="AF436" s="235">
        <v>8.1999999999999993</v>
      </c>
    </row>
    <row r="437" spans="1:32">
      <c r="A437" s="1" t="s">
        <v>120</v>
      </c>
      <c r="B437" s="280"/>
      <c r="C437" s="1" t="s">
        <v>314</v>
      </c>
      <c r="D437" s="1" t="s">
        <v>310</v>
      </c>
      <c r="E437" s="142">
        <v>2.5188489999999999</v>
      </c>
      <c r="F437" s="127">
        <v>2.58119910852457</v>
      </c>
      <c r="G437" s="127">
        <v>4.5999999999999996</v>
      </c>
      <c r="H437" s="127">
        <v>4.3977055449330802</v>
      </c>
      <c r="I437" s="127">
        <v>1199.3</v>
      </c>
      <c r="J437" s="127">
        <v>708.5</v>
      </c>
      <c r="K437" s="127">
        <v>1206.0999999999999</v>
      </c>
      <c r="L437" s="127">
        <v>63.55</v>
      </c>
      <c r="M437" s="127">
        <v>63.65</v>
      </c>
      <c r="N437" s="127">
        <v>63.57</v>
      </c>
      <c r="O437" s="127">
        <v>63.63</v>
      </c>
      <c r="P437" s="127">
        <v>63.6</v>
      </c>
      <c r="Q437" s="79">
        <v>16.940000000000001</v>
      </c>
      <c r="R437" s="79">
        <v>1.7</v>
      </c>
      <c r="S437" s="127">
        <f t="shared" si="391"/>
        <v>2.4101688102893895</v>
      </c>
      <c r="T437" s="127">
        <f t="shared" si="392"/>
        <v>2.4031793207395502</v>
      </c>
      <c r="U437" s="79">
        <f t="shared" si="393"/>
        <v>4.5921640900446814</v>
      </c>
      <c r="V437" s="127">
        <f t="shared" si="394"/>
        <v>10.991191539270105</v>
      </c>
      <c r="W437" s="127">
        <f t="shared" si="395"/>
        <v>58.219597268981495</v>
      </c>
      <c r="AC437" s="236">
        <v>258</v>
      </c>
      <c r="AD437" s="235">
        <v>72.2</v>
      </c>
      <c r="AE437" s="235">
        <v>47.6</v>
      </c>
      <c r="AF437" s="235">
        <v>8.1999999999999993</v>
      </c>
    </row>
    <row r="438" spans="1:32">
      <c r="A438" s="1" t="s">
        <v>120</v>
      </c>
      <c r="B438" s="280"/>
      <c r="C438" s="1" t="s">
        <v>314</v>
      </c>
      <c r="D438" s="1" t="s">
        <v>311</v>
      </c>
      <c r="E438" s="142">
        <v>2.5188489999999999</v>
      </c>
      <c r="F438" s="127">
        <v>2.58119910852457</v>
      </c>
      <c r="G438" s="127">
        <v>4.5999999999999996</v>
      </c>
      <c r="H438" s="127">
        <v>4.3977055449330802</v>
      </c>
      <c r="I438" s="127">
        <v>1195.3</v>
      </c>
      <c r="J438" s="127">
        <v>703.9</v>
      </c>
      <c r="K438" s="127">
        <v>1200.5999999999999</v>
      </c>
      <c r="L438" s="127">
        <v>64.52</v>
      </c>
      <c r="M438" s="127">
        <v>64.290000000000006</v>
      </c>
      <c r="N438" s="127">
        <v>64.05</v>
      </c>
      <c r="O438" s="127">
        <v>64.150000000000006</v>
      </c>
      <c r="P438" s="127">
        <v>64.252499999999998</v>
      </c>
      <c r="Q438" s="79">
        <v>16.13</v>
      </c>
      <c r="R438" s="79">
        <v>1.19</v>
      </c>
      <c r="S438" s="127">
        <f t="shared" si="391"/>
        <v>2.4064827863901752</v>
      </c>
      <c r="T438" s="127">
        <f t="shared" si="392"/>
        <v>2.3995039863096435</v>
      </c>
      <c r="U438" s="79">
        <f t="shared" si="393"/>
        <v>4.7380773397038283</v>
      </c>
      <c r="V438" s="127">
        <f t="shared" si="394"/>
        <v>11.12731835073086</v>
      </c>
      <c r="W438" s="127">
        <f t="shared" si="395"/>
        <v>57.419414180842374</v>
      </c>
      <c r="AC438" s="236">
        <v>258</v>
      </c>
      <c r="AD438" s="235">
        <v>72.2</v>
      </c>
      <c r="AE438" s="235">
        <v>47.6</v>
      </c>
      <c r="AF438" s="235">
        <v>8.1999999999999993</v>
      </c>
    </row>
    <row r="439" spans="1:32">
      <c r="A439" s="1" t="s">
        <v>120</v>
      </c>
      <c r="B439" s="280"/>
      <c r="C439" s="1" t="s">
        <v>324</v>
      </c>
      <c r="D439" s="1" t="s">
        <v>307</v>
      </c>
      <c r="E439" s="127">
        <v>2.5160207871330802</v>
      </c>
      <c r="F439" s="127">
        <v>2.5780199225773699</v>
      </c>
      <c r="G439" s="127">
        <v>4.5999999999999996</v>
      </c>
      <c r="H439" s="127">
        <v>4.3977055449330802</v>
      </c>
      <c r="I439" s="127">
        <v>1217.3</v>
      </c>
      <c r="J439" s="127">
        <v>717.1</v>
      </c>
      <c r="K439" s="127">
        <v>1219.0999999999999</v>
      </c>
      <c r="L439" s="127">
        <v>64.48</v>
      </c>
      <c r="M439" s="127">
        <v>64.87</v>
      </c>
      <c r="N439" s="127">
        <v>64.23</v>
      </c>
      <c r="O439" s="127">
        <v>64.760000000000005</v>
      </c>
      <c r="P439" s="127">
        <v>64.584999999999994</v>
      </c>
      <c r="Q439" s="79">
        <v>16.25</v>
      </c>
      <c r="R439" s="79">
        <v>3.07</v>
      </c>
      <c r="S439" s="127">
        <f t="shared" si="391"/>
        <v>2.4249003984063751</v>
      </c>
      <c r="T439" s="127">
        <f t="shared" si="392"/>
        <v>2.4178681872509964</v>
      </c>
      <c r="U439" s="79">
        <f t="shared" si="393"/>
        <v>3.9011044894396663</v>
      </c>
      <c r="V439" s="127">
        <f t="shared" si="394"/>
        <v>10.336710602293095</v>
      </c>
      <c r="W439" s="127">
        <f t="shared" si="395"/>
        <v>62.2597106610081</v>
      </c>
      <c r="X439" s="132">
        <f>AVERAGE(S439:S443)</f>
        <v>2.4135632387437758</v>
      </c>
      <c r="Y439" s="132">
        <f t="shared" ref="Y439" si="400">AVERAGE(T439:T443)</f>
        <v>2.4065639053514185</v>
      </c>
      <c r="Z439" s="133">
        <f t="shared" ref="Z439" si="401">AVERAGE(U439:U443)</f>
        <v>4.3503965603711832</v>
      </c>
      <c r="AA439" s="132">
        <f t="shared" ref="AA439" si="402">AVERAGE(V439:V443)</f>
        <v>10.75591422337531</v>
      </c>
      <c r="AB439" s="132">
        <f t="shared" ref="AB439" si="403">AVERAGE(W439:W443)</f>
        <v>59.723544824767245</v>
      </c>
      <c r="AC439" s="235">
        <v>161</v>
      </c>
      <c r="AD439" s="235">
        <v>91</v>
      </c>
      <c r="AE439" s="235">
        <v>44</v>
      </c>
      <c r="AF439" s="235">
        <v>15</v>
      </c>
    </row>
    <row r="440" spans="1:32">
      <c r="A440" s="1" t="s">
        <v>120</v>
      </c>
      <c r="B440" s="280"/>
      <c r="C440" s="1" t="s">
        <v>324</v>
      </c>
      <c r="D440" s="1" t="s">
        <v>308</v>
      </c>
      <c r="E440" s="127">
        <v>2.5160207871330802</v>
      </c>
      <c r="F440" s="127">
        <v>2.5780199225773699</v>
      </c>
      <c r="G440" s="127">
        <v>4.5999999999999996</v>
      </c>
      <c r="H440" s="127">
        <v>4.3977055449330802</v>
      </c>
      <c r="I440" s="127">
        <v>1209.4000000000001</v>
      </c>
      <c r="J440" s="127">
        <v>710.1</v>
      </c>
      <c r="K440" s="127">
        <v>1214.2</v>
      </c>
      <c r="L440" s="127">
        <v>63.3</v>
      </c>
      <c r="M440" s="127">
        <v>63.98</v>
      </c>
      <c r="N440" s="127">
        <v>64.03</v>
      </c>
      <c r="O440" s="127">
        <v>62.97</v>
      </c>
      <c r="P440" s="127">
        <v>63.57</v>
      </c>
      <c r="Q440" s="79">
        <v>19.22</v>
      </c>
      <c r="R440" s="79">
        <v>2.97</v>
      </c>
      <c r="S440" s="127">
        <f t="shared" si="391"/>
        <v>2.3991271573100574</v>
      </c>
      <c r="T440" s="127">
        <f t="shared" si="392"/>
        <v>2.3921696885538584</v>
      </c>
      <c r="U440" s="79">
        <f t="shared" si="393"/>
        <v>4.9224990195866347</v>
      </c>
      <c r="V440" s="127">
        <f t="shared" si="394"/>
        <v>11.289703796015488</v>
      </c>
      <c r="W440" s="127">
        <f t="shared" si="395"/>
        <v>56.398333308585578</v>
      </c>
      <c r="AC440" s="235">
        <v>161</v>
      </c>
      <c r="AD440" s="235">
        <v>91</v>
      </c>
      <c r="AE440" s="235">
        <v>44</v>
      </c>
      <c r="AF440" s="235">
        <v>15</v>
      </c>
    </row>
    <row r="441" spans="1:32">
      <c r="A441" s="1" t="s">
        <v>120</v>
      </c>
      <c r="B441" s="280"/>
      <c r="C441" s="1" t="s">
        <v>324</v>
      </c>
      <c r="D441" s="1" t="s">
        <v>309</v>
      </c>
      <c r="E441" s="127">
        <v>2.5160207871330802</v>
      </c>
      <c r="F441" s="127">
        <v>2.5780199225773699</v>
      </c>
      <c r="G441" s="127">
        <v>4.5999999999999996</v>
      </c>
      <c r="H441" s="127">
        <v>4.3977055449330802</v>
      </c>
      <c r="I441" s="127">
        <v>1217.5999999999999</v>
      </c>
      <c r="J441" s="127">
        <v>719.6</v>
      </c>
      <c r="K441" s="127">
        <v>1219.4000000000001</v>
      </c>
      <c r="L441" s="127">
        <v>63.14</v>
      </c>
      <c r="M441" s="127">
        <v>63.5</v>
      </c>
      <c r="N441" s="127">
        <v>63.54</v>
      </c>
      <c r="O441" s="127">
        <v>63.18</v>
      </c>
      <c r="P441" s="127">
        <v>63.34</v>
      </c>
      <c r="Q441" s="79">
        <v>16.68</v>
      </c>
      <c r="R441" s="79">
        <v>2.63</v>
      </c>
      <c r="S441" s="127">
        <f t="shared" si="391"/>
        <v>2.4361744697879146</v>
      </c>
      <c r="T441" s="127">
        <f t="shared" si="392"/>
        <v>2.4291095638255298</v>
      </c>
      <c r="U441" s="79">
        <f t="shared" si="393"/>
        <v>3.4543126094988552</v>
      </c>
      <c r="V441" s="127">
        <f t="shared" si="394"/>
        <v>9.9198397379731773</v>
      </c>
      <c r="W441" s="127">
        <f t="shared" si="395"/>
        <v>65.177737738284875</v>
      </c>
      <c r="AC441" s="235">
        <v>161</v>
      </c>
      <c r="AD441" s="235">
        <v>91</v>
      </c>
      <c r="AE441" s="235">
        <v>44</v>
      </c>
      <c r="AF441" s="235">
        <v>15</v>
      </c>
    </row>
    <row r="442" spans="1:32">
      <c r="A442" s="1" t="s">
        <v>120</v>
      </c>
      <c r="B442" s="280"/>
      <c r="C442" s="1" t="s">
        <v>324</v>
      </c>
      <c r="D442" s="1" t="s">
        <v>310</v>
      </c>
      <c r="E442" s="127">
        <v>2.5160207871330802</v>
      </c>
      <c r="F442" s="127">
        <v>2.5780199225773699</v>
      </c>
      <c r="G442" s="127">
        <v>4.5999999999999996</v>
      </c>
      <c r="H442" s="127">
        <v>4.3977055449330802</v>
      </c>
      <c r="I442" s="127">
        <v>1201.5999999999999</v>
      </c>
      <c r="J442" s="127">
        <v>707</v>
      </c>
      <c r="K442" s="127">
        <v>1207.3</v>
      </c>
      <c r="L442" s="127">
        <v>64.62</v>
      </c>
      <c r="M442" s="127">
        <v>64.63</v>
      </c>
      <c r="N442" s="127">
        <v>64.349999999999994</v>
      </c>
      <c r="O442" s="127">
        <v>64.72</v>
      </c>
      <c r="P442" s="127">
        <v>64.58</v>
      </c>
      <c r="Q442" s="79">
        <v>17.55</v>
      </c>
      <c r="R442" s="79">
        <v>2.23</v>
      </c>
      <c r="S442" s="127">
        <f t="shared" si="391"/>
        <v>2.4017589446332201</v>
      </c>
      <c r="T442" s="127">
        <f t="shared" si="392"/>
        <v>2.3947938436937837</v>
      </c>
      <c r="U442" s="79">
        <f t="shared" si="393"/>
        <v>4.8182011873371895</v>
      </c>
      <c r="V442" s="127">
        <f t="shared" si="394"/>
        <v>11.192390640990638</v>
      </c>
      <c r="W442" s="127">
        <f t="shared" si="395"/>
        <v>56.951098814482307</v>
      </c>
      <c r="AC442" s="235">
        <v>161</v>
      </c>
      <c r="AD442" s="235">
        <v>91</v>
      </c>
      <c r="AE442" s="235">
        <v>44</v>
      </c>
      <c r="AF442" s="235">
        <v>15</v>
      </c>
    </row>
    <row r="443" spans="1:32">
      <c r="A443" s="1" t="s">
        <v>120</v>
      </c>
      <c r="B443" s="280"/>
      <c r="C443" s="1" t="s">
        <v>324</v>
      </c>
      <c r="D443" s="1" t="s">
        <v>311</v>
      </c>
      <c r="E443" s="127">
        <v>2.5160207871330802</v>
      </c>
      <c r="F443" s="127">
        <v>2.5780199225773699</v>
      </c>
      <c r="G443" s="127">
        <v>4.5999999999999996</v>
      </c>
      <c r="H443" s="127">
        <v>4.3977055449330802</v>
      </c>
      <c r="I443" s="127">
        <v>1199.8</v>
      </c>
      <c r="J443" s="127">
        <v>706.7</v>
      </c>
      <c r="K443" s="127">
        <v>1205.4000000000001</v>
      </c>
      <c r="L443" s="127">
        <v>64.61</v>
      </c>
      <c r="M443" s="127">
        <v>64.069999999999993</v>
      </c>
      <c r="N443" s="127">
        <v>64.78</v>
      </c>
      <c r="O443" s="127">
        <v>64.67</v>
      </c>
      <c r="P443" s="127">
        <v>64.532499999999999</v>
      </c>
      <c r="Q443" s="79">
        <v>17.940000000000001</v>
      </c>
      <c r="R443" s="79">
        <v>3.41</v>
      </c>
      <c r="S443" s="127">
        <f t="shared" si="391"/>
        <v>2.4058552235813111</v>
      </c>
      <c r="T443" s="127">
        <f t="shared" si="392"/>
        <v>2.3988782434329252</v>
      </c>
      <c r="U443" s="79">
        <f t="shared" si="393"/>
        <v>4.6558654959935719</v>
      </c>
      <c r="V443" s="127">
        <f t="shared" si="394"/>
        <v>11.040926339604155</v>
      </c>
      <c r="W443" s="127">
        <f t="shared" si="395"/>
        <v>57.830843601475415</v>
      </c>
      <c r="AC443" s="235">
        <v>161</v>
      </c>
      <c r="AD443" s="235">
        <v>91</v>
      </c>
      <c r="AE443" s="235">
        <v>44</v>
      </c>
      <c r="AF443" s="235">
        <v>15</v>
      </c>
    </row>
    <row r="444" spans="1:32" ht="14.4">
      <c r="A444" s="143" t="s">
        <v>123</v>
      </c>
      <c r="B444" s="280" t="s">
        <v>218</v>
      </c>
      <c r="C444" s="1" t="s">
        <v>304</v>
      </c>
      <c r="D444" s="1" t="s">
        <v>307</v>
      </c>
      <c r="E444" s="144">
        <v>2.5464866676839502</v>
      </c>
      <c r="F444" s="144">
        <v>2.6494842085792101</v>
      </c>
      <c r="G444" s="127">
        <v>4.8</v>
      </c>
      <c r="H444" s="127">
        <v>4.5801526717557302</v>
      </c>
      <c r="I444" s="127">
        <v>1226.7</v>
      </c>
      <c r="J444" s="127">
        <v>723.4</v>
      </c>
      <c r="K444" s="127">
        <v>1228.0999999999999</v>
      </c>
      <c r="L444" s="127">
        <v>63.67</v>
      </c>
      <c r="M444" s="127">
        <v>63.48</v>
      </c>
      <c r="N444" s="127">
        <v>63.42</v>
      </c>
      <c r="O444" s="127">
        <v>63.62</v>
      </c>
      <c r="P444" s="127">
        <v>63.547499999999999</v>
      </c>
      <c r="Q444" s="79">
        <v>14.6</v>
      </c>
      <c r="R444" s="79">
        <v>2.98</v>
      </c>
      <c r="S444" s="127">
        <f t="shared" si="391"/>
        <v>2.4305528036457305</v>
      </c>
      <c r="T444" s="127">
        <f t="shared" si="392"/>
        <v>2.4235042005151577</v>
      </c>
      <c r="U444" s="79">
        <f t="shared" si="393"/>
        <v>4.8294958198483728</v>
      </c>
      <c r="V444" s="127">
        <f t="shared" si="394"/>
        <v>12.718709527042847</v>
      </c>
      <c r="W444" s="127">
        <f t="shared" si="395"/>
        <v>62.0284132633128</v>
      </c>
      <c r="X444" s="132">
        <f>AVERAGE(S444:S448)</f>
        <v>2.4493892910576287</v>
      </c>
      <c r="Y444" s="132">
        <f t="shared" ref="Y444" si="404">AVERAGE(T444:T448)</f>
        <v>2.442286062113562</v>
      </c>
      <c r="Z444" s="133">
        <f t="shared" ref="Z444" si="405">AVERAGE(U444:U448)</f>
        <v>4.0919360345663947</v>
      </c>
      <c r="AA444" s="132">
        <f t="shared" ref="AA444" si="406">AVERAGE(V444:V448)</f>
        <v>12.042290184569783</v>
      </c>
      <c r="AB444" s="132">
        <f t="shared" ref="AB444" si="407">AVERAGE(W444:W448)</f>
        <v>66.535771200955182</v>
      </c>
      <c r="AC444" s="235">
        <v>144</v>
      </c>
      <c r="AD444" s="235">
        <v>107.8</v>
      </c>
      <c r="AE444" s="235">
        <v>43.95</v>
      </c>
      <c r="AF444" s="235">
        <v>60.3</v>
      </c>
    </row>
    <row r="445" spans="1:32" ht="14.4">
      <c r="A445" s="143" t="s">
        <v>123</v>
      </c>
      <c r="B445" s="276"/>
      <c r="C445" s="1" t="s">
        <v>304</v>
      </c>
      <c r="D445" s="1" t="s">
        <v>308</v>
      </c>
      <c r="E445" s="144">
        <v>2.5464866676839502</v>
      </c>
      <c r="F445" s="144">
        <v>2.6494842085792101</v>
      </c>
      <c r="G445" s="127">
        <v>4.8</v>
      </c>
      <c r="H445" s="127">
        <v>4.5801526717557302</v>
      </c>
      <c r="I445" s="127">
        <v>1235.0999999999999</v>
      </c>
      <c r="J445" s="127">
        <v>724.2</v>
      </c>
      <c r="K445" s="127">
        <v>1238.3</v>
      </c>
      <c r="L445" s="127">
        <v>65.94</v>
      </c>
      <c r="M445" s="127">
        <v>65.62</v>
      </c>
      <c r="N445" s="127">
        <v>65.010000000000005</v>
      </c>
      <c r="O445" s="127">
        <v>64.84</v>
      </c>
      <c r="P445" s="127">
        <v>65.352500000000006</v>
      </c>
      <c r="Q445" s="79">
        <v>15.69</v>
      </c>
      <c r="R445" s="79">
        <v>2.67</v>
      </c>
      <c r="S445" s="127">
        <f t="shared" si="391"/>
        <v>2.4024508850418207</v>
      </c>
      <c r="T445" s="127">
        <f t="shared" si="392"/>
        <v>2.3954837774751994</v>
      </c>
      <c r="U445" s="79">
        <f t="shared" si="393"/>
        <v>5.9298519848952953</v>
      </c>
      <c r="V445" s="127">
        <f t="shared" si="394"/>
        <v>13.727851034619306</v>
      </c>
      <c r="W445" s="127">
        <f t="shared" si="395"/>
        <v>56.80422252586208</v>
      </c>
      <c r="X445"/>
      <c r="Y445"/>
      <c r="Z445" s="133"/>
      <c r="AA445"/>
      <c r="AB445"/>
      <c r="AC445" s="235">
        <v>144</v>
      </c>
      <c r="AD445" s="235">
        <v>107.8</v>
      </c>
      <c r="AE445" s="235">
        <v>43.95</v>
      </c>
      <c r="AF445" s="235">
        <v>60.3</v>
      </c>
    </row>
    <row r="446" spans="1:32" ht="14.4">
      <c r="A446" s="143" t="s">
        <v>123</v>
      </c>
      <c r="B446" s="276"/>
      <c r="C446" s="1" t="s">
        <v>304</v>
      </c>
      <c r="D446" s="1" t="s">
        <v>309</v>
      </c>
      <c r="E446" s="144">
        <v>2.5464866676839502</v>
      </c>
      <c r="F446" s="144">
        <v>2.6494842085792101</v>
      </c>
      <c r="G446" s="127">
        <v>4.8</v>
      </c>
      <c r="H446" s="127">
        <v>4.5801526717557302</v>
      </c>
      <c r="I446" s="127">
        <v>1231.4000000000001</v>
      </c>
      <c r="J446" s="127">
        <v>733.4</v>
      </c>
      <c r="K446" s="127">
        <v>1232.5999999999999</v>
      </c>
      <c r="L446" s="127">
        <v>62.95</v>
      </c>
      <c r="M446" s="127">
        <v>62.94</v>
      </c>
      <c r="N446" s="127">
        <v>62.75</v>
      </c>
      <c r="O446" s="127">
        <v>62.97</v>
      </c>
      <c r="P446" s="127">
        <v>62.902500000000003</v>
      </c>
      <c r="Q446" s="79">
        <v>14.95</v>
      </c>
      <c r="R446" s="79">
        <v>3.23</v>
      </c>
      <c r="S446" s="127">
        <f t="shared" si="391"/>
        <v>2.4667467948717956</v>
      </c>
      <c r="T446" s="127">
        <f t="shared" si="392"/>
        <v>2.4595932291666673</v>
      </c>
      <c r="U446" s="79">
        <f t="shared" si="393"/>
        <v>3.4122871963163659</v>
      </c>
      <c r="V446" s="127">
        <f t="shared" si="394"/>
        <v>11.418981227851233</v>
      </c>
      <c r="W446" s="127">
        <f t="shared" si="395"/>
        <v>70.117411280143827</v>
      </c>
      <c r="X446"/>
      <c r="Y446"/>
      <c r="Z446" s="133"/>
      <c r="AA446"/>
      <c r="AB446"/>
      <c r="AC446" s="235">
        <v>144</v>
      </c>
      <c r="AD446" s="235">
        <v>107.8</v>
      </c>
      <c r="AE446" s="235">
        <v>43.95</v>
      </c>
      <c r="AF446" s="235">
        <v>60.3</v>
      </c>
    </row>
    <row r="447" spans="1:32" ht="14.4">
      <c r="A447" s="143" t="s">
        <v>123</v>
      </c>
      <c r="B447" s="276"/>
      <c r="C447" s="1" t="s">
        <v>304</v>
      </c>
      <c r="D447" s="1" t="s">
        <v>310</v>
      </c>
      <c r="E447" s="144">
        <v>2.5464866676839502</v>
      </c>
      <c r="F447" s="144">
        <v>2.6494842085792101</v>
      </c>
      <c r="G447" s="127">
        <v>4.8</v>
      </c>
      <c r="H447" s="127">
        <v>4.5801526717557302</v>
      </c>
      <c r="I447" s="127">
        <v>1232</v>
      </c>
      <c r="J447" s="127">
        <v>734.5</v>
      </c>
      <c r="K447" s="127">
        <v>1233</v>
      </c>
      <c r="L447" s="127">
        <v>62.6</v>
      </c>
      <c r="M447" s="127">
        <v>62.65</v>
      </c>
      <c r="N447" s="127">
        <v>62.89</v>
      </c>
      <c r="O447" s="127">
        <v>62.78</v>
      </c>
      <c r="P447" s="127">
        <v>62.73</v>
      </c>
      <c r="Q447" s="79">
        <v>15.32</v>
      </c>
      <c r="R447" s="79">
        <v>2.0099999999999998</v>
      </c>
      <c r="S447" s="127">
        <f t="shared" si="391"/>
        <v>2.4714142427281844</v>
      </c>
      <c r="T447" s="127">
        <f t="shared" si="392"/>
        <v>2.4642471414242726</v>
      </c>
      <c r="U447" s="79">
        <f t="shared" si="393"/>
        <v>3.229529033210099</v>
      </c>
      <c r="V447" s="127">
        <f t="shared" si="394"/>
        <v>11.251372907838686</v>
      </c>
      <c r="W447" s="127">
        <f t="shared" si="395"/>
        <v>71.296578118390087</v>
      </c>
      <c r="X447"/>
      <c r="Y447"/>
      <c r="Z447" s="133"/>
      <c r="AA447"/>
      <c r="AB447"/>
      <c r="AC447" s="235">
        <v>144</v>
      </c>
      <c r="AD447" s="235">
        <v>107.8</v>
      </c>
      <c r="AE447" s="235">
        <v>43.95</v>
      </c>
      <c r="AF447" s="235">
        <v>60.3</v>
      </c>
    </row>
    <row r="448" spans="1:32" ht="14.4">
      <c r="A448" s="143" t="s">
        <v>123</v>
      </c>
      <c r="B448" s="276"/>
      <c r="C448" s="1" t="s">
        <v>304</v>
      </c>
      <c r="D448" s="1" t="s">
        <v>311</v>
      </c>
      <c r="E448" s="144">
        <v>2.5464866676839502</v>
      </c>
      <c r="F448" s="144">
        <v>2.6494842085792101</v>
      </c>
      <c r="G448" s="127">
        <v>4.8</v>
      </c>
      <c r="H448" s="127">
        <v>4.5801526717557302</v>
      </c>
      <c r="I448" s="127">
        <v>1211.4000000000001</v>
      </c>
      <c r="J448" s="127">
        <v>723.1</v>
      </c>
      <c r="K448" s="127">
        <v>1212.4000000000001</v>
      </c>
      <c r="L448" s="127">
        <v>61.82</v>
      </c>
      <c r="M448" s="127">
        <v>61.59</v>
      </c>
      <c r="N448" s="127">
        <v>61.62</v>
      </c>
      <c r="O448" s="127">
        <v>61.93</v>
      </c>
      <c r="P448" s="127">
        <v>61.74</v>
      </c>
      <c r="Q448" s="79">
        <v>13.16</v>
      </c>
      <c r="R448" s="79">
        <v>3.61</v>
      </c>
      <c r="S448" s="127">
        <f t="shared" si="391"/>
        <v>2.4757817290006128</v>
      </c>
      <c r="T448" s="127">
        <f t="shared" si="392"/>
        <v>2.4686019619865109</v>
      </c>
      <c r="U448" s="79">
        <f t="shared" si="393"/>
        <v>3.0585161385618398</v>
      </c>
      <c r="V448" s="127">
        <f t="shared" si="394"/>
        <v>11.094536225496839</v>
      </c>
      <c r="W448" s="127">
        <f t="shared" si="395"/>
        <v>72.432230817067136</v>
      </c>
      <c r="X448"/>
      <c r="Y448"/>
      <c r="Z448" s="133"/>
      <c r="AA448"/>
      <c r="AB448"/>
      <c r="AC448" s="235">
        <v>144</v>
      </c>
      <c r="AD448" s="235">
        <v>107.8</v>
      </c>
      <c r="AE448" s="235">
        <v>43.95</v>
      </c>
      <c r="AF448" s="235">
        <v>60.3</v>
      </c>
    </row>
    <row r="449" spans="1:32" ht="14.4">
      <c r="A449" s="143" t="s">
        <v>124</v>
      </c>
      <c r="B449" s="280" t="s">
        <v>254</v>
      </c>
      <c r="C449" s="1" t="s">
        <v>306</v>
      </c>
      <c r="D449" s="1" t="s">
        <v>307</v>
      </c>
      <c r="E449" s="144">
        <v>2.4888350620172299</v>
      </c>
      <c r="F449" s="144">
        <v>2.64593319938268</v>
      </c>
      <c r="G449" s="127">
        <v>4.5999999999999996</v>
      </c>
      <c r="H449" s="127">
        <v>4.3977055449330802</v>
      </c>
      <c r="I449" s="127">
        <v>1211</v>
      </c>
      <c r="J449" s="127">
        <v>707.2</v>
      </c>
      <c r="K449" s="127">
        <v>1213.8</v>
      </c>
      <c r="L449" s="127">
        <v>63.98</v>
      </c>
      <c r="M449" s="127">
        <v>63.87</v>
      </c>
      <c r="N449" s="127">
        <v>64.150000000000006</v>
      </c>
      <c r="O449" s="127">
        <v>64.16</v>
      </c>
      <c r="P449" s="127">
        <v>64.040000000000006</v>
      </c>
      <c r="Q449" s="79">
        <v>14.6</v>
      </c>
      <c r="R449" s="79">
        <v>2.1800000000000002</v>
      </c>
      <c r="S449" s="127">
        <f t="shared" si="391"/>
        <v>2.3904461113304385</v>
      </c>
      <c r="T449" s="127">
        <f t="shared" si="392"/>
        <v>2.3835138176075801</v>
      </c>
      <c r="U449" s="79">
        <f t="shared" si="393"/>
        <v>4.2317486609291688</v>
      </c>
      <c r="V449" s="127">
        <f t="shared" si="394"/>
        <v>13.879386720040955</v>
      </c>
      <c r="W449" s="127">
        <f t="shared" si="395"/>
        <v>69.510550096433363</v>
      </c>
      <c r="X449" s="132">
        <f>AVERAGE(S449:S453)</f>
        <v>2.3933039266061753</v>
      </c>
      <c r="Y449" s="132">
        <f t="shared" ref="Y449" si="408">AVERAGE(T449:T453)</f>
        <v>2.3863633452190172</v>
      </c>
      <c r="Z449" s="133">
        <f t="shared" ref="Z449" si="409">AVERAGE(U449:U453)</f>
        <v>4.1172562361427918</v>
      </c>
      <c r="AA449" s="132">
        <f t="shared" ref="AA449" si="410">AVERAGE(V449:V453)</f>
        <v>13.776428195679866</v>
      </c>
      <c r="AB449" s="132">
        <f t="shared" ref="AB449" si="411">AVERAGE(W449:W453)</f>
        <v>70.117728801812248</v>
      </c>
      <c r="AC449" s="235">
        <v>161</v>
      </c>
      <c r="AD449" s="235">
        <v>91</v>
      </c>
      <c r="AE449" s="235">
        <v>44</v>
      </c>
      <c r="AF449" s="235">
        <v>15</v>
      </c>
    </row>
    <row r="450" spans="1:32" ht="14.4">
      <c r="A450" s="143" t="s">
        <v>124</v>
      </c>
      <c r="B450" s="276"/>
      <c r="C450" s="1" t="s">
        <v>306</v>
      </c>
      <c r="D450" s="1" t="s">
        <v>308</v>
      </c>
      <c r="E450" s="144">
        <v>2.4888350620172299</v>
      </c>
      <c r="F450" s="144">
        <v>2.64593319938268</v>
      </c>
      <c r="G450" s="127">
        <v>4.5999999999999996</v>
      </c>
      <c r="H450" s="127">
        <v>4.3977055449330802</v>
      </c>
      <c r="I450" s="127">
        <v>1210.9000000000001</v>
      </c>
      <c r="J450" s="127">
        <v>707.3</v>
      </c>
      <c r="K450" s="127">
        <v>1212.4000000000001</v>
      </c>
      <c r="L450" s="127">
        <v>63.26</v>
      </c>
      <c r="M450" s="127">
        <v>63.57</v>
      </c>
      <c r="N450" s="127">
        <v>63.59</v>
      </c>
      <c r="O450" s="127">
        <v>63.51</v>
      </c>
      <c r="P450" s="127">
        <v>63.482500000000002</v>
      </c>
      <c r="Q450" s="79">
        <v>13.99</v>
      </c>
      <c r="R450" s="79">
        <v>2.2599999999999998</v>
      </c>
      <c r="S450" s="127">
        <f t="shared" si="391"/>
        <v>2.3973470599881206</v>
      </c>
      <c r="T450" s="127">
        <f t="shared" si="392"/>
        <v>2.3903947535141552</v>
      </c>
      <c r="U450" s="79">
        <f t="shared" si="393"/>
        <v>3.9552765068846196</v>
      </c>
      <c r="V450" s="127">
        <f t="shared" si="394"/>
        <v>13.630766210339374</v>
      </c>
      <c r="W450" s="127">
        <f t="shared" si="395"/>
        <v>70.982728000393593</v>
      </c>
      <c r="X450"/>
      <c r="Y450"/>
      <c r="Z450" s="133"/>
      <c r="AA450"/>
      <c r="AB450"/>
      <c r="AC450" s="235">
        <v>161</v>
      </c>
      <c r="AD450" s="235">
        <v>91</v>
      </c>
      <c r="AE450" s="235">
        <v>44</v>
      </c>
      <c r="AF450" s="235">
        <v>15</v>
      </c>
    </row>
    <row r="451" spans="1:32" ht="14.4">
      <c r="A451" s="143" t="s">
        <v>124</v>
      </c>
      <c r="B451" s="276"/>
      <c r="C451" s="1" t="s">
        <v>306</v>
      </c>
      <c r="D451" s="1" t="s">
        <v>309</v>
      </c>
      <c r="E451" s="144">
        <v>2.4888350620172299</v>
      </c>
      <c r="F451" s="144">
        <v>2.64593319938268</v>
      </c>
      <c r="G451" s="127">
        <v>4.5999999999999996</v>
      </c>
      <c r="H451" s="127">
        <v>4.3977055449330802</v>
      </c>
      <c r="I451" s="127">
        <v>1208.0999999999999</v>
      </c>
      <c r="J451" s="127">
        <v>705.1</v>
      </c>
      <c r="K451" s="127">
        <v>1209.8</v>
      </c>
      <c r="L451" s="127">
        <v>63.85</v>
      </c>
      <c r="M451" s="127">
        <v>63.72</v>
      </c>
      <c r="N451" s="127">
        <v>63.86</v>
      </c>
      <c r="O451" s="127">
        <v>63.9</v>
      </c>
      <c r="P451" s="127">
        <v>63.832500000000003</v>
      </c>
      <c r="Q451" s="79">
        <v>13.25</v>
      </c>
      <c r="R451" s="79">
        <v>3.01</v>
      </c>
      <c r="S451" s="127">
        <f t="shared" si="391"/>
        <v>2.393699227263721</v>
      </c>
      <c r="T451" s="127">
        <f t="shared" si="392"/>
        <v>2.3867574995046561</v>
      </c>
      <c r="U451" s="79">
        <f t="shared" si="393"/>
        <v>4.1014193375208503</v>
      </c>
      <c r="V451" s="127">
        <f t="shared" si="394"/>
        <v>13.762186697033883</v>
      </c>
      <c r="W451" s="127">
        <f t="shared" si="395"/>
        <v>70.197909476080454</v>
      </c>
      <c r="X451"/>
      <c r="Y451"/>
      <c r="Z451" s="133"/>
      <c r="AA451"/>
      <c r="AB451"/>
      <c r="AC451" s="235">
        <v>161</v>
      </c>
      <c r="AD451" s="235">
        <v>91</v>
      </c>
      <c r="AE451" s="235">
        <v>44</v>
      </c>
      <c r="AF451" s="235">
        <v>15</v>
      </c>
    </row>
    <row r="452" spans="1:32" ht="14.4">
      <c r="A452" s="143" t="s">
        <v>124</v>
      </c>
      <c r="B452" s="276"/>
      <c r="C452" s="1" t="s">
        <v>306</v>
      </c>
      <c r="D452" s="1" t="s">
        <v>310</v>
      </c>
      <c r="E452" s="144">
        <v>2.4888350620172299</v>
      </c>
      <c r="F452" s="144">
        <v>2.64593319938268</v>
      </c>
      <c r="G452" s="127">
        <v>4.5999999999999996</v>
      </c>
      <c r="H452" s="127">
        <v>4.3977055449330802</v>
      </c>
      <c r="I452" s="127">
        <v>1214.5999999999999</v>
      </c>
      <c r="J452" s="127">
        <v>709.3</v>
      </c>
      <c r="K452" s="127">
        <v>1216.5</v>
      </c>
      <c r="L452" s="127">
        <v>64.05</v>
      </c>
      <c r="M452" s="127">
        <v>64.03</v>
      </c>
      <c r="N452" s="127">
        <v>64.14</v>
      </c>
      <c r="O452" s="127">
        <v>63.98</v>
      </c>
      <c r="P452" s="127">
        <v>64.05</v>
      </c>
      <c r="Q452" s="79">
        <v>13.92</v>
      </c>
      <c r="R452" s="79">
        <v>3.24</v>
      </c>
      <c r="S452" s="127">
        <f t="shared" si="391"/>
        <v>2.3947160883280754</v>
      </c>
      <c r="T452" s="127">
        <f t="shared" si="392"/>
        <v>2.387771411671924</v>
      </c>
      <c r="U452" s="79">
        <f t="shared" si="393"/>
        <v>4.0606809140414697</v>
      </c>
      <c r="V452" s="127">
        <f t="shared" si="394"/>
        <v>13.725552238692558</v>
      </c>
      <c r="W452" s="127">
        <f t="shared" si="395"/>
        <v>70.415172785584943</v>
      </c>
      <c r="X452"/>
      <c r="Y452"/>
      <c r="Z452" s="133"/>
      <c r="AA452"/>
      <c r="AB452"/>
      <c r="AC452" s="235">
        <v>161</v>
      </c>
      <c r="AD452" s="235">
        <v>91</v>
      </c>
      <c r="AE452" s="235">
        <v>44</v>
      </c>
      <c r="AF452" s="235">
        <v>15</v>
      </c>
    </row>
    <row r="453" spans="1:32" ht="14.4">
      <c r="A453" s="143" t="s">
        <v>124</v>
      </c>
      <c r="B453" s="276"/>
      <c r="C453" s="1" t="s">
        <v>306</v>
      </c>
      <c r="D453" s="1" t="s">
        <v>311</v>
      </c>
      <c r="E453" s="144">
        <v>2.4888350620172299</v>
      </c>
      <c r="F453" s="144">
        <v>2.64593319938268</v>
      </c>
      <c r="G453" s="127">
        <v>4.5999999999999996</v>
      </c>
      <c r="H453" s="127">
        <v>4.3977055449330802</v>
      </c>
      <c r="I453" s="127">
        <v>1213.8</v>
      </c>
      <c r="J453" s="127">
        <v>706.8</v>
      </c>
      <c r="K453" s="127">
        <v>1214.5999999999999</v>
      </c>
      <c r="L453" s="127">
        <v>64.260000000000005</v>
      </c>
      <c r="M453" s="127">
        <v>64.31</v>
      </c>
      <c r="N453" s="127">
        <v>64.349999999999994</v>
      </c>
      <c r="O453" s="127">
        <v>64.25</v>
      </c>
      <c r="P453" s="127">
        <v>64.292500000000004</v>
      </c>
      <c r="Q453" s="79">
        <v>13.5</v>
      </c>
      <c r="R453" s="79">
        <v>2.88</v>
      </c>
      <c r="S453" s="127">
        <f t="shared" si="391"/>
        <v>2.3903111461205202</v>
      </c>
      <c r="T453" s="127">
        <f t="shared" si="392"/>
        <v>2.3833792437967705</v>
      </c>
      <c r="U453" s="79">
        <f t="shared" si="393"/>
        <v>4.2371557613378519</v>
      </c>
      <c r="V453" s="127">
        <f t="shared" si="394"/>
        <v>13.884249112292565</v>
      </c>
      <c r="W453" s="127">
        <f t="shared" si="395"/>
        <v>69.482283650568888</v>
      </c>
      <c r="X453"/>
      <c r="Y453"/>
      <c r="Z453" s="133"/>
      <c r="AA453"/>
      <c r="AB453"/>
      <c r="AC453" s="235">
        <v>161</v>
      </c>
      <c r="AD453" s="235">
        <v>91</v>
      </c>
      <c r="AE453" s="235">
        <v>44</v>
      </c>
      <c r="AF453" s="235">
        <v>15</v>
      </c>
    </row>
    <row r="454" spans="1:32" ht="14.4">
      <c r="A454" s="143" t="s">
        <v>124</v>
      </c>
      <c r="B454" s="276"/>
      <c r="C454" s="1" t="s">
        <v>334</v>
      </c>
      <c r="D454" s="1" t="s">
        <v>307</v>
      </c>
      <c r="E454" s="144">
        <v>2.4517318431774</v>
      </c>
      <c r="F454" s="144">
        <v>2.64593319938268</v>
      </c>
      <c r="G454" s="127">
        <v>4.5999999999999996</v>
      </c>
      <c r="H454" s="127">
        <v>4.3977055449330802</v>
      </c>
      <c r="I454" s="127">
        <v>1202.5</v>
      </c>
      <c r="J454" s="127">
        <v>698</v>
      </c>
      <c r="K454" s="127">
        <v>1204.5999999999999</v>
      </c>
      <c r="L454" s="127">
        <v>64.44</v>
      </c>
      <c r="M454" s="127">
        <v>64.209999999999994</v>
      </c>
      <c r="N454" s="127">
        <v>64.66</v>
      </c>
      <c r="O454" s="127">
        <v>64.239999999999995</v>
      </c>
      <c r="P454" s="127">
        <v>64.387500000000003</v>
      </c>
      <c r="Q454" s="79">
        <v>13.42</v>
      </c>
      <c r="R454" s="79">
        <v>2.61</v>
      </c>
      <c r="S454" s="127">
        <f t="shared" si="391"/>
        <v>2.3736675878405058</v>
      </c>
      <c r="T454" s="127">
        <f t="shared" si="392"/>
        <v>2.3667839518357683</v>
      </c>
      <c r="U454" s="79">
        <f t="shared" si="393"/>
        <v>3.4648116831382691</v>
      </c>
      <c r="V454" s="127">
        <f t="shared" si="394"/>
        <v>14.483866664615391</v>
      </c>
      <c r="W454" s="127">
        <f t="shared" si="395"/>
        <v>76.07813049257814</v>
      </c>
      <c r="X454" s="132">
        <f>AVERAGE(S454:S458)</f>
        <v>2.3563214270774839</v>
      </c>
      <c r="Y454" s="132">
        <f t="shared" ref="Y454" si="412">AVERAGE(T454:T458)</f>
        <v>2.3494880949389594</v>
      </c>
      <c r="Z454" s="133">
        <f t="shared" ref="Z454" si="413">AVERAGE(U454:U458)</f>
        <v>4.1702663577569217</v>
      </c>
      <c r="AA454" s="132">
        <f t="shared" ref="AA454" si="414">AVERAGE(V454:V458)</f>
        <v>15.108796879893395</v>
      </c>
      <c r="AB454" s="132">
        <f t="shared" ref="AB454" si="415">AVERAGE(W454:W458)</f>
        <v>72.516190739339166</v>
      </c>
      <c r="AC454" s="236">
        <v>258</v>
      </c>
      <c r="AD454" s="235">
        <v>72.2</v>
      </c>
      <c r="AE454" s="235">
        <v>47.6</v>
      </c>
      <c r="AF454" s="235">
        <v>8.1999999999999993</v>
      </c>
    </row>
    <row r="455" spans="1:32" ht="14.4">
      <c r="A455" s="143" t="s">
        <v>124</v>
      </c>
      <c r="B455" s="276"/>
      <c r="C455" s="1" t="s">
        <v>334</v>
      </c>
      <c r="D455" s="1" t="s">
        <v>308</v>
      </c>
      <c r="E455" s="144">
        <v>2.4517318431774</v>
      </c>
      <c r="F455" s="144">
        <v>2.64593319938268</v>
      </c>
      <c r="G455" s="127">
        <v>4.5999999999999996</v>
      </c>
      <c r="H455" s="127">
        <v>4.3977055449330802</v>
      </c>
      <c r="I455" s="127">
        <v>1192.4000000000001</v>
      </c>
      <c r="J455" s="127">
        <v>687.9</v>
      </c>
      <c r="K455" s="127">
        <v>1198</v>
      </c>
      <c r="L455" s="127">
        <v>64.790000000000006</v>
      </c>
      <c r="M455" s="127">
        <v>64.55</v>
      </c>
      <c r="N455" s="127">
        <v>64.53</v>
      </c>
      <c r="O455" s="127">
        <v>64.52</v>
      </c>
      <c r="P455" s="127">
        <v>64.597499999999997</v>
      </c>
      <c r="Q455" s="79">
        <v>15.34</v>
      </c>
      <c r="R455" s="79">
        <v>2.0299999999999998</v>
      </c>
      <c r="S455" s="127">
        <f t="shared" si="391"/>
        <v>2.3375808664967654</v>
      </c>
      <c r="T455" s="127">
        <f t="shared" si="392"/>
        <v>2.3308018819839247</v>
      </c>
      <c r="U455" s="79">
        <f t="shared" si="393"/>
        <v>4.9324301729814053</v>
      </c>
      <c r="V455" s="127">
        <f t="shared" si="394"/>
        <v>15.783963143952548</v>
      </c>
      <c r="W455" s="127">
        <f t="shared" si="395"/>
        <v>68.750369422452621</v>
      </c>
      <c r="AC455" s="236">
        <v>258</v>
      </c>
      <c r="AD455" s="235">
        <v>72.2</v>
      </c>
      <c r="AE455" s="235">
        <v>47.6</v>
      </c>
      <c r="AF455" s="235">
        <v>8.1999999999999993</v>
      </c>
    </row>
    <row r="456" spans="1:32" ht="14.4">
      <c r="A456" s="143" t="s">
        <v>124</v>
      </c>
      <c r="B456" s="276"/>
      <c r="C456" s="1" t="s">
        <v>334</v>
      </c>
      <c r="D456" s="1" t="s">
        <v>309</v>
      </c>
      <c r="E456" s="144">
        <v>2.4517318431774</v>
      </c>
      <c r="F456" s="144">
        <v>2.64593319938268</v>
      </c>
      <c r="G456" s="127">
        <v>4.5999999999999996</v>
      </c>
      <c r="H456" s="127">
        <v>4.3977055449330802</v>
      </c>
      <c r="I456" s="127">
        <v>1203</v>
      </c>
      <c r="J456" s="127">
        <v>696.9</v>
      </c>
      <c r="K456" s="127">
        <v>1207.0999999999999</v>
      </c>
      <c r="L456" s="127">
        <v>63.84</v>
      </c>
      <c r="M456" s="127">
        <v>64.09</v>
      </c>
      <c r="N456" s="127">
        <v>64.16</v>
      </c>
      <c r="O456" s="127">
        <v>63.76</v>
      </c>
      <c r="P456" s="127">
        <v>63.962499999999999</v>
      </c>
      <c r="Q456" s="79">
        <v>13.24</v>
      </c>
      <c r="R456" s="79">
        <v>2.44</v>
      </c>
      <c r="S456" s="127">
        <f t="shared" si="391"/>
        <v>2.3578988631909059</v>
      </c>
      <c r="T456" s="127">
        <f t="shared" si="392"/>
        <v>2.3510609564876521</v>
      </c>
      <c r="U456" s="79">
        <f t="shared" si="393"/>
        <v>4.1061132753931311</v>
      </c>
      <c r="V456" s="127">
        <f t="shared" si="394"/>
        <v>15.051966581626502</v>
      </c>
      <c r="W456" s="127">
        <f t="shared" si="395"/>
        <v>72.720419932333996</v>
      </c>
      <c r="AC456" s="236">
        <v>258</v>
      </c>
      <c r="AD456" s="235">
        <v>72.2</v>
      </c>
      <c r="AE456" s="235">
        <v>47.6</v>
      </c>
      <c r="AF456" s="235">
        <v>8.1999999999999993</v>
      </c>
    </row>
    <row r="457" spans="1:32" ht="14.4">
      <c r="A457" s="143" t="s">
        <v>124</v>
      </c>
      <c r="B457" s="276"/>
      <c r="C457" s="1" t="s">
        <v>334</v>
      </c>
      <c r="D457" s="1" t="s">
        <v>310</v>
      </c>
      <c r="E457" s="144">
        <v>2.4517318431774</v>
      </c>
      <c r="F457" s="144">
        <v>2.64593319938268</v>
      </c>
      <c r="G457" s="127">
        <v>4.5999999999999996</v>
      </c>
      <c r="H457" s="127">
        <v>4.3977055449330802</v>
      </c>
      <c r="I457" s="127">
        <v>1205</v>
      </c>
      <c r="J457" s="127">
        <v>699</v>
      </c>
      <c r="K457" s="127">
        <v>1206.8</v>
      </c>
      <c r="L457" s="127">
        <v>64.239999999999995</v>
      </c>
      <c r="M457" s="127">
        <v>64.150000000000006</v>
      </c>
      <c r="N457" s="127">
        <v>63.95</v>
      </c>
      <c r="O457" s="127">
        <v>63.58</v>
      </c>
      <c r="P457" s="127">
        <v>63.98</v>
      </c>
      <c r="Q457" s="79">
        <v>14.56</v>
      </c>
      <c r="R457" s="79">
        <v>2.1800000000000002</v>
      </c>
      <c r="S457" s="127">
        <f t="shared" si="391"/>
        <v>2.3729814887751086</v>
      </c>
      <c r="T457" s="127">
        <f t="shared" si="392"/>
        <v>2.3660998424576607</v>
      </c>
      <c r="U457" s="79">
        <f t="shared" si="393"/>
        <v>3.4927147908949907</v>
      </c>
      <c r="V457" s="127">
        <f t="shared" si="394"/>
        <v>14.508584758866817</v>
      </c>
      <c r="W457" s="127">
        <f t="shared" si="395"/>
        <v>75.926564520633605</v>
      </c>
      <c r="AC457" s="236">
        <v>258</v>
      </c>
      <c r="AD457" s="235">
        <v>72.2</v>
      </c>
      <c r="AE457" s="235">
        <v>47.6</v>
      </c>
      <c r="AF457" s="235">
        <v>8.1999999999999993</v>
      </c>
    </row>
    <row r="458" spans="1:32" ht="14.4">
      <c r="A458" s="143" t="s">
        <v>124</v>
      </c>
      <c r="B458" s="276"/>
      <c r="C458" s="1" t="s">
        <v>334</v>
      </c>
      <c r="D458" s="1" t="s">
        <v>311</v>
      </c>
      <c r="E458" s="144">
        <v>2.4517318431774</v>
      </c>
      <c r="F458" s="144">
        <v>2.64593319938268</v>
      </c>
      <c r="G458" s="127">
        <v>4.5999999999999996</v>
      </c>
      <c r="H458" s="127">
        <v>4.3977055449330802</v>
      </c>
      <c r="I458" s="127">
        <v>1192.9000000000001</v>
      </c>
      <c r="J458" s="127">
        <v>689.6</v>
      </c>
      <c r="K458" s="127">
        <v>1199.5</v>
      </c>
      <c r="L458" s="127">
        <v>64.63</v>
      </c>
      <c r="M458" s="127">
        <v>64.239999999999995</v>
      </c>
      <c r="N458" s="127">
        <v>64.790000000000006</v>
      </c>
      <c r="O458" s="127">
        <v>64.849999999999994</v>
      </c>
      <c r="P458" s="127">
        <v>64.627499999999998</v>
      </c>
      <c r="Q458" s="79">
        <v>12.62</v>
      </c>
      <c r="R458" s="79">
        <v>2.86</v>
      </c>
      <c r="S458" s="127">
        <f t="shared" si="391"/>
        <v>2.3394783290841343</v>
      </c>
      <c r="T458" s="127">
        <f t="shared" si="392"/>
        <v>2.3326938419297902</v>
      </c>
      <c r="U458" s="79">
        <f t="shared" si="393"/>
        <v>4.8552618663768143</v>
      </c>
      <c r="V458" s="127">
        <f t="shared" si="394"/>
        <v>15.715603250405721</v>
      </c>
      <c r="W458" s="127">
        <f t="shared" si="395"/>
        <v>69.105469328697467</v>
      </c>
      <c r="AC458" s="236">
        <v>258</v>
      </c>
      <c r="AD458" s="235">
        <v>72.2</v>
      </c>
      <c r="AE458" s="235">
        <v>47.6</v>
      </c>
      <c r="AF458" s="235">
        <v>8.1999999999999993</v>
      </c>
    </row>
    <row r="459" spans="1:32" ht="14.4">
      <c r="A459" s="143" t="s">
        <v>124</v>
      </c>
      <c r="B459" s="280" t="s">
        <v>255</v>
      </c>
      <c r="C459" s="1" t="s">
        <v>330</v>
      </c>
      <c r="D459" s="1" t="s">
        <v>307</v>
      </c>
      <c r="E459" s="144">
        <v>2.51452511328409</v>
      </c>
      <c r="F459" s="144">
        <v>2.6390004352667402</v>
      </c>
      <c r="G459" s="127">
        <v>4.5999999999999996</v>
      </c>
      <c r="H459" s="127">
        <v>4.3977055449330802</v>
      </c>
      <c r="I459" s="127">
        <v>1211</v>
      </c>
      <c r="J459" s="127">
        <v>714</v>
      </c>
      <c r="K459" s="127">
        <v>1212.4000000000001</v>
      </c>
      <c r="L459" s="127">
        <v>63.98</v>
      </c>
      <c r="M459" s="127">
        <v>63.87</v>
      </c>
      <c r="N459" s="127">
        <v>64.150000000000006</v>
      </c>
      <c r="O459" s="127">
        <v>64.16</v>
      </c>
      <c r="P459" s="127">
        <v>64.040000000000006</v>
      </c>
      <c r="Q459" s="79">
        <v>18.22</v>
      </c>
      <c r="R459" s="79">
        <v>2.1800000000000002</v>
      </c>
      <c r="S459" s="127">
        <f t="shared" si="391"/>
        <v>2.429775280898876</v>
      </c>
      <c r="T459" s="127">
        <f t="shared" si="392"/>
        <v>2.4227289325842691</v>
      </c>
      <c r="U459" s="79">
        <f t="shared" si="393"/>
        <v>3.6506368623986707</v>
      </c>
      <c r="V459" s="127">
        <f t="shared" si="394"/>
        <v>12.232509816043219</v>
      </c>
      <c r="W459" s="127">
        <f t="shared" si="395"/>
        <v>70.156272773958662</v>
      </c>
      <c r="X459" s="132">
        <f>AVERAGE(S459:S463)</f>
        <v>2.4165274874848564</v>
      </c>
      <c r="Y459" s="132">
        <f t="shared" ref="Y459" si="416">AVERAGE(T459:T463)</f>
        <v>2.4095195577711501</v>
      </c>
      <c r="Z459" s="133">
        <f t="shared" ref="Z459" si="417">AVERAGE(U459:U463)</f>
        <v>4.1759597054012927</v>
      </c>
      <c r="AA459" s="132">
        <f t="shared" ref="AA459" si="418">AVERAGE(V459:V463)</f>
        <v>12.711041961614276</v>
      </c>
      <c r="AB459" s="132">
        <f t="shared" ref="AB459" si="419">AVERAGE(W459:W463)</f>
        <v>67.209316861836101</v>
      </c>
      <c r="AC459" s="235">
        <v>111</v>
      </c>
      <c r="AD459" s="235">
        <v>124</v>
      </c>
      <c r="AE459" s="235">
        <v>41.5</v>
      </c>
      <c r="AF459" s="235">
        <v>56</v>
      </c>
    </row>
    <row r="460" spans="1:32" ht="14.4">
      <c r="A460" s="143" t="s">
        <v>124</v>
      </c>
      <c r="B460" s="276"/>
      <c r="C460" s="1" t="s">
        <v>330</v>
      </c>
      <c r="D460" s="1" t="s">
        <v>308</v>
      </c>
      <c r="E460" s="144">
        <v>2.51452511328409</v>
      </c>
      <c r="F460" s="144">
        <v>2.6390004352667402</v>
      </c>
      <c r="G460" s="127">
        <v>4.5999999999999996</v>
      </c>
      <c r="H460" s="127">
        <v>4.3977055449330802</v>
      </c>
      <c r="I460" s="127">
        <v>1222.0999999999999</v>
      </c>
      <c r="J460" s="127">
        <v>720</v>
      </c>
      <c r="K460" s="127">
        <v>1223.7</v>
      </c>
      <c r="L460" s="127">
        <v>63.26</v>
      </c>
      <c r="M460" s="127">
        <v>63.57</v>
      </c>
      <c r="N460" s="127">
        <v>63.59</v>
      </c>
      <c r="O460" s="127">
        <v>63.51</v>
      </c>
      <c r="P460" s="127">
        <v>63.482500000000002</v>
      </c>
      <c r="Q460" s="79">
        <v>17.62</v>
      </c>
      <c r="R460" s="79">
        <v>2.5499999999999998</v>
      </c>
      <c r="S460" s="127">
        <f t="shared" si="391"/>
        <v>2.426245781218979</v>
      </c>
      <c r="T460" s="127">
        <f t="shared" si="392"/>
        <v>2.4192096684534441</v>
      </c>
      <c r="U460" s="79">
        <f t="shared" si="393"/>
        <v>3.7905942687587402</v>
      </c>
      <c r="V460" s="127">
        <f t="shared" si="394"/>
        <v>12.360001165117708</v>
      </c>
      <c r="W460" s="127">
        <f t="shared" si="395"/>
        <v>69.331764470568785</v>
      </c>
      <c r="AC460" s="235">
        <v>111</v>
      </c>
      <c r="AD460" s="235">
        <v>124</v>
      </c>
      <c r="AE460" s="235">
        <v>41.5</v>
      </c>
      <c r="AF460" s="235">
        <v>56</v>
      </c>
    </row>
    <row r="461" spans="1:32" ht="14.4">
      <c r="A461" s="143" t="s">
        <v>124</v>
      </c>
      <c r="B461" s="276"/>
      <c r="C461" s="1" t="s">
        <v>330</v>
      </c>
      <c r="D461" s="1" t="s">
        <v>309</v>
      </c>
      <c r="E461" s="144">
        <v>2.51452511328409</v>
      </c>
      <c r="F461" s="144">
        <v>2.6390004352667402</v>
      </c>
      <c r="G461" s="127">
        <v>4.5999999999999996</v>
      </c>
      <c r="H461" s="127">
        <v>4.3977055449330802</v>
      </c>
      <c r="I461" s="127">
        <v>1222.3</v>
      </c>
      <c r="J461" s="127">
        <v>716.8</v>
      </c>
      <c r="K461" s="127">
        <v>1225.4000000000001</v>
      </c>
      <c r="L461" s="127">
        <v>63.85</v>
      </c>
      <c r="M461" s="127">
        <v>63.72</v>
      </c>
      <c r="N461" s="127">
        <v>63.86</v>
      </c>
      <c r="O461" s="127">
        <v>63.9</v>
      </c>
      <c r="P461" s="127">
        <v>63.832500000000003</v>
      </c>
      <c r="Q461" s="79">
        <v>17.690000000000001</v>
      </c>
      <c r="R461" s="79">
        <v>1.79</v>
      </c>
      <c r="S461" s="127">
        <f t="shared" si="391"/>
        <v>2.4032638615808093</v>
      </c>
      <c r="T461" s="127">
        <f t="shared" si="392"/>
        <v>2.396294396382225</v>
      </c>
      <c r="U461" s="79">
        <f t="shared" si="393"/>
        <v>4.7019103638002662</v>
      </c>
      <c r="V461" s="127">
        <f t="shared" si="394"/>
        <v>13.190146002835093</v>
      </c>
      <c r="W461" s="127">
        <f t="shared" si="395"/>
        <v>64.352855815321249</v>
      </c>
      <c r="AC461" s="235">
        <v>111</v>
      </c>
      <c r="AD461" s="235">
        <v>124</v>
      </c>
      <c r="AE461" s="235">
        <v>41.5</v>
      </c>
      <c r="AF461" s="235">
        <v>56</v>
      </c>
    </row>
    <row r="462" spans="1:32" ht="14.4">
      <c r="A462" s="143" t="s">
        <v>124</v>
      </c>
      <c r="B462" s="276"/>
      <c r="C462" s="1" t="s">
        <v>330</v>
      </c>
      <c r="D462" s="1" t="s">
        <v>310</v>
      </c>
      <c r="E462" s="144">
        <v>2.51452511328409</v>
      </c>
      <c r="F462" s="144">
        <v>2.6390004352667402</v>
      </c>
      <c r="G462" s="127">
        <v>4.5999999999999996</v>
      </c>
      <c r="H462" s="127">
        <v>4.3977055449330802</v>
      </c>
      <c r="I462" s="127">
        <v>1219.4000000000001</v>
      </c>
      <c r="J462" s="127">
        <v>716.3</v>
      </c>
      <c r="K462" s="127">
        <v>1222.3</v>
      </c>
      <c r="L462" s="127">
        <v>64.05</v>
      </c>
      <c r="M462" s="127">
        <v>64.03</v>
      </c>
      <c r="N462" s="127">
        <v>64.14</v>
      </c>
      <c r="O462" s="127">
        <v>63.98</v>
      </c>
      <c r="P462" s="127">
        <v>64.05</v>
      </c>
      <c r="Q462" s="79">
        <v>19.68</v>
      </c>
      <c r="R462" s="79">
        <v>3.11</v>
      </c>
      <c r="S462" s="127">
        <f t="shared" si="391"/>
        <v>2.4098814229249013</v>
      </c>
      <c r="T462" s="127">
        <f t="shared" si="392"/>
        <v>2.402892766798419</v>
      </c>
      <c r="U462" s="79">
        <f t="shared" si="393"/>
        <v>4.4395001623139034</v>
      </c>
      <c r="V462" s="127">
        <f t="shared" si="394"/>
        <v>12.95110877380607</v>
      </c>
      <c r="W462" s="127">
        <f t="shared" si="395"/>
        <v>65.721080412104186</v>
      </c>
      <c r="AC462" s="235">
        <v>111</v>
      </c>
      <c r="AD462" s="235">
        <v>124</v>
      </c>
      <c r="AE462" s="235">
        <v>41.5</v>
      </c>
      <c r="AF462" s="235">
        <v>56</v>
      </c>
    </row>
    <row r="463" spans="1:32" ht="14.4">
      <c r="A463" s="143" t="s">
        <v>124</v>
      </c>
      <c r="B463" s="276"/>
      <c r="C463" s="1" t="s">
        <v>330</v>
      </c>
      <c r="D463" s="1" t="s">
        <v>311</v>
      </c>
      <c r="E463" s="144">
        <v>2.51452511328409</v>
      </c>
      <c r="F463" s="144">
        <v>2.6390004352667402</v>
      </c>
      <c r="G463" s="127">
        <v>4.5999999999999996</v>
      </c>
      <c r="H463" s="127">
        <v>4.3977055449330802</v>
      </c>
      <c r="I463" s="127">
        <v>1214.7</v>
      </c>
      <c r="J463" s="127">
        <v>714</v>
      </c>
      <c r="K463" s="127">
        <v>1217.3</v>
      </c>
      <c r="L463" s="127">
        <v>64.260000000000005</v>
      </c>
      <c r="M463" s="127">
        <v>64.31</v>
      </c>
      <c r="N463" s="127">
        <v>64.349999999999994</v>
      </c>
      <c r="O463" s="127">
        <v>64.25</v>
      </c>
      <c r="P463" s="127">
        <v>64.292500000000004</v>
      </c>
      <c r="Q463" s="79">
        <v>17.88</v>
      </c>
      <c r="R463" s="79">
        <v>2.88</v>
      </c>
      <c r="S463" s="127">
        <f t="shared" si="391"/>
        <v>2.4134710908007158</v>
      </c>
      <c r="T463" s="127">
        <f t="shared" si="392"/>
        <v>2.4064720246373938</v>
      </c>
      <c r="U463" s="79">
        <f t="shared" si="393"/>
        <v>4.2971568697348861</v>
      </c>
      <c r="V463" s="127">
        <f t="shared" si="394"/>
        <v>12.821444050269292</v>
      </c>
      <c r="W463" s="127">
        <f t="shared" si="395"/>
        <v>66.484610837227564</v>
      </c>
      <c r="AC463" s="235">
        <v>111</v>
      </c>
      <c r="AD463" s="235">
        <v>124</v>
      </c>
      <c r="AE463" s="235">
        <v>41.5</v>
      </c>
      <c r="AF463" s="235">
        <v>56</v>
      </c>
    </row>
    <row r="464" spans="1:32" ht="14.4">
      <c r="A464" s="143" t="s">
        <v>124</v>
      </c>
      <c r="B464" s="276"/>
      <c r="C464" s="1" t="s">
        <v>335</v>
      </c>
      <c r="D464" s="1" t="s">
        <v>307</v>
      </c>
      <c r="E464" s="144">
        <v>2.4944291613182301</v>
      </c>
      <c r="F464" s="144">
        <v>2.6390004352667402</v>
      </c>
      <c r="G464" s="127">
        <v>4.5999999999999996</v>
      </c>
      <c r="H464" s="127">
        <v>4.3977055449330802</v>
      </c>
      <c r="I464" s="127">
        <v>1215.5999999999999</v>
      </c>
      <c r="J464" s="127">
        <v>710.6</v>
      </c>
      <c r="K464" s="127">
        <v>1217.9000000000001</v>
      </c>
      <c r="L464" s="127">
        <v>64.44</v>
      </c>
      <c r="M464" s="127">
        <v>64.209999999999994</v>
      </c>
      <c r="N464" s="127">
        <v>64.66</v>
      </c>
      <c r="O464" s="127">
        <v>64.239999999999995</v>
      </c>
      <c r="P464" s="127">
        <v>64.387500000000003</v>
      </c>
      <c r="Q464" s="79">
        <v>21.86</v>
      </c>
      <c r="R464" s="79">
        <v>1.62</v>
      </c>
      <c r="S464" s="127">
        <f t="shared" si="391"/>
        <v>2.3962152572442337</v>
      </c>
      <c r="T464" s="127">
        <f t="shared" si="392"/>
        <v>2.3892662329982253</v>
      </c>
      <c r="U464" s="79">
        <f t="shared" si="393"/>
        <v>4.2159115981641797</v>
      </c>
      <c r="V464" s="127">
        <f t="shared" si="394"/>
        <v>13.444753215602589</v>
      </c>
      <c r="W464" s="127">
        <f t="shared" si="395"/>
        <v>68.642700014220949</v>
      </c>
      <c r="X464" s="132">
        <f>AVERAGE(S464:S468)</f>
        <v>2.3972696601091057</v>
      </c>
      <c r="Y464" s="132">
        <f t="shared" ref="Y464" si="420">AVERAGE(T464:T468)</f>
        <v>2.3903175780947894</v>
      </c>
      <c r="Z464" s="133">
        <f t="shared" ref="Z464" si="421">AVERAGE(U464:U468)</f>
        <v>4.1737638750350801</v>
      </c>
      <c r="AA464" s="132">
        <f t="shared" ref="AA464" si="422">AVERAGE(V464:V468)</f>
        <v>13.40666644526622</v>
      </c>
      <c r="AB464" s="132">
        <f t="shared" ref="AB464" si="423">AVERAGE(W464:W468)</f>
        <v>69.084721187574999</v>
      </c>
      <c r="AC464" s="236">
        <v>258</v>
      </c>
      <c r="AD464" s="235">
        <v>72.2</v>
      </c>
      <c r="AE464" s="235">
        <v>47.6</v>
      </c>
      <c r="AF464" s="235">
        <v>8.1999999999999993</v>
      </c>
    </row>
    <row r="465" spans="1:32" ht="14.4">
      <c r="A465" s="143" t="s">
        <v>124</v>
      </c>
      <c r="B465" s="276"/>
      <c r="C465" s="1" t="s">
        <v>335</v>
      </c>
      <c r="D465" s="1" t="s">
        <v>308</v>
      </c>
      <c r="E465" s="144">
        <v>2.4944291613182301</v>
      </c>
      <c r="F465" s="144">
        <v>2.6390004352667402</v>
      </c>
      <c r="G465" s="127">
        <v>4.5999999999999996</v>
      </c>
      <c r="H465" s="127">
        <v>4.3977055449330802</v>
      </c>
      <c r="I465" s="127">
        <v>1213.2</v>
      </c>
      <c r="J465" s="127">
        <v>712.5</v>
      </c>
      <c r="K465" s="127">
        <v>1215</v>
      </c>
      <c r="L465" s="127">
        <v>64.790000000000006</v>
      </c>
      <c r="M465" s="127">
        <v>64.55</v>
      </c>
      <c r="N465" s="127">
        <v>64.53</v>
      </c>
      <c r="O465" s="127">
        <v>64.52</v>
      </c>
      <c r="P465" s="127">
        <v>64.597499999999997</v>
      </c>
      <c r="Q465" s="79">
        <v>22.78</v>
      </c>
      <c r="R465" s="79">
        <v>2.0299999999999998</v>
      </c>
      <c r="S465" s="127">
        <f t="shared" si="391"/>
        <v>2.4143283582089552</v>
      </c>
      <c r="T465" s="127">
        <f t="shared" si="392"/>
        <v>2.4073268059701491</v>
      </c>
      <c r="U465" s="79">
        <f t="shared" si="393"/>
        <v>3.491875283483703</v>
      </c>
      <c r="V465" s="127">
        <f t="shared" si="394"/>
        <v>12.790478137730332</v>
      </c>
      <c r="W465" s="127">
        <f t="shared" si="395"/>
        <v>72.699415566153846</v>
      </c>
      <c r="AC465" s="236">
        <v>258</v>
      </c>
      <c r="AD465" s="235">
        <v>72.2</v>
      </c>
      <c r="AE465" s="235">
        <v>47.6</v>
      </c>
      <c r="AF465" s="235">
        <v>8.1999999999999993</v>
      </c>
    </row>
    <row r="466" spans="1:32" ht="14.4">
      <c r="A466" s="143" t="s">
        <v>124</v>
      </c>
      <c r="B466" s="276"/>
      <c r="C466" s="1" t="s">
        <v>335</v>
      </c>
      <c r="D466" s="1" t="s">
        <v>309</v>
      </c>
      <c r="E466" s="144">
        <v>2.4944291613182301</v>
      </c>
      <c r="F466" s="144">
        <v>2.6390004352667402</v>
      </c>
      <c r="G466" s="127">
        <v>4.5999999999999996</v>
      </c>
      <c r="H466" s="127">
        <v>4.3977055449330802</v>
      </c>
      <c r="I466" s="127">
        <v>1208.0999999999999</v>
      </c>
      <c r="J466" s="127">
        <v>710.1</v>
      </c>
      <c r="K466" s="127">
        <v>1209.3</v>
      </c>
      <c r="L466" s="127">
        <v>63.84</v>
      </c>
      <c r="M466" s="127">
        <v>64.09</v>
      </c>
      <c r="N466" s="127">
        <v>64.16</v>
      </c>
      <c r="O466" s="127">
        <v>63.76</v>
      </c>
      <c r="P466" s="127">
        <v>63.962499999999999</v>
      </c>
      <c r="Q466" s="79">
        <v>21.39</v>
      </c>
      <c r="R466" s="79">
        <v>1.96</v>
      </c>
      <c r="S466" s="127">
        <f t="shared" si="391"/>
        <v>2.4200721153846154</v>
      </c>
      <c r="T466" s="127">
        <f t="shared" si="392"/>
        <v>2.41305390625</v>
      </c>
      <c r="U466" s="79">
        <f t="shared" si="393"/>
        <v>3.2622796562090217</v>
      </c>
      <c r="V466" s="127">
        <f t="shared" si="394"/>
        <v>12.583004156289832</v>
      </c>
      <c r="W466" s="127">
        <f t="shared" si="395"/>
        <v>74.07392053845652</v>
      </c>
      <c r="AC466" s="236">
        <v>258</v>
      </c>
      <c r="AD466" s="235">
        <v>72.2</v>
      </c>
      <c r="AE466" s="235">
        <v>47.6</v>
      </c>
      <c r="AF466" s="235">
        <v>8.1999999999999993</v>
      </c>
    </row>
    <row r="467" spans="1:32" ht="14.4">
      <c r="A467" s="143" t="s">
        <v>124</v>
      </c>
      <c r="B467" s="276"/>
      <c r="C467" s="1" t="s">
        <v>335</v>
      </c>
      <c r="D467" s="1" t="s">
        <v>310</v>
      </c>
      <c r="E467" s="144">
        <v>2.4944291613182301</v>
      </c>
      <c r="F467" s="144">
        <v>2.6390004352667402</v>
      </c>
      <c r="G467" s="127">
        <v>4.5999999999999996</v>
      </c>
      <c r="H467" s="127">
        <v>4.3977055449330802</v>
      </c>
      <c r="I467" s="127">
        <v>1209.9000000000001</v>
      </c>
      <c r="J467" s="127">
        <v>707.9</v>
      </c>
      <c r="K467" s="127">
        <v>1213.9000000000001</v>
      </c>
      <c r="L467" s="127">
        <v>64.239999999999995</v>
      </c>
      <c r="M467" s="127">
        <v>64.150000000000006</v>
      </c>
      <c r="N467" s="127">
        <v>63.95</v>
      </c>
      <c r="O467" s="127">
        <v>63.58</v>
      </c>
      <c r="P467" s="127">
        <v>63.98</v>
      </c>
      <c r="Q467" s="79">
        <v>20.68</v>
      </c>
      <c r="R467" s="79">
        <v>1.67</v>
      </c>
      <c r="S467" s="127">
        <f t="shared" si="391"/>
        <v>2.3911067193675888</v>
      </c>
      <c r="T467" s="127">
        <f t="shared" si="392"/>
        <v>2.3841725098814228</v>
      </c>
      <c r="U467" s="79">
        <f t="shared" si="393"/>
        <v>4.4201155577631273</v>
      </c>
      <c r="V467" s="127">
        <f t="shared" si="394"/>
        <v>13.629282028397554</v>
      </c>
      <c r="W467" s="127">
        <f t="shared" si="395"/>
        <v>67.568977231863641</v>
      </c>
      <c r="AC467" s="236">
        <v>258</v>
      </c>
      <c r="AD467" s="235">
        <v>72.2</v>
      </c>
      <c r="AE467" s="235">
        <v>47.6</v>
      </c>
      <c r="AF467" s="235">
        <v>8.1999999999999993</v>
      </c>
    </row>
    <row r="468" spans="1:32" ht="14.4">
      <c r="A468" s="143" t="s">
        <v>124</v>
      </c>
      <c r="B468" s="276"/>
      <c r="C468" s="1" t="s">
        <v>335</v>
      </c>
      <c r="D468" s="1" t="s">
        <v>311</v>
      </c>
      <c r="E468" s="144">
        <v>2.4944291613182301</v>
      </c>
      <c r="F468" s="144">
        <v>2.6390004352667402</v>
      </c>
      <c r="G468" s="127">
        <v>4.5999999999999996</v>
      </c>
      <c r="H468" s="127">
        <v>4.3977055449330802</v>
      </c>
      <c r="I468" s="127">
        <v>1216.5999999999999</v>
      </c>
      <c r="J468" s="127">
        <v>709.2</v>
      </c>
      <c r="K468" s="127">
        <v>1223.7</v>
      </c>
      <c r="L468" s="127">
        <v>64.63</v>
      </c>
      <c r="M468" s="127">
        <v>64.239999999999995</v>
      </c>
      <c r="N468" s="127">
        <v>64.790000000000006</v>
      </c>
      <c r="O468" s="127">
        <v>64.849999999999994</v>
      </c>
      <c r="P468" s="127">
        <v>64.627499999999998</v>
      </c>
      <c r="Q468" s="79">
        <v>21.89</v>
      </c>
      <c r="R468" s="79">
        <v>2.86</v>
      </c>
      <c r="S468" s="127">
        <f t="shared" si="391"/>
        <v>2.3646258503401358</v>
      </c>
      <c r="T468" s="127">
        <f t="shared" si="392"/>
        <v>2.3577684353741493</v>
      </c>
      <c r="U468" s="79">
        <f t="shared" si="393"/>
        <v>5.4786372795553646</v>
      </c>
      <c r="V468" s="127">
        <f t="shared" si="394"/>
        <v>14.585814688310791</v>
      </c>
      <c r="W468" s="127">
        <f t="shared" si="395"/>
        <v>62.438592587179954</v>
      </c>
      <c r="AC468" s="236">
        <v>258</v>
      </c>
      <c r="AD468" s="235">
        <v>72.2</v>
      </c>
      <c r="AE468" s="235">
        <v>47.6</v>
      </c>
      <c r="AF468" s="235">
        <v>8.1999999999999993</v>
      </c>
    </row>
    <row r="469" spans="1:32" ht="14.4">
      <c r="A469" s="143" t="s">
        <v>126</v>
      </c>
      <c r="B469" s="280" t="s">
        <v>218</v>
      </c>
      <c r="C469" s="1" t="s">
        <v>306</v>
      </c>
      <c r="D469" s="1" t="s">
        <v>307</v>
      </c>
      <c r="E469" s="127">
        <v>2.5539999999999998</v>
      </c>
      <c r="F469" s="127">
        <v>2.6551944788507602</v>
      </c>
      <c r="G469" s="127">
        <v>4.5999999999999996</v>
      </c>
      <c r="H469" s="127">
        <v>4.3977055449330802</v>
      </c>
      <c r="I469" s="127">
        <v>1218.3</v>
      </c>
      <c r="J469" s="127">
        <v>724.3</v>
      </c>
      <c r="K469" s="127">
        <v>1219.5999999999999</v>
      </c>
      <c r="L469" s="127">
        <v>63.98</v>
      </c>
      <c r="M469" s="127">
        <v>63.87</v>
      </c>
      <c r="N469" s="127">
        <v>64.150000000000006</v>
      </c>
      <c r="O469" s="127">
        <v>64.16</v>
      </c>
      <c r="P469" s="127">
        <v>64.040000000000006</v>
      </c>
      <c r="Q469" s="79">
        <v>14.6</v>
      </c>
      <c r="R469" s="79">
        <v>2.1800000000000002</v>
      </c>
      <c r="S469" s="127">
        <f t="shared" si="391"/>
        <v>2.4597213809812235</v>
      </c>
      <c r="T469" s="127">
        <f t="shared" si="392"/>
        <v>2.4525881889763781</v>
      </c>
      <c r="U469" s="79">
        <f t="shared" si="393"/>
        <v>3.9707052084425154</v>
      </c>
      <c r="V469" s="127">
        <f t="shared" si="394"/>
        <v>11.69269893893977</v>
      </c>
      <c r="W469" s="127">
        <f t="shared" si="395"/>
        <v>66.04115757039618</v>
      </c>
      <c r="X469" s="132">
        <f>AVERAGE(S469:S473)</f>
        <v>2.4555615816023133</v>
      </c>
      <c r="Y469" s="132">
        <f t="shared" ref="Y469" si="424">AVERAGE(T469:T473)</f>
        <v>2.4484404530156665</v>
      </c>
      <c r="Z469" s="133">
        <f t="shared" ref="Z469" si="425">AVERAGE(U469:U473)</f>
        <v>4.1331067730749265</v>
      </c>
      <c r="AA469" s="132">
        <f t="shared" ref="AA469" si="426">AVERAGE(V469:V473)</f>
        <v>11.842041323385169</v>
      </c>
      <c r="AB469" s="132">
        <f t="shared" ref="AB469" si="427">AVERAGE(W469:W473)</f>
        <v>65.105054186879457</v>
      </c>
      <c r="AC469" s="235">
        <v>161</v>
      </c>
      <c r="AD469" s="235">
        <v>91</v>
      </c>
      <c r="AE469" s="235">
        <v>44</v>
      </c>
      <c r="AF469" s="235">
        <v>15</v>
      </c>
    </row>
    <row r="470" spans="1:32" ht="14.4">
      <c r="A470" s="143" t="s">
        <v>126</v>
      </c>
      <c r="B470" s="276"/>
      <c r="C470" s="1" t="s">
        <v>306</v>
      </c>
      <c r="D470" s="1" t="s">
        <v>308</v>
      </c>
      <c r="E470" s="127">
        <v>2.5539999999999998</v>
      </c>
      <c r="F470" s="127">
        <v>2.6551944788507602</v>
      </c>
      <c r="G470" s="127">
        <v>4.5999999999999996</v>
      </c>
      <c r="H470" s="127">
        <v>4.3977055449330802</v>
      </c>
      <c r="I470" s="127">
        <v>1226</v>
      </c>
      <c r="J470" s="127">
        <v>728</v>
      </c>
      <c r="K470" s="127">
        <v>1227.5</v>
      </c>
      <c r="L470" s="127">
        <v>63.26</v>
      </c>
      <c r="M470" s="127">
        <v>63.57</v>
      </c>
      <c r="N470" s="127">
        <v>63.59</v>
      </c>
      <c r="O470" s="127">
        <v>63.51</v>
      </c>
      <c r="P470" s="127">
        <v>63.482500000000002</v>
      </c>
      <c r="Q470" s="79">
        <v>13.99</v>
      </c>
      <c r="R470" s="79">
        <v>2.2599999999999998</v>
      </c>
      <c r="S470" s="127">
        <f t="shared" si="391"/>
        <v>2.4544544544544546</v>
      </c>
      <c r="T470" s="127">
        <f t="shared" si="392"/>
        <v>2.4473365365365365</v>
      </c>
      <c r="U470" s="79">
        <f t="shared" si="393"/>
        <v>4.1763298145443777</v>
      </c>
      <c r="V470" s="127">
        <f t="shared" si="394"/>
        <v>11.881788674900164</v>
      </c>
      <c r="W470" s="127">
        <f t="shared" si="395"/>
        <v>64.851000730498441</v>
      </c>
      <c r="AC470" s="235">
        <v>161</v>
      </c>
      <c r="AD470" s="235">
        <v>91</v>
      </c>
      <c r="AE470" s="235">
        <v>44</v>
      </c>
      <c r="AF470" s="235">
        <v>15</v>
      </c>
    </row>
    <row r="471" spans="1:32" ht="14.4">
      <c r="A471" s="143" t="s">
        <v>126</v>
      </c>
      <c r="B471" s="276"/>
      <c r="C471" s="1" t="s">
        <v>306</v>
      </c>
      <c r="D471" s="1" t="s">
        <v>309</v>
      </c>
      <c r="E471" s="127">
        <v>2.5539999999999998</v>
      </c>
      <c r="F471" s="127">
        <v>2.6551944788507602</v>
      </c>
      <c r="G471" s="127">
        <v>4.5999999999999996</v>
      </c>
      <c r="H471" s="127">
        <v>4.3977055449330802</v>
      </c>
      <c r="I471" s="127">
        <v>1235.3</v>
      </c>
      <c r="J471" s="127">
        <v>735</v>
      </c>
      <c r="K471" s="127">
        <v>1237.4000000000001</v>
      </c>
      <c r="L471" s="127">
        <v>63.85</v>
      </c>
      <c r="M471" s="127">
        <v>63.72</v>
      </c>
      <c r="N471" s="127">
        <v>63.86</v>
      </c>
      <c r="O471" s="127">
        <v>63.9</v>
      </c>
      <c r="P471" s="127">
        <v>63.832500000000003</v>
      </c>
      <c r="Q471" s="79">
        <v>13.25</v>
      </c>
      <c r="R471" s="79">
        <v>3.01</v>
      </c>
      <c r="S471" s="127">
        <f t="shared" si="391"/>
        <v>2.4587977707006363</v>
      </c>
      <c r="T471" s="127">
        <f t="shared" si="392"/>
        <v>2.4516672571656044</v>
      </c>
      <c r="U471" s="79">
        <f t="shared" si="393"/>
        <v>4.0067636192010703</v>
      </c>
      <c r="V471" s="127">
        <f t="shared" si="394"/>
        <v>11.725857788450753</v>
      </c>
      <c r="W471" s="127">
        <f t="shared" si="395"/>
        <v>65.829675819985766</v>
      </c>
      <c r="AC471" s="235">
        <v>161</v>
      </c>
      <c r="AD471" s="235">
        <v>91</v>
      </c>
      <c r="AE471" s="235">
        <v>44</v>
      </c>
      <c r="AF471" s="235">
        <v>15</v>
      </c>
    </row>
    <row r="472" spans="1:32" ht="14.4">
      <c r="A472" s="143" t="s">
        <v>126</v>
      </c>
      <c r="B472" s="276"/>
      <c r="C472" s="1" t="s">
        <v>306</v>
      </c>
      <c r="D472" s="1" t="s">
        <v>310</v>
      </c>
      <c r="E472" s="127">
        <v>2.5539999999999998</v>
      </c>
      <c r="F472" s="127">
        <v>2.6551944788507602</v>
      </c>
      <c r="G472" s="127">
        <v>4.5999999999999996</v>
      </c>
      <c r="H472" s="127">
        <v>4.3977055449330802</v>
      </c>
      <c r="I472" s="127">
        <v>1230.5</v>
      </c>
      <c r="J472" s="127">
        <v>730.6</v>
      </c>
      <c r="K472" s="127">
        <v>1232.0999999999999</v>
      </c>
      <c r="L472" s="127">
        <v>64.05</v>
      </c>
      <c r="M472" s="127">
        <v>64.03</v>
      </c>
      <c r="N472" s="127">
        <v>64.14</v>
      </c>
      <c r="O472" s="127">
        <v>63.98</v>
      </c>
      <c r="P472" s="127">
        <v>64.05</v>
      </c>
      <c r="Q472" s="79">
        <v>13.92</v>
      </c>
      <c r="R472" s="79">
        <v>3.24</v>
      </c>
      <c r="S472" s="127">
        <f t="shared" si="391"/>
        <v>2.4536390827517454</v>
      </c>
      <c r="T472" s="127">
        <f t="shared" si="392"/>
        <v>2.4465235294117651</v>
      </c>
      <c r="U472" s="79">
        <f t="shared" si="393"/>
        <v>4.2081625132433302</v>
      </c>
      <c r="V472" s="127">
        <f t="shared" si="394"/>
        <v>11.911061614097491</v>
      </c>
      <c r="W472" s="127">
        <f t="shared" si="395"/>
        <v>64.670130593038778</v>
      </c>
      <c r="AC472" s="235">
        <v>161</v>
      </c>
      <c r="AD472" s="235">
        <v>91</v>
      </c>
      <c r="AE472" s="235">
        <v>44</v>
      </c>
      <c r="AF472" s="235">
        <v>15</v>
      </c>
    </row>
    <row r="473" spans="1:32" ht="14.4">
      <c r="A473" s="143" t="s">
        <v>126</v>
      </c>
      <c r="B473" s="276"/>
      <c r="C473" s="1" t="s">
        <v>306</v>
      </c>
      <c r="D473" s="1" t="s">
        <v>311</v>
      </c>
      <c r="E473" s="127">
        <v>2.5539999999999998</v>
      </c>
      <c r="F473" s="127">
        <v>2.6551944788507602</v>
      </c>
      <c r="G473" s="127">
        <v>4.5999999999999996</v>
      </c>
      <c r="H473" s="127">
        <v>4.3977055449330802</v>
      </c>
      <c r="I473" s="127">
        <v>1230.5</v>
      </c>
      <c r="J473" s="127">
        <v>730.9</v>
      </c>
      <c r="K473" s="127">
        <v>1232.9000000000001</v>
      </c>
      <c r="L473" s="127">
        <v>64.260000000000005</v>
      </c>
      <c r="M473" s="127">
        <v>64.31</v>
      </c>
      <c r="N473" s="127">
        <v>64.349999999999994</v>
      </c>
      <c r="O473" s="127">
        <v>64.25</v>
      </c>
      <c r="P473" s="127">
        <v>64.292500000000004</v>
      </c>
      <c r="Q473" s="79">
        <v>13.5</v>
      </c>
      <c r="R473" s="79">
        <v>2.88</v>
      </c>
      <c r="S473" s="127">
        <f t="shared" si="391"/>
        <v>2.4511952191235054</v>
      </c>
      <c r="T473" s="127">
        <f t="shared" si="392"/>
        <v>2.444086752988047</v>
      </c>
      <c r="U473" s="79">
        <f t="shared" si="393"/>
        <v>4.303572709943337</v>
      </c>
      <c r="V473" s="127">
        <f t="shared" si="394"/>
        <v>11.998799600537666</v>
      </c>
      <c r="W473" s="127">
        <f t="shared" si="395"/>
        <v>64.133306220478133</v>
      </c>
      <c r="AC473" s="235">
        <v>161</v>
      </c>
      <c r="AD473" s="235">
        <v>91</v>
      </c>
      <c r="AE473" s="235">
        <v>44</v>
      </c>
      <c r="AF473" s="235">
        <v>15</v>
      </c>
    </row>
    <row r="474" spans="1:32" ht="14.4">
      <c r="A474" s="143" t="s">
        <v>127</v>
      </c>
      <c r="B474" s="280" t="s">
        <v>262</v>
      </c>
      <c r="C474" s="1" t="s">
        <v>306</v>
      </c>
      <c r="D474" s="1" t="s">
        <v>307</v>
      </c>
      <c r="E474" s="127">
        <v>2.5720000000000001</v>
      </c>
      <c r="F474" s="127">
        <v>2.6431947295581502</v>
      </c>
      <c r="G474" s="127">
        <v>4</v>
      </c>
      <c r="H474" s="127">
        <v>3.8461538461538498</v>
      </c>
      <c r="I474" s="127">
        <v>1191.5999999999999</v>
      </c>
      <c r="J474" s="127">
        <v>716.6</v>
      </c>
      <c r="K474" s="127">
        <v>1192.5</v>
      </c>
      <c r="L474" s="127">
        <v>62.69</v>
      </c>
      <c r="M474" s="127">
        <v>62.59</v>
      </c>
      <c r="N474" s="127">
        <v>62.33</v>
      </c>
      <c r="O474" s="127">
        <v>62.47</v>
      </c>
      <c r="P474" s="127">
        <v>62.52</v>
      </c>
      <c r="Q474" s="79">
        <v>16.440000000000001</v>
      </c>
      <c r="R474" s="79">
        <v>3</v>
      </c>
      <c r="S474" s="127">
        <f t="shared" si="391"/>
        <v>2.5038873712964906</v>
      </c>
      <c r="T474" s="127">
        <f t="shared" si="392"/>
        <v>2.496626097919731</v>
      </c>
      <c r="U474" s="79">
        <f t="shared" si="393"/>
        <v>2.9305560684396936</v>
      </c>
      <c r="V474" s="127">
        <f t="shared" si="394"/>
        <v>9.1780113517475428</v>
      </c>
      <c r="W474" s="127">
        <f t="shared" si="395"/>
        <v>68.069814297171249</v>
      </c>
      <c r="X474" s="132">
        <f>AVERAGE(S474:S478)</f>
        <v>2.4915797569116216</v>
      </c>
      <c r="Y474" s="132">
        <f t="shared" ref="Y474" si="428">AVERAGE(T474:T478)</f>
        <v>2.4843541756165775</v>
      </c>
      <c r="Z474" s="133">
        <f t="shared" ref="Z474" si="429">AVERAGE(U474:U478)</f>
        <v>3.4076914612528171</v>
      </c>
      <c r="AA474" s="132">
        <f t="shared" ref="AA474" si="430">AVERAGE(V474:V478)</f>
        <v>9.6244379868924401</v>
      </c>
      <c r="AB474" s="132">
        <f t="shared" ref="AB474" si="431">AVERAGE(W474:W478)</f>
        <v>64.660399845835443</v>
      </c>
      <c r="AC474" s="235">
        <v>161</v>
      </c>
      <c r="AD474" s="235">
        <v>91</v>
      </c>
      <c r="AE474" s="235">
        <v>44</v>
      </c>
      <c r="AF474" s="235">
        <v>15</v>
      </c>
    </row>
    <row r="475" spans="1:32" ht="14.4">
      <c r="A475" s="143" t="s">
        <v>127</v>
      </c>
      <c r="B475" s="276"/>
      <c r="C475" s="1" t="s">
        <v>306</v>
      </c>
      <c r="D475" s="1" t="s">
        <v>308</v>
      </c>
      <c r="E475" s="127">
        <v>2.5720000000000001</v>
      </c>
      <c r="F475" s="127">
        <v>2.6431947295581502</v>
      </c>
      <c r="G475" s="127">
        <v>4</v>
      </c>
      <c r="H475" s="127">
        <v>3.8461538461538498</v>
      </c>
      <c r="I475" s="127">
        <v>1213.0999999999999</v>
      </c>
      <c r="J475" s="127">
        <v>727.3</v>
      </c>
      <c r="K475" s="127">
        <v>1214</v>
      </c>
      <c r="L475" s="127">
        <v>63.3</v>
      </c>
      <c r="M475" s="127">
        <v>63.75</v>
      </c>
      <c r="N475" s="127">
        <v>63.4</v>
      </c>
      <c r="O475" s="127">
        <v>63.18</v>
      </c>
      <c r="P475" s="127">
        <v>63.407499999999999</v>
      </c>
      <c r="Q475" s="79">
        <v>15.49</v>
      </c>
      <c r="R475" s="79">
        <v>2.64</v>
      </c>
      <c r="S475" s="127">
        <f t="shared" si="391"/>
        <v>2.4925005136634475</v>
      </c>
      <c r="T475" s="127">
        <f t="shared" si="392"/>
        <v>2.4852722621738232</v>
      </c>
      <c r="U475" s="79">
        <f t="shared" si="393"/>
        <v>3.3719960274563254</v>
      </c>
      <c r="V475" s="127">
        <f t="shared" si="394"/>
        <v>9.5910399354382179</v>
      </c>
      <c r="W475" s="127">
        <f t="shared" si="395"/>
        <v>64.842227222962165</v>
      </c>
      <c r="AC475" s="235">
        <v>161</v>
      </c>
      <c r="AD475" s="235">
        <v>91</v>
      </c>
      <c r="AE475" s="235">
        <v>44</v>
      </c>
      <c r="AF475" s="235">
        <v>15</v>
      </c>
    </row>
    <row r="476" spans="1:32" ht="14.4">
      <c r="A476" s="143" t="s">
        <v>127</v>
      </c>
      <c r="B476" s="276"/>
      <c r="C476" s="1" t="s">
        <v>306</v>
      </c>
      <c r="D476" s="1" t="s">
        <v>309</v>
      </c>
      <c r="E476" s="127">
        <v>2.5720000000000001</v>
      </c>
      <c r="F476" s="127">
        <v>2.6431947295581502</v>
      </c>
      <c r="G476" s="127">
        <v>4</v>
      </c>
      <c r="H476" s="127">
        <v>3.8461538461538498</v>
      </c>
      <c r="I476" s="127">
        <v>1212.7</v>
      </c>
      <c r="J476" s="127">
        <v>728</v>
      </c>
      <c r="K476" s="127">
        <v>1214</v>
      </c>
      <c r="L476" s="127">
        <v>64.02</v>
      </c>
      <c r="M476" s="127">
        <v>64.11</v>
      </c>
      <c r="N476" s="127">
        <v>64.34</v>
      </c>
      <c r="O476" s="127">
        <v>64.319999999999993</v>
      </c>
      <c r="P476" s="127">
        <v>64.197500000000005</v>
      </c>
      <c r="Q476" s="79">
        <v>15.97</v>
      </c>
      <c r="R476" s="79">
        <v>2.3199999999999998</v>
      </c>
      <c r="S476" s="127">
        <f t="shared" si="391"/>
        <v>2.4952674897119342</v>
      </c>
      <c r="T476" s="127">
        <f t="shared" si="392"/>
        <v>2.4880312139917695</v>
      </c>
      <c r="U476" s="79">
        <f t="shared" si="393"/>
        <v>3.2647272942546879</v>
      </c>
      <c r="V476" s="127">
        <f t="shared" si="394"/>
        <v>9.4906750906986019</v>
      </c>
      <c r="W476" s="127">
        <f t="shared" si="395"/>
        <v>65.60068421840397</v>
      </c>
      <c r="AC476" s="235">
        <v>161</v>
      </c>
      <c r="AD476" s="235">
        <v>91</v>
      </c>
      <c r="AE476" s="235">
        <v>44</v>
      </c>
      <c r="AF476" s="235">
        <v>15</v>
      </c>
    </row>
    <row r="477" spans="1:32" ht="14.4">
      <c r="A477" s="143" t="s">
        <v>127</v>
      </c>
      <c r="B477" s="276"/>
      <c r="C477" s="1" t="s">
        <v>306</v>
      </c>
      <c r="D477" s="1" t="s">
        <v>310</v>
      </c>
      <c r="E477" s="127">
        <v>2.5720000000000001</v>
      </c>
      <c r="F477" s="127">
        <v>2.6431947295581502</v>
      </c>
      <c r="G477" s="127">
        <v>4</v>
      </c>
      <c r="H477" s="127">
        <v>3.8461538461538498</v>
      </c>
      <c r="I477" s="127">
        <v>1213.2</v>
      </c>
      <c r="J477" s="127">
        <v>724.7</v>
      </c>
      <c r="K477" s="127">
        <v>1213.9000000000001</v>
      </c>
      <c r="L477" s="127">
        <v>63.37</v>
      </c>
      <c r="M477" s="127">
        <v>63.71</v>
      </c>
      <c r="N477" s="127">
        <v>63.45</v>
      </c>
      <c r="O477" s="127">
        <v>63.47</v>
      </c>
      <c r="P477" s="127">
        <v>63.5</v>
      </c>
      <c r="Q477" s="79">
        <v>13.86</v>
      </c>
      <c r="R477" s="79">
        <v>1.88</v>
      </c>
      <c r="S477" s="127">
        <f t="shared" si="391"/>
        <v>2.479967293540474</v>
      </c>
      <c r="T477" s="127">
        <f t="shared" si="392"/>
        <v>2.4727753883892065</v>
      </c>
      <c r="U477" s="79">
        <f t="shared" si="393"/>
        <v>3.8578775898442275</v>
      </c>
      <c r="V477" s="127">
        <f t="shared" si="394"/>
        <v>10.045649830748857</v>
      </c>
      <c r="W477" s="127">
        <f t="shared" si="395"/>
        <v>61.596535268075939</v>
      </c>
      <c r="AC477" s="235">
        <v>161</v>
      </c>
      <c r="AD477" s="235">
        <v>91</v>
      </c>
      <c r="AE477" s="235">
        <v>44</v>
      </c>
      <c r="AF477" s="235">
        <v>15</v>
      </c>
    </row>
    <row r="478" spans="1:32" ht="14.4">
      <c r="A478" s="143" t="s">
        <v>127</v>
      </c>
      <c r="B478" s="276"/>
      <c r="C478" s="1" t="s">
        <v>306</v>
      </c>
      <c r="D478" s="1" t="s">
        <v>311</v>
      </c>
      <c r="E478" s="127">
        <v>2.5720000000000001</v>
      </c>
      <c r="F478" s="127">
        <v>2.6431947295581502</v>
      </c>
      <c r="G478" s="127">
        <v>4</v>
      </c>
      <c r="H478" s="127">
        <v>3.8461538461538498</v>
      </c>
      <c r="I478" s="127">
        <v>1213.8</v>
      </c>
      <c r="J478" s="127">
        <v>726.1</v>
      </c>
      <c r="K478" s="127">
        <v>1214.3</v>
      </c>
      <c r="L478" s="127">
        <v>63.72</v>
      </c>
      <c r="M478" s="127">
        <v>63.86</v>
      </c>
      <c r="N478" s="127">
        <v>63.97</v>
      </c>
      <c r="O478" s="127">
        <v>63.65</v>
      </c>
      <c r="P478" s="127">
        <v>63.8</v>
      </c>
      <c r="Q478" s="79">
        <v>14.61</v>
      </c>
      <c r="R478" s="79">
        <v>2.41</v>
      </c>
      <c r="S478" s="127">
        <f t="shared" si="391"/>
        <v>2.4862761163457603</v>
      </c>
      <c r="T478" s="127">
        <f t="shared" si="392"/>
        <v>2.4790659156083574</v>
      </c>
      <c r="U478" s="79">
        <f t="shared" si="393"/>
        <v>3.6133003262691532</v>
      </c>
      <c r="V478" s="127">
        <f t="shared" si="394"/>
        <v>9.8168137258289789</v>
      </c>
      <c r="W478" s="127">
        <f t="shared" si="395"/>
        <v>63.192738222563882</v>
      </c>
      <c r="AC478" s="235">
        <v>161</v>
      </c>
      <c r="AD478" s="235">
        <v>91</v>
      </c>
      <c r="AE478" s="235">
        <v>44</v>
      </c>
      <c r="AF478" s="235">
        <v>15</v>
      </c>
    </row>
    <row r="479" spans="1:32" ht="14.4">
      <c r="A479" s="143" t="s">
        <v>127</v>
      </c>
      <c r="B479" s="280" t="s">
        <v>255</v>
      </c>
      <c r="C479" s="1" t="s">
        <v>312</v>
      </c>
      <c r="D479" s="1" t="s">
        <v>307</v>
      </c>
      <c r="E479" s="127">
        <v>2.516</v>
      </c>
      <c r="F479" s="127">
        <v>2.6400032194419198</v>
      </c>
      <c r="G479" s="127">
        <v>4.8</v>
      </c>
      <c r="H479" s="127">
        <v>4.5801526717557302</v>
      </c>
      <c r="I479" s="127">
        <v>1219.0999999999999</v>
      </c>
      <c r="J479" s="127">
        <v>717.8</v>
      </c>
      <c r="K479" s="127">
        <v>1221.2</v>
      </c>
      <c r="L479" s="127">
        <v>62.69</v>
      </c>
      <c r="M479" s="127">
        <v>62.59</v>
      </c>
      <c r="N479" s="127">
        <v>62.33</v>
      </c>
      <c r="O479" s="127">
        <v>62.47</v>
      </c>
      <c r="P479" s="127">
        <v>62.52</v>
      </c>
      <c r="Q479" s="79">
        <v>15.97</v>
      </c>
      <c r="R479" s="79">
        <v>1.81</v>
      </c>
      <c r="S479" s="127">
        <f t="shared" si="391"/>
        <v>2.4217322208978938</v>
      </c>
      <c r="T479" s="127">
        <f t="shared" si="392"/>
        <v>2.4147091974572898</v>
      </c>
      <c r="U479" s="79">
        <f t="shared" si="393"/>
        <v>4.0258665557516</v>
      </c>
      <c r="V479" s="127">
        <f t="shared" si="394"/>
        <v>12.723143189124855</v>
      </c>
      <c r="W479" s="127">
        <f t="shared" si="395"/>
        <v>68.357924642452176</v>
      </c>
      <c r="X479" s="132">
        <f>AVERAGE(S479:S483)</f>
        <v>2.4229956081604671</v>
      </c>
      <c r="Y479" s="132">
        <f t="shared" ref="Y479" si="432">AVERAGE(T479:T483)</f>
        <v>2.4159689208968018</v>
      </c>
      <c r="Z479" s="133">
        <f t="shared" ref="Z479" si="433">AVERAGE(U479:U483)</f>
        <v>3.9757980565659046</v>
      </c>
      <c r="AA479" s="132">
        <f t="shared" ref="AA479" si="434">AVERAGE(V479:V483)</f>
        <v>12.677611949848764</v>
      </c>
      <c r="AB479" s="132">
        <f t="shared" ref="AB479" si="435">AVERAGE(W479:W483)</f>
        <v>68.640434045036045</v>
      </c>
      <c r="AC479" s="235">
        <v>161</v>
      </c>
      <c r="AD479" s="235">
        <v>91</v>
      </c>
      <c r="AE479" s="235">
        <v>44</v>
      </c>
      <c r="AF479" s="235">
        <v>15</v>
      </c>
    </row>
    <row r="480" spans="1:32" ht="14.4">
      <c r="A480" s="143" t="s">
        <v>127</v>
      </c>
      <c r="B480" s="276"/>
      <c r="C480" s="1" t="s">
        <v>312</v>
      </c>
      <c r="D480" s="1" t="s">
        <v>308</v>
      </c>
      <c r="E480" s="127">
        <v>2.516</v>
      </c>
      <c r="F480" s="127">
        <v>2.6400032194419198</v>
      </c>
      <c r="G480" s="127">
        <v>4.8</v>
      </c>
      <c r="H480" s="127">
        <v>4.5801526717557302</v>
      </c>
      <c r="I480" s="127">
        <v>1218.4000000000001</v>
      </c>
      <c r="J480" s="127">
        <v>719.3</v>
      </c>
      <c r="K480" s="127">
        <v>1222.0999999999999</v>
      </c>
      <c r="L480" s="127">
        <v>63.3</v>
      </c>
      <c r="M480" s="127">
        <v>63.75</v>
      </c>
      <c r="N480" s="127">
        <v>63.4</v>
      </c>
      <c r="O480" s="127">
        <v>63.18</v>
      </c>
      <c r="P480" s="127">
        <v>63.407499999999999</v>
      </c>
      <c r="Q480" s="79">
        <v>14.48</v>
      </c>
      <c r="R480" s="79">
        <v>2.84</v>
      </c>
      <c r="S480" s="127">
        <f t="shared" si="391"/>
        <v>2.423229912490056</v>
      </c>
      <c r="T480" s="127">
        <f t="shared" si="392"/>
        <v>2.4162025457438348</v>
      </c>
      <c r="U480" s="79">
        <f t="shared" si="393"/>
        <v>3.966512490308638</v>
      </c>
      <c r="V480" s="127">
        <f t="shared" si="394"/>
        <v>12.66916785134471</v>
      </c>
      <c r="W480" s="127">
        <f t="shared" si="395"/>
        <v>68.691609923791248</v>
      </c>
      <c r="AC480" s="235">
        <v>161</v>
      </c>
      <c r="AD480" s="235">
        <v>91</v>
      </c>
      <c r="AE480" s="235">
        <v>44</v>
      </c>
      <c r="AF480" s="235">
        <v>15</v>
      </c>
    </row>
    <row r="481" spans="1:32" ht="14.4">
      <c r="A481" s="143" t="s">
        <v>127</v>
      </c>
      <c r="B481" s="276"/>
      <c r="C481" s="1" t="s">
        <v>312</v>
      </c>
      <c r="D481" s="1" t="s">
        <v>309</v>
      </c>
      <c r="E481" s="127">
        <v>2.516</v>
      </c>
      <c r="F481" s="127">
        <v>2.6400032194419198</v>
      </c>
      <c r="G481" s="127">
        <v>4.8</v>
      </c>
      <c r="H481" s="127">
        <v>4.5801526717557302</v>
      </c>
      <c r="I481" s="127">
        <v>1226.0999999999999</v>
      </c>
      <c r="J481" s="127">
        <v>721.6</v>
      </c>
      <c r="K481" s="127">
        <v>1228</v>
      </c>
      <c r="L481" s="127">
        <v>64.02</v>
      </c>
      <c r="M481" s="127">
        <v>64.11</v>
      </c>
      <c r="N481" s="127">
        <v>64.34</v>
      </c>
      <c r="O481" s="127">
        <v>64.319999999999993</v>
      </c>
      <c r="P481" s="127">
        <v>64.197500000000005</v>
      </c>
      <c r="Q481" s="79">
        <v>14.39</v>
      </c>
      <c r="R481" s="79">
        <v>2.12</v>
      </c>
      <c r="S481" s="127">
        <f t="shared" si="391"/>
        <v>2.421208530805687</v>
      </c>
      <c r="T481" s="127">
        <f t="shared" si="392"/>
        <v>2.4141870260663505</v>
      </c>
      <c r="U481" s="79">
        <f t="shared" si="393"/>
        <v>4.0466205855981485</v>
      </c>
      <c r="V481" s="127">
        <f t="shared" si="394"/>
        <v>12.742016467019241</v>
      </c>
      <c r="W481" s="127">
        <f t="shared" si="395"/>
        <v>68.241913702809867</v>
      </c>
      <c r="AC481" s="235">
        <v>161</v>
      </c>
      <c r="AD481" s="235">
        <v>91</v>
      </c>
      <c r="AE481" s="235">
        <v>44</v>
      </c>
      <c r="AF481" s="235">
        <v>15</v>
      </c>
    </row>
    <row r="482" spans="1:32" ht="14.4">
      <c r="A482" s="143" t="s">
        <v>127</v>
      </c>
      <c r="B482" s="276"/>
      <c r="C482" s="1" t="s">
        <v>312</v>
      </c>
      <c r="D482" s="1" t="s">
        <v>310</v>
      </c>
      <c r="E482" s="127">
        <v>2.516</v>
      </c>
      <c r="F482" s="127">
        <v>2.6400032194419198</v>
      </c>
      <c r="G482" s="127">
        <v>4.8</v>
      </c>
      <c r="H482" s="127">
        <v>4.5801526717557302</v>
      </c>
      <c r="I482" s="127">
        <v>1224.5</v>
      </c>
      <c r="J482" s="127">
        <v>722.3</v>
      </c>
      <c r="K482" s="127">
        <v>1227.5</v>
      </c>
      <c r="L482" s="127">
        <v>63.37</v>
      </c>
      <c r="M482" s="127">
        <v>63.71</v>
      </c>
      <c r="N482" s="127">
        <v>63.45</v>
      </c>
      <c r="O482" s="127">
        <v>63.47</v>
      </c>
      <c r="P482" s="127">
        <v>63.5</v>
      </c>
      <c r="Q482" s="79">
        <v>15.19</v>
      </c>
      <c r="R482" s="79">
        <v>2.63</v>
      </c>
      <c r="S482" s="127">
        <f t="shared" si="391"/>
        <v>2.4237925574030084</v>
      </c>
      <c r="T482" s="127">
        <f t="shared" si="392"/>
        <v>2.4167635589865397</v>
      </c>
      <c r="U482" s="79">
        <f t="shared" si="393"/>
        <v>3.9442146666717082</v>
      </c>
      <c r="V482" s="127">
        <f t="shared" si="394"/>
        <v>12.648890679872423</v>
      </c>
      <c r="W482" s="127">
        <f t="shared" si="395"/>
        <v>68.817702939373575</v>
      </c>
      <c r="AC482" s="235">
        <v>161</v>
      </c>
      <c r="AD482" s="235">
        <v>91</v>
      </c>
      <c r="AE482" s="235">
        <v>44</v>
      </c>
      <c r="AF482" s="235">
        <v>15</v>
      </c>
    </row>
    <row r="483" spans="1:32" ht="14.4">
      <c r="A483" s="143" t="s">
        <v>127</v>
      </c>
      <c r="B483" s="276"/>
      <c r="C483" s="1" t="s">
        <v>312</v>
      </c>
      <c r="D483" s="1" t="s">
        <v>311</v>
      </c>
      <c r="E483" s="127">
        <v>2.516</v>
      </c>
      <c r="F483" s="127">
        <v>2.6400032194419198</v>
      </c>
      <c r="G483" s="127">
        <v>4.8</v>
      </c>
      <c r="H483" s="127">
        <v>4.5801526717557302</v>
      </c>
      <c r="I483" s="127">
        <v>1227.3</v>
      </c>
      <c r="J483" s="127">
        <v>724.5</v>
      </c>
      <c r="K483" s="127">
        <v>1230.5999999999999</v>
      </c>
      <c r="L483" s="127">
        <v>63.72</v>
      </c>
      <c r="M483" s="127">
        <v>63.86</v>
      </c>
      <c r="N483" s="127">
        <v>63.97</v>
      </c>
      <c r="O483" s="127">
        <v>63.65</v>
      </c>
      <c r="P483" s="127">
        <v>63.8</v>
      </c>
      <c r="Q483" s="79">
        <v>17.52</v>
      </c>
      <c r="R483" s="79">
        <v>1.66</v>
      </c>
      <c r="S483" s="127">
        <f t="shared" si="391"/>
        <v>2.4250148192056908</v>
      </c>
      <c r="T483" s="127">
        <f t="shared" si="392"/>
        <v>2.4179822762299943</v>
      </c>
      <c r="U483" s="79">
        <f t="shared" si="393"/>
        <v>3.8957759844994277</v>
      </c>
      <c r="V483" s="127">
        <f t="shared" si="394"/>
        <v>12.604841561882594</v>
      </c>
      <c r="W483" s="127">
        <f t="shared" si="395"/>
        <v>69.093019016753303</v>
      </c>
      <c r="AC483" s="235">
        <v>161</v>
      </c>
      <c r="AD483" s="235">
        <v>91</v>
      </c>
      <c r="AE483" s="235">
        <v>44</v>
      </c>
      <c r="AF483" s="235">
        <v>15</v>
      </c>
    </row>
    <row r="484" spans="1:32">
      <c r="A484" s="1" t="s">
        <v>129</v>
      </c>
      <c r="B484" s="280" t="s">
        <v>254</v>
      </c>
      <c r="C484" s="1" t="s">
        <v>306</v>
      </c>
      <c r="D484" s="1" t="s">
        <v>307</v>
      </c>
      <c r="E484" s="127">
        <v>2.5499999999999998</v>
      </c>
      <c r="F484" s="127">
        <v>2.6479330227609701</v>
      </c>
      <c r="G484" s="127">
        <v>4.5999999999999996</v>
      </c>
      <c r="H484" s="127">
        <v>4.3977055449330802</v>
      </c>
      <c r="I484" s="127">
        <v>1220.4000000000001</v>
      </c>
      <c r="J484" s="127">
        <v>724.9</v>
      </c>
      <c r="K484" s="127">
        <v>1222.5</v>
      </c>
      <c r="L484" s="127">
        <v>63.98</v>
      </c>
      <c r="M484" s="127">
        <v>63.87</v>
      </c>
      <c r="N484" s="127">
        <v>64.150000000000006</v>
      </c>
      <c r="O484" s="127">
        <v>64.16</v>
      </c>
      <c r="P484" s="127">
        <v>64.040000000000006</v>
      </c>
      <c r="Q484" s="79">
        <v>16.899999999999999</v>
      </c>
      <c r="R484" s="79">
        <v>1.51</v>
      </c>
      <c r="S484" s="127">
        <v>2.4525723472668801</v>
      </c>
      <c r="T484" s="127">
        <v>2.4454598874598101</v>
      </c>
      <c r="U484" s="79">
        <v>4.0996122564781503</v>
      </c>
      <c r="V484" s="127">
        <v>11.7078966010948</v>
      </c>
      <c r="W484" s="127">
        <v>64.984211971134201</v>
      </c>
      <c r="X484" s="132">
        <f>AVERAGE(S484:S488)</f>
        <v>2.4457005898046158</v>
      </c>
      <c r="Y484" s="132">
        <f t="shared" ref="Y484" si="436">AVERAGE(T484:T488)</f>
        <v>2.4386080580941818</v>
      </c>
      <c r="Z484" s="133">
        <f t="shared" ref="Z484" si="437">AVERAGE(U484:U488)</f>
        <v>4.3683114472869784</v>
      </c>
      <c r="AA484" s="132">
        <f t="shared" ref="AA484" si="438">AVERAGE(V484:V488)</f>
        <v>11.955278465718161</v>
      </c>
      <c r="AB484" s="132">
        <f t="shared" ref="AB484" si="439">AVERAGE(W484:W488)</f>
        <v>63.519201229037606</v>
      </c>
      <c r="AC484" s="235">
        <v>161</v>
      </c>
      <c r="AD484" s="235">
        <v>91</v>
      </c>
      <c r="AE484" s="235">
        <v>44</v>
      </c>
      <c r="AF484" s="235">
        <v>15</v>
      </c>
    </row>
    <row r="485" spans="1:32">
      <c r="A485" s="1" t="s">
        <v>129</v>
      </c>
      <c r="B485" s="276"/>
      <c r="C485" s="1" t="s">
        <v>306</v>
      </c>
      <c r="D485" s="1" t="s">
        <v>308</v>
      </c>
      <c r="E485" s="127">
        <v>2.5499999999999998</v>
      </c>
      <c r="F485" s="127">
        <v>2.6479330227609701</v>
      </c>
      <c r="G485" s="127">
        <v>4.5999999999999996</v>
      </c>
      <c r="H485" s="127">
        <v>4.3977055449330802</v>
      </c>
      <c r="I485" s="127">
        <v>1207.0999999999999</v>
      </c>
      <c r="J485" s="127">
        <v>715.1</v>
      </c>
      <c r="K485" s="127">
        <v>1208.9000000000001</v>
      </c>
      <c r="L485" s="127">
        <v>63.26</v>
      </c>
      <c r="M485" s="127">
        <v>63.57</v>
      </c>
      <c r="N485" s="127">
        <v>63.59</v>
      </c>
      <c r="O485" s="127">
        <v>63.51</v>
      </c>
      <c r="P485" s="127">
        <v>63.482500000000002</v>
      </c>
      <c r="Q485" s="79">
        <v>16.66</v>
      </c>
      <c r="R485" s="79">
        <v>3.39</v>
      </c>
      <c r="S485" s="127">
        <v>2.44451194815715</v>
      </c>
      <c r="T485" s="127">
        <v>2.4374228635074902</v>
      </c>
      <c r="U485" s="79">
        <v>4.4147896663728403</v>
      </c>
      <c r="V485" s="127">
        <v>11.998069322167099</v>
      </c>
      <c r="W485" s="127">
        <v>63.204166038478498</v>
      </c>
      <c r="AC485" s="235">
        <v>161</v>
      </c>
      <c r="AD485" s="235">
        <v>91</v>
      </c>
      <c r="AE485" s="235">
        <v>44</v>
      </c>
      <c r="AF485" s="235">
        <v>15</v>
      </c>
    </row>
    <row r="486" spans="1:32">
      <c r="A486" s="1" t="s">
        <v>129</v>
      </c>
      <c r="B486" s="276"/>
      <c r="C486" s="1" t="s">
        <v>306</v>
      </c>
      <c r="D486" s="1" t="s">
        <v>309</v>
      </c>
      <c r="E486" s="127">
        <v>2.5499999999999998</v>
      </c>
      <c r="F486" s="127">
        <v>2.6479330227609701</v>
      </c>
      <c r="G486" s="127">
        <v>4.5999999999999996</v>
      </c>
      <c r="H486" s="127">
        <v>4.3977055449330802</v>
      </c>
      <c r="I486" s="127">
        <v>1217.3</v>
      </c>
      <c r="J486" s="127">
        <v>719.8</v>
      </c>
      <c r="K486" s="127">
        <v>1219.5</v>
      </c>
      <c r="L486" s="127">
        <v>63.85</v>
      </c>
      <c r="M486" s="127">
        <v>63.72</v>
      </c>
      <c r="N486" s="127">
        <v>63.86</v>
      </c>
      <c r="O486" s="127">
        <v>63.9</v>
      </c>
      <c r="P486" s="127">
        <v>63.832500000000003</v>
      </c>
      <c r="Q486" s="79">
        <v>16.940000000000001</v>
      </c>
      <c r="R486" s="79">
        <v>1.7</v>
      </c>
      <c r="S486" s="127">
        <v>2.4360616369821901</v>
      </c>
      <c r="T486" s="127">
        <v>2.4289970582349398</v>
      </c>
      <c r="U486" s="79">
        <v>4.7452134025513502</v>
      </c>
      <c r="V486" s="127">
        <v>12.3022787979217</v>
      </c>
      <c r="W486" s="127">
        <v>61.428175377126202</v>
      </c>
      <c r="AC486" s="235">
        <v>161</v>
      </c>
      <c r="AD486" s="235">
        <v>91</v>
      </c>
      <c r="AE486" s="235">
        <v>44</v>
      </c>
      <c r="AF486" s="235">
        <v>15</v>
      </c>
    </row>
    <row r="487" spans="1:32">
      <c r="A487" s="1" t="s">
        <v>129</v>
      </c>
      <c r="B487" s="276"/>
      <c r="C487" s="1" t="s">
        <v>306</v>
      </c>
      <c r="D487" s="1" t="s">
        <v>310</v>
      </c>
      <c r="E487" s="127">
        <v>2.5499999999999998</v>
      </c>
      <c r="F487" s="127">
        <v>2.6479330227609701</v>
      </c>
      <c r="G487" s="127">
        <v>4.5999999999999996</v>
      </c>
      <c r="H487" s="127">
        <v>4.3977055449330802</v>
      </c>
      <c r="I487" s="127">
        <v>1216.5999999999999</v>
      </c>
      <c r="J487" s="127">
        <v>719.2</v>
      </c>
      <c r="K487" s="127">
        <v>1218.7</v>
      </c>
      <c r="L487" s="127">
        <v>64.05</v>
      </c>
      <c r="M487" s="127">
        <v>64.03</v>
      </c>
      <c r="N487" s="127">
        <v>64.14</v>
      </c>
      <c r="O487" s="127">
        <v>63.98</v>
      </c>
      <c r="P487" s="127">
        <v>64.05</v>
      </c>
      <c r="Q487" s="79">
        <v>16.13</v>
      </c>
      <c r="R487" s="79">
        <v>1.19</v>
      </c>
      <c r="S487" s="127">
        <v>2.4356356356356401</v>
      </c>
      <c r="T487" s="127">
        <v>2.4285722922922899</v>
      </c>
      <c r="U487" s="79">
        <v>4.7618708904983604</v>
      </c>
      <c r="V487" s="127">
        <v>12.3176147593582</v>
      </c>
      <c r="W487" s="127">
        <v>61.340965896984599</v>
      </c>
      <c r="AC487" s="235">
        <v>161</v>
      </c>
      <c r="AD487" s="235">
        <v>91</v>
      </c>
      <c r="AE487" s="235">
        <v>44</v>
      </c>
      <c r="AF487" s="235">
        <v>15</v>
      </c>
    </row>
    <row r="488" spans="1:32">
      <c r="A488" s="1" t="s">
        <v>129</v>
      </c>
      <c r="B488" s="276"/>
      <c r="C488" s="1" t="s">
        <v>306</v>
      </c>
      <c r="D488" s="1" t="s">
        <v>311</v>
      </c>
      <c r="E488" s="127">
        <v>2.5499999999999998</v>
      </c>
      <c r="F488" s="127">
        <v>2.6479330227609701</v>
      </c>
      <c r="G488" s="127">
        <v>4.5999999999999996</v>
      </c>
      <c r="H488" s="127">
        <v>4.3977055449330802</v>
      </c>
      <c r="I488" s="127">
        <v>1218.3</v>
      </c>
      <c r="J488" s="127">
        <v>724.3</v>
      </c>
      <c r="K488" s="127">
        <v>1219.5999999999999</v>
      </c>
      <c r="L488" s="127">
        <v>64.260000000000005</v>
      </c>
      <c r="M488" s="127">
        <v>64.31</v>
      </c>
      <c r="N488" s="127">
        <v>64.349999999999994</v>
      </c>
      <c r="O488" s="127">
        <v>64.25</v>
      </c>
      <c r="P488" s="127">
        <v>64.292500000000004</v>
      </c>
      <c r="Q488" s="79">
        <v>19.899999999999999</v>
      </c>
      <c r="R488" s="79">
        <v>1.95</v>
      </c>
      <c r="S488" s="127">
        <v>2.45972138098122</v>
      </c>
      <c r="T488" s="127">
        <v>2.4525881889763799</v>
      </c>
      <c r="U488" s="79">
        <v>3.8200710205341899</v>
      </c>
      <c r="V488" s="127">
        <v>11.450532848049001</v>
      </c>
      <c r="W488" s="127">
        <v>66.6384868614645</v>
      </c>
      <c r="AC488" s="235">
        <v>161</v>
      </c>
      <c r="AD488" s="235">
        <v>91</v>
      </c>
      <c r="AE488" s="235">
        <v>44</v>
      </c>
      <c r="AF488" s="235">
        <v>15</v>
      </c>
    </row>
    <row r="489" spans="1:32">
      <c r="A489" s="1" t="s">
        <v>129</v>
      </c>
      <c r="B489" s="280" t="s">
        <v>255</v>
      </c>
      <c r="C489" s="1" t="s">
        <v>312</v>
      </c>
      <c r="D489" s="1" t="s">
        <v>307</v>
      </c>
      <c r="E489" s="127">
        <v>2.5609999999999999</v>
      </c>
      <c r="F489" s="127">
        <v>2.6467355825845802</v>
      </c>
      <c r="G489" s="127">
        <v>4.8</v>
      </c>
      <c r="H489" s="127">
        <v>4.5801526717557302</v>
      </c>
      <c r="I489" s="127">
        <v>1226.7</v>
      </c>
      <c r="J489" s="127">
        <v>730.4</v>
      </c>
      <c r="K489" s="127">
        <v>1228.0999999999999</v>
      </c>
      <c r="L489" s="127">
        <v>64.66</v>
      </c>
      <c r="M489" s="127">
        <v>64.22</v>
      </c>
      <c r="N489" s="127">
        <v>64.11</v>
      </c>
      <c r="O489" s="127">
        <v>64.36</v>
      </c>
      <c r="P489" s="127">
        <v>64.337500000000006</v>
      </c>
      <c r="Q489" s="79">
        <v>14.07</v>
      </c>
      <c r="R489" s="79">
        <v>2.2400000000000002</v>
      </c>
      <c r="S489" s="127">
        <v>2.4647377938517199</v>
      </c>
      <c r="T489" s="127">
        <v>2.4575900542495499</v>
      </c>
      <c r="U489" s="79">
        <v>4.0378737114584702</v>
      </c>
      <c r="V489" s="127">
        <v>11.3992084003694</v>
      </c>
      <c r="W489" s="127">
        <v>64.577595481738797</v>
      </c>
      <c r="X489" s="132">
        <f>AVERAGE(S489:S493)</f>
        <v>2.466439330207268</v>
      </c>
      <c r="Y489" s="132">
        <f t="shared" ref="Y489" si="440">AVERAGE(T489:T493)</f>
        <v>2.4592866561496658</v>
      </c>
      <c r="Z489" s="133">
        <f t="shared" ref="Z489" si="441">AVERAGE(U489:U493)</f>
        <v>3.9716260777170254</v>
      </c>
      <c r="AA489" s="132">
        <f t="shared" ref="AA489" si="442">AVERAGE(V489:V493)</f>
        <v>11.33804267782754</v>
      </c>
      <c r="AB489" s="132">
        <f t="shared" ref="AB489" si="443">AVERAGE(W489:W493)</f>
        <v>65.011825713558665</v>
      </c>
      <c r="AC489" s="235">
        <v>161</v>
      </c>
      <c r="AD489" s="235">
        <v>91</v>
      </c>
      <c r="AE489" s="235">
        <v>44</v>
      </c>
      <c r="AF489" s="235">
        <v>15</v>
      </c>
    </row>
    <row r="490" spans="1:32">
      <c r="A490" s="1" t="s">
        <v>129</v>
      </c>
      <c r="B490" s="276"/>
      <c r="C490" s="1" t="s">
        <v>312</v>
      </c>
      <c r="D490" s="1" t="s">
        <v>308</v>
      </c>
      <c r="E490" s="127">
        <v>2.5609999999999999</v>
      </c>
      <c r="F490" s="127">
        <v>2.6467355825845802</v>
      </c>
      <c r="G490" s="127">
        <v>4.8</v>
      </c>
      <c r="H490" s="127">
        <v>4.5801526717557302</v>
      </c>
      <c r="I490" s="127">
        <v>1235.0999999999999</v>
      </c>
      <c r="J490" s="127">
        <v>734.9</v>
      </c>
      <c r="K490" s="127">
        <v>1238.3</v>
      </c>
      <c r="L490" s="127">
        <v>62.41</v>
      </c>
      <c r="M490" s="127">
        <v>62.69</v>
      </c>
      <c r="N490" s="127">
        <v>62.35</v>
      </c>
      <c r="O490" s="127">
        <v>62.33</v>
      </c>
      <c r="P490" s="127">
        <v>62.445</v>
      </c>
      <c r="Q490" s="79">
        <v>14.16</v>
      </c>
      <c r="R490" s="79">
        <v>2.54</v>
      </c>
      <c r="S490" s="127">
        <v>2.4535160905840301</v>
      </c>
      <c r="T490" s="127">
        <v>2.44640089392133</v>
      </c>
      <c r="U490" s="79">
        <v>4.4747796204086301</v>
      </c>
      <c r="V490" s="127">
        <v>11.8025988928971</v>
      </c>
      <c r="W490" s="127">
        <v>62.086489077404998</v>
      </c>
      <c r="AC490" s="235">
        <v>161</v>
      </c>
      <c r="AD490" s="235">
        <v>91</v>
      </c>
      <c r="AE490" s="235">
        <v>44</v>
      </c>
      <c r="AF490" s="235">
        <v>15</v>
      </c>
    </row>
    <row r="491" spans="1:32">
      <c r="A491" s="1" t="s">
        <v>129</v>
      </c>
      <c r="B491" s="276"/>
      <c r="C491" s="1" t="s">
        <v>312</v>
      </c>
      <c r="D491" s="1" t="s">
        <v>309</v>
      </c>
      <c r="E491" s="127">
        <v>2.5609999999999999</v>
      </c>
      <c r="F491" s="127">
        <v>2.6467355825845802</v>
      </c>
      <c r="G491" s="127">
        <v>4.8</v>
      </c>
      <c r="H491" s="127">
        <v>4.5801526717557302</v>
      </c>
      <c r="I491" s="127">
        <v>1231.4000000000001</v>
      </c>
      <c r="J491" s="127">
        <v>733.4</v>
      </c>
      <c r="K491" s="127">
        <v>1232.5999999999999</v>
      </c>
      <c r="L491" s="127">
        <v>62.6</v>
      </c>
      <c r="M491" s="127">
        <v>61.82</v>
      </c>
      <c r="N491" s="127">
        <v>62.26</v>
      </c>
      <c r="O491" s="127">
        <v>62.39</v>
      </c>
      <c r="P491" s="127">
        <v>62.267499999999998</v>
      </c>
      <c r="Q491" s="79">
        <v>19.809999999999999</v>
      </c>
      <c r="R491" s="79">
        <v>2.4900000000000002</v>
      </c>
      <c r="S491" s="127">
        <v>2.4667467948718</v>
      </c>
      <c r="T491" s="127">
        <v>2.45959322916667</v>
      </c>
      <c r="U491" s="79">
        <v>3.9596552453468399</v>
      </c>
      <c r="V491" s="127">
        <v>11.326990137985799</v>
      </c>
      <c r="W491" s="127">
        <v>65.0422998774592</v>
      </c>
      <c r="AC491" s="235">
        <v>161</v>
      </c>
      <c r="AD491" s="235">
        <v>91</v>
      </c>
      <c r="AE491" s="235">
        <v>44</v>
      </c>
      <c r="AF491" s="235">
        <v>15</v>
      </c>
    </row>
    <row r="492" spans="1:32">
      <c r="A492" s="1" t="s">
        <v>129</v>
      </c>
      <c r="B492" s="276"/>
      <c r="C492" s="1" t="s">
        <v>312</v>
      </c>
      <c r="D492" s="1" t="s">
        <v>310</v>
      </c>
      <c r="E492" s="127">
        <v>2.5609999999999999</v>
      </c>
      <c r="F492" s="127">
        <v>2.6467355825845802</v>
      </c>
      <c r="G492" s="127">
        <v>4.8</v>
      </c>
      <c r="H492" s="127">
        <v>4.5801526717557302</v>
      </c>
      <c r="I492" s="127">
        <v>1232</v>
      </c>
      <c r="J492" s="127">
        <v>734.5</v>
      </c>
      <c r="K492" s="127">
        <v>1233</v>
      </c>
      <c r="L492" s="127">
        <v>63.12</v>
      </c>
      <c r="M492" s="127">
        <v>63.8</v>
      </c>
      <c r="N492" s="127">
        <v>63.42</v>
      </c>
      <c r="O492" s="127">
        <v>63.82</v>
      </c>
      <c r="P492" s="127">
        <v>63.54</v>
      </c>
      <c r="Q492" s="79">
        <v>14.99</v>
      </c>
      <c r="R492" s="79">
        <v>3.25</v>
      </c>
      <c r="S492" s="127">
        <v>2.47141424272818</v>
      </c>
      <c r="T492" s="127">
        <v>2.4642471414242699</v>
      </c>
      <c r="U492" s="79">
        <v>3.7779327831209399</v>
      </c>
      <c r="V492" s="127">
        <v>11.159207757297001</v>
      </c>
      <c r="W492" s="127">
        <v>66.145152368450496</v>
      </c>
      <c r="AC492" s="235">
        <v>161</v>
      </c>
      <c r="AD492" s="235">
        <v>91</v>
      </c>
      <c r="AE492" s="235">
        <v>44</v>
      </c>
      <c r="AF492" s="235">
        <v>15</v>
      </c>
    </row>
    <row r="493" spans="1:32">
      <c r="A493" s="1" t="s">
        <v>129</v>
      </c>
      <c r="B493" s="276"/>
      <c r="C493" s="1" t="s">
        <v>312</v>
      </c>
      <c r="D493" s="1" t="s">
        <v>311</v>
      </c>
      <c r="E493" s="127">
        <v>2.5609999999999999</v>
      </c>
      <c r="F493" s="127">
        <v>2.6467355825845802</v>
      </c>
      <c r="G493" s="127">
        <v>4.8</v>
      </c>
      <c r="H493" s="127">
        <v>4.5801526717557302</v>
      </c>
      <c r="I493" s="127">
        <v>1211.4000000000001</v>
      </c>
      <c r="J493" s="127">
        <v>723.1</v>
      </c>
      <c r="K493" s="127">
        <v>1212.4000000000001</v>
      </c>
      <c r="L493" s="127">
        <v>63.73</v>
      </c>
      <c r="M493" s="127">
        <v>63.7</v>
      </c>
      <c r="N493" s="127">
        <v>63.35</v>
      </c>
      <c r="O493" s="127">
        <v>62.94</v>
      </c>
      <c r="P493" s="127">
        <v>63.43</v>
      </c>
      <c r="Q493" s="79">
        <v>18.36</v>
      </c>
      <c r="R493" s="79">
        <v>2.78</v>
      </c>
      <c r="S493" s="127">
        <v>2.4757817290006101</v>
      </c>
      <c r="T493" s="127">
        <v>2.4686019619865101</v>
      </c>
      <c r="U493" s="79">
        <v>3.6078890282502498</v>
      </c>
      <c r="V493" s="127">
        <v>11.002208200588401</v>
      </c>
      <c r="W493" s="127">
        <v>67.207591762739796</v>
      </c>
      <c r="AC493" s="235">
        <v>161</v>
      </c>
      <c r="AD493" s="235">
        <v>91</v>
      </c>
      <c r="AE493" s="235">
        <v>44</v>
      </c>
      <c r="AF493" s="235">
        <v>15</v>
      </c>
    </row>
    <row r="494" spans="1:32" s="206" customFormat="1" ht="14.4">
      <c r="A494" s="1" t="s">
        <v>134</v>
      </c>
      <c r="B494" s="1" t="s">
        <v>218</v>
      </c>
      <c r="C494" s="1" t="s">
        <v>305</v>
      </c>
      <c r="D494" s="143" t="s">
        <v>510</v>
      </c>
      <c r="E494" s="127">
        <v>2.50207806288399</v>
      </c>
      <c r="F494" s="127">
        <v>2.6349056388810399</v>
      </c>
      <c r="G494" s="127">
        <v>4.8</v>
      </c>
      <c r="H494" s="127">
        <v>4.5801526717557302</v>
      </c>
      <c r="I494" s="127">
        <v>1210.4000000000001</v>
      </c>
      <c r="J494" s="127">
        <v>707.7</v>
      </c>
      <c r="K494" s="127">
        <v>1211.9000000000001</v>
      </c>
      <c r="L494" s="127">
        <v>63.98</v>
      </c>
      <c r="M494" s="127">
        <v>64.44</v>
      </c>
      <c r="N494" s="127">
        <v>63.97</v>
      </c>
      <c r="O494" s="127">
        <v>63.92</v>
      </c>
      <c r="P494" s="127">
        <v>64.13</v>
      </c>
      <c r="Q494" s="79">
        <v>15.12</v>
      </c>
      <c r="R494" s="79">
        <v>2.4700000000000002</v>
      </c>
      <c r="S494" s="127">
        <f t="shared" ref="S494:S557" si="444">I494/(K494-J494)</f>
        <v>2.4006346687822293</v>
      </c>
      <c r="T494" s="127">
        <f t="shared" ref="T494:T557" si="445">0.9971*S494</f>
        <v>2.3936728282427606</v>
      </c>
      <c r="U494" s="79">
        <v>4.3326080128881896</v>
      </c>
      <c r="V494" s="127">
        <v>12.8169608749975</v>
      </c>
      <c r="W494" s="127">
        <v>66.1962921230418</v>
      </c>
      <c r="X494" s="132">
        <f>AVERAGE(S494:S498)</f>
        <v>2.4199332517136205</v>
      </c>
      <c r="Y494" s="132">
        <f t="shared" ref="Y494" si="446">AVERAGE(T494:T498)</f>
        <v>2.4129154452836508</v>
      </c>
      <c r="Z494" s="133">
        <f t="shared" ref="Z494" si="447">AVERAGE(U494:U498)</f>
        <v>3.8595767520610473</v>
      </c>
      <c r="AA494" s="132">
        <f t="shared" ref="AA494" si="448">AVERAGE(V494:V498)</f>
        <v>11.984440270659451</v>
      </c>
      <c r="AB494" s="132">
        <f t="shared" ref="AB494" si="449">AVERAGE(W494:W498)</f>
        <v>68.203722776030574</v>
      </c>
      <c r="AC494" s="235">
        <v>111</v>
      </c>
      <c r="AD494" s="235">
        <v>124</v>
      </c>
      <c r="AE494" s="235">
        <v>41.5</v>
      </c>
      <c r="AF494" s="235">
        <v>56</v>
      </c>
    </row>
    <row r="495" spans="1:32" s="206" customFormat="1" ht="14.4">
      <c r="A495" s="1" t="s">
        <v>134</v>
      </c>
      <c r="B495" s="1" t="s">
        <v>218</v>
      </c>
      <c r="C495" s="1" t="s">
        <v>305</v>
      </c>
      <c r="D495" s="143" t="s">
        <v>511</v>
      </c>
      <c r="E495" s="127">
        <v>2.50207806288399</v>
      </c>
      <c r="F495" s="127">
        <v>2.6349056388810399</v>
      </c>
      <c r="G495" s="127">
        <v>4.8</v>
      </c>
      <c r="H495" s="127">
        <v>4.5801526717557302</v>
      </c>
      <c r="I495" s="127">
        <v>1211.5999999999999</v>
      </c>
      <c r="J495" s="127">
        <v>706</v>
      </c>
      <c r="K495" s="127">
        <v>1213</v>
      </c>
      <c r="L495" s="127">
        <v>64.099999999999994</v>
      </c>
      <c r="M495" s="127">
        <v>64.36</v>
      </c>
      <c r="N495" s="127">
        <v>64.67</v>
      </c>
      <c r="O495" s="127">
        <v>64.45</v>
      </c>
      <c r="P495" s="127">
        <v>64.376666666666694</v>
      </c>
      <c r="Q495" s="79">
        <v>13.81</v>
      </c>
      <c r="R495" s="79">
        <v>2.0699999999999998</v>
      </c>
      <c r="S495" s="127">
        <f t="shared" si="444"/>
        <v>2.3897435897435897</v>
      </c>
      <c r="T495" s="127">
        <f t="shared" si="445"/>
        <v>2.3828133333333334</v>
      </c>
      <c r="U495" s="79">
        <v>4.7666270417313603</v>
      </c>
      <c r="V495" s="127">
        <v>13.212488517036</v>
      </c>
      <c r="W495" s="127">
        <v>63.9233212154898</v>
      </c>
      <c r="X495" s="2"/>
      <c r="Y495" s="2"/>
      <c r="Z495" s="128"/>
      <c r="AA495" s="2"/>
      <c r="AB495" s="2"/>
      <c r="AC495" s="235">
        <v>111</v>
      </c>
      <c r="AD495" s="235">
        <v>124</v>
      </c>
      <c r="AE495" s="235">
        <v>41.5</v>
      </c>
      <c r="AF495" s="235">
        <v>56</v>
      </c>
    </row>
    <row r="496" spans="1:32" s="206" customFormat="1" ht="14.4">
      <c r="A496" s="1" t="s">
        <v>134</v>
      </c>
      <c r="B496" s="1" t="s">
        <v>218</v>
      </c>
      <c r="C496" s="1" t="s">
        <v>305</v>
      </c>
      <c r="D496" s="143" t="s">
        <v>512</v>
      </c>
      <c r="E496" s="127">
        <v>2.50207806288399</v>
      </c>
      <c r="F496" s="127">
        <v>2.6349056388810399</v>
      </c>
      <c r="G496" s="127">
        <v>4.8</v>
      </c>
      <c r="H496" s="127">
        <v>4.5801526717557302</v>
      </c>
      <c r="I496" s="127">
        <v>1220.5999999999999</v>
      </c>
      <c r="J496" s="127">
        <v>716.9</v>
      </c>
      <c r="K496" s="127">
        <v>1222.0999999999999</v>
      </c>
      <c r="L496" s="127">
        <v>64.08</v>
      </c>
      <c r="M496" s="127">
        <v>64.16</v>
      </c>
      <c r="N496" s="127">
        <v>64.31</v>
      </c>
      <c r="O496" s="127">
        <v>64.16</v>
      </c>
      <c r="P496" s="127">
        <v>64.183333333333294</v>
      </c>
      <c r="Q496" s="79">
        <v>13.8</v>
      </c>
      <c r="R496" s="79">
        <v>2.25</v>
      </c>
      <c r="S496" s="127">
        <f t="shared" si="444"/>
        <v>2.4160728424386382</v>
      </c>
      <c r="T496" s="127">
        <f t="shared" si="445"/>
        <v>2.409066231195566</v>
      </c>
      <c r="U496" s="79">
        <v>3.7173832850448698</v>
      </c>
      <c r="V496" s="127">
        <v>12.2562979322316</v>
      </c>
      <c r="W496" s="127">
        <v>69.669607367581193</v>
      </c>
      <c r="X496" s="2"/>
      <c r="Y496" s="2"/>
      <c r="Z496" s="128"/>
      <c r="AA496" s="2"/>
      <c r="AB496" s="2"/>
      <c r="AC496" s="235">
        <v>111</v>
      </c>
      <c r="AD496" s="235">
        <v>124</v>
      </c>
      <c r="AE496" s="235">
        <v>41.5</v>
      </c>
      <c r="AF496" s="235">
        <v>56</v>
      </c>
    </row>
    <row r="497" spans="1:32" s="206" customFormat="1" ht="14.4">
      <c r="A497" s="1" t="s">
        <v>134</v>
      </c>
      <c r="B497" s="1" t="s">
        <v>218</v>
      </c>
      <c r="C497" s="1" t="s">
        <v>305</v>
      </c>
      <c r="D497" s="143" t="s">
        <v>513</v>
      </c>
      <c r="E497" s="127">
        <v>2.50207806288399</v>
      </c>
      <c r="F497" s="127">
        <v>2.6349056388810399</v>
      </c>
      <c r="G497" s="127">
        <v>4.8</v>
      </c>
      <c r="H497" s="127">
        <v>4.5801526717557302</v>
      </c>
      <c r="I497" s="127">
        <v>1237.0999999999999</v>
      </c>
      <c r="J497" s="127">
        <v>724.2</v>
      </c>
      <c r="K497" s="127">
        <v>1238.5</v>
      </c>
      <c r="L497" s="127">
        <v>64.87</v>
      </c>
      <c r="M497" s="127">
        <v>65.290000000000006</v>
      </c>
      <c r="N497" s="127">
        <v>65.239999999999995</v>
      </c>
      <c r="O497" s="127">
        <v>65.12</v>
      </c>
      <c r="P497" s="127">
        <v>65.133333333333297</v>
      </c>
      <c r="Q497" s="79">
        <v>14.08</v>
      </c>
      <c r="R497" s="79">
        <v>2.56</v>
      </c>
      <c r="S497" s="127">
        <f t="shared" si="444"/>
        <v>2.4054054054054053</v>
      </c>
      <c r="T497" s="127">
        <f t="shared" si="445"/>
        <v>2.3984297297297297</v>
      </c>
      <c r="U497" s="79">
        <v>4.14248998429695</v>
      </c>
      <c r="V497" s="127">
        <v>12.643703643032101</v>
      </c>
      <c r="W497" s="127">
        <v>67.236736155391796</v>
      </c>
      <c r="X497" s="2"/>
      <c r="Y497" s="2"/>
      <c r="Z497" s="128"/>
      <c r="AA497" s="2"/>
      <c r="AB497" s="2"/>
      <c r="AC497" s="235">
        <v>111</v>
      </c>
      <c r="AD497" s="235">
        <v>124</v>
      </c>
      <c r="AE497" s="235">
        <v>41.5</v>
      </c>
      <c r="AF497" s="235">
        <v>56</v>
      </c>
    </row>
    <row r="498" spans="1:32" ht="14.4">
      <c r="A498" s="145" t="s">
        <v>135</v>
      </c>
      <c r="B498" s="1" t="s">
        <v>254</v>
      </c>
      <c r="C498" s="1" t="s">
        <v>336</v>
      </c>
      <c r="D498" s="146" t="s">
        <v>337</v>
      </c>
      <c r="E498" s="147">
        <v>2.54</v>
      </c>
      <c r="F498" s="147">
        <v>2.6008697889769601</v>
      </c>
      <c r="G498" s="147">
        <f t="shared" ref="G498:G517" si="450">100*H498/(100-H498)</f>
        <v>4.8000000000000052</v>
      </c>
      <c r="H498" s="147">
        <v>4.5801526717557302</v>
      </c>
      <c r="I498" s="147">
        <v>1244.9000000000001</v>
      </c>
      <c r="J498" s="147">
        <v>745.5</v>
      </c>
      <c r="K498" s="147">
        <v>1245.9000000000001</v>
      </c>
      <c r="L498" s="147">
        <v>62.86</v>
      </c>
      <c r="M498" s="147">
        <v>63.16</v>
      </c>
      <c r="N498" s="147">
        <v>63.32</v>
      </c>
      <c r="O498" s="147">
        <v>62.76</v>
      </c>
      <c r="P498" s="147">
        <f t="shared" ref="P498:P561" si="451">AVERAGE(L498:N498)</f>
        <v>63.113333333333337</v>
      </c>
      <c r="Q498" s="148">
        <v>15.12</v>
      </c>
      <c r="R498" s="148">
        <v>2.4700000000000002</v>
      </c>
      <c r="S498" s="127">
        <f t="shared" si="444"/>
        <v>2.487809752198241</v>
      </c>
      <c r="T498" s="127">
        <f t="shared" si="445"/>
        <v>2.4805951039168659</v>
      </c>
      <c r="U498" s="148">
        <f t="shared" ref="U498:U561" si="452">100*(1-T498/E498)</f>
        <v>2.3387754363438651</v>
      </c>
      <c r="V498" s="147">
        <f t="shared" ref="V498:V561" si="453">100-T498*(100-H498)/F498</f>
        <v>8.9927503860000542</v>
      </c>
      <c r="W498" s="147">
        <f t="shared" ref="W498:W561" si="454">100*(V498-U498)/V498</f>
        <v>73.992657018648273</v>
      </c>
      <c r="X498" s="132">
        <f>AVERAGE(S498:S502)</f>
        <v>2.4909195842682768</v>
      </c>
      <c r="Y498" s="132">
        <f t="shared" ref="Y498" si="455">AVERAGE(T498:T502)</f>
        <v>2.4836959174738986</v>
      </c>
      <c r="Z498" s="133">
        <f t="shared" ref="Z498" si="456">AVERAGE(U498:U502)</f>
        <v>2.2166961624449355</v>
      </c>
      <c r="AA498" s="132">
        <f t="shared" ref="AA498" si="457">AVERAGE(V498:V502)</f>
        <v>8.8789887676908901</v>
      </c>
      <c r="AB498" s="132">
        <f t="shared" ref="AB498" si="458">AVERAGE(W498:W502)</f>
        <v>75.044232635834959</v>
      </c>
      <c r="AC498" s="235">
        <v>161</v>
      </c>
      <c r="AD498" s="235">
        <v>91</v>
      </c>
      <c r="AE498" s="235">
        <v>44</v>
      </c>
      <c r="AF498" s="235">
        <v>15</v>
      </c>
    </row>
    <row r="499" spans="1:32" ht="14.4">
      <c r="A499" s="145" t="s">
        <v>135</v>
      </c>
      <c r="B499" s="1" t="s">
        <v>254</v>
      </c>
      <c r="C499" s="1" t="s">
        <v>338</v>
      </c>
      <c r="D499" s="146" t="s">
        <v>339</v>
      </c>
      <c r="E499" s="147">
        <v>2.54</v>
      </c>
      <c r="F499" s="147">
        <v>2.6008697889769601</v>
      </c>
      <c r="G499" s="147">
        <f t="shared" si="450"/>
        <v>4.8000000000000052</v>
      </c>
      <c r="H499" s="147">
        <v>4.5801526717557302</v>
      </c>
      <c r="I499" s="147">
        <v>1232.5</v>
      </c>
      <c r="J499" s="147">
        <v>739.6</v>
      </c>
      <c r="K499" s="147">
        <v>1233.5</v>
      </c>
      <c r="L499" s="147">
        <v>62.43</v>
      </c>
      <c r="M499" s="147">
        <v>61.85</v>
      </c>
      <c r="N499" s="147">
        <v>62.46</v>
      </c>
      <c r="O499" s="147">
        <v>62.13</v>
      </c>
      <c r="P499" s="147">
        <f t="shared" si="451"/>
        <v>62.24666666666667</v>
      </c>
      <c r="Q499" s="148">
        <v>13.81</v>
      </c>
      <c r="R499" s="148">
        <v>2.0699999999999998</v>
      </c>
      <c r="S499" s="127">
        <f t="shared" si="444"/>
        <v>2.4954444219477629</v>
      </c>
      <c r="T499" s="127">
        <f t="shared" si="445"/>
        <v>2.4882076331241145</v>
      </c>
      <c r="U499" s="148">
        <f t="shared" si="452"/>
        <v>2.039069562042739</v>
      </c>
      <c r="V499" s="147">
        <f t="shared" si="453"/>
        <v>8.7134644418070479</v>
      </c>
      <c r="W499" s="147">
        <f t="shared" si="454"/>
        <v>76.598635644172489</v>
      </c>
      <c r="AC499" s="235">
        <v>161</v>
      </c>
      <c r="AD499" s="235">
        <v>91</v>
      </c>
      <c r="AE499" s="235">
        <v>44</v>
      </c>
      <c r="AF499" s="235">
        <v>15</v>
      </c>
    </row>
    <row r="500" spans="1:32" ht="14.4">
      <c r="A500" s="145" t="s">
        <v>135</v>
      </c>
      <c r="B500" s="1" t="s">
        <v>254</v>
      </c>
      <c r="C500" s="1" t="s">
        <v>338</v>
      </c>
      <c r="D500" s="146" t="s">
        <v>340</v>
      </c>
      <c r="E500" s="147">
        <v>2.54</v>
      </c>
      <c r="F500" s="147">
        <v>2.6008697889769601</v>
      </c>
      <c r="G500" s="147">
        <f t="shared" si="450"/>
        <v>4.8000000000000052</v>
      </c>
      <c r="H500" s="147">
        <v>4.5801526717557302</v>
      </c>
      <c r="I500" s="147">
        <v>1240.8</v>
      </c>
      <c r="J500" s="147">
        <v>744</v>
      </c>
      <c r="K500" s="147">
        <v>1242</v>
      </c>
      <c r="L500" s="147">
        <v>63.07</v>
      </c>
      <c r="M500" s="147">
        <v>62.96</v>
      </c>
      <c r="N500" s="147">
        <v>62.61</v>
      </c>
      <c r="O500" s="147">
        <v>62.76</v>
      </c>
      <c r="P500" s="147">
        <f t="shared" si="451"/>
        <v>62.879999999999995</v>
      </c>
      <c r="Q500" s="148">
        <v>13.8</v>
      </c>
      <c r="R500" s="148">
        <v>2.25</v>
      </c>
      <c r="S500" s="127">
        <f t="shared" si="444"/>
        <v>2.491566265060241</v>
      </c>
      <c r="T500" s="127">
        <f t="shared" si="445"/>
        <v>2.4843407228915662</v>
      </c>
      <c r="U500" s="148">
        <f t="shared" si="452"/>
        <v>2.1913101223792864</v>
      </c>
      <c r="V500" s="147">
        <f t="shared" si="453"/>
        <v>8.8553323606031427</v>
      </c>
      <c r="W500" s="147">
        <f t="shared" si="454"/>
        <v>75.254343562210067</v>
      </c>
      <c r="AC500" s="235">
        <v>161</v>
      </c>
      <c r="AD500" s="235">
        <v>91</v>
      </c>
      <c r="AE500" s="235">
        <v>44</v>
      </c>
      <c r="AF500" s="235">
        <v>15</v>
      </c>
    </row>
    <row r="501" spans="1:32" ht="14.4">
      <c r="A501" s="145" t="s">
        <v>135</v>
      </c>
      <c r="B501" s="1" t="s">
        <v>254</v>
      </c>
      <c r="C501" s="1" t="s">
        <v>338</v>
      </c>
      <c r="D501" s="146" t="s">
        <v>341</v>
      </c>
      <c r="E501" s="147">
        <v>2.54</v>
      </c>
      <c r="F501" s="147">
        <v>2.6008697889769601</v>
      </c>
      <c r="G501" s="147">
        <f t="shared" si="450"/>
        <v>4.8000000000000052</v>
      </c>
      <c r="H501" s="147">
        <v>4.5801526717557302</v>
      </c>
      <c r="I501" s="147">
        <v>1243</v>
      </c>
      <c r="J501" s="147">
        <v>745.3</v>
      </c>
      <c r="K501" s="147">
        <v>1244.3</v>
      </c>
      <c r="L501" s="147">
        <v>62.6</v>
      </c>
      <c r="M501" s="147">
        <v>63.14</v>
      </c>
      <c r="N501" s="147">
        <v>62.71</v>
      </c>
      <c r="O501" s="147">
        <v>62.96</v>
      </c>
      <c r="P501" s="147">
        <f t="shared" si="451"/>
        <v>62.81666666666667</v>
      </c>
      <c r="Q501" s="148">
        <v>14.08</v>
      </c>
      <c r="R501" s="148">
        <v>2.56</v>
      </c>
      <c r="S501" s="127">
        <f t="shared" si="444"/>
        <v>2.4909819639278559</v>
      </c>
      <c r="T501" s="127">
        <f t="shared" si="445"/>
        <v>2.4837581162324649</v>
      </c>
      <c r="U501" s="148">
        <f t="shared" si="452"/>
        <v>2.2142473924226413</v>
      </c>
      <c r="V501" s="147">
        <f t="shared" si="453"/>
        <v>8.87670684028663</v>
      </c>
      <c r="W501" s="147">
        <f t="shared" si="454"/>
        <v>75.055530927603073</v>
      </c>
      <c r="AC501" s="235">
        <v>161</v>
      </c>
      <c r="AD501" s="235">
        <v>91</v>
      </c>
      <c r="AE501" s="235">
        <v>44</v>
      </c>
      <c r="AF501" s="235">
        <v>15</v>
      </c>
    </row>
    <row r="502" spans="1:32" ht="14.4">
      <c r="A502" s="145" t="s">
        <v>135</v>
      </c>
      <c r="B502" s="1" t="s">
        <v>254</v>
      </c>
      <c r="C502" s="1" t="s">
        <v>338</v>
      </c>
      <c r="D502" s="146" t="s">
        <v>342</v>
      </c>
      <c r="E502" s="147">
        <v>2.54</v>
      </c>
      <c r="F502" s="147">
        <v>2.6008697889769601</v>
      </c>
      <c r="G502" s="147">
        <f t="shared" si="450"/>
        <v>4.8000000000000052</v>
      </c>
      <c r="H502" s="147">
        <v>4.5801526717557302</v>
      </c>
      <c r="I502" s="147">
        <v>1243.9000000000001</v>
      </c>
      <c r="J502" s="147">
        <v>745.2</v>
      </c>
      <c r="K502" s="147">
        <v>1245</v>
      </c>
      <c r="L502" s="147">
        <v>63.19</v>
      </c>
      <c r="M502" s="147">
        <v>63.54</v>
      </c>
      <c r="N502" s="147">
        <v>63.65</v>
      </c>
      <c r="O502" s="147">
        <v>63.34</v>
      </c>
      <c r="P502" s="147">
        <f t="shared" si="451"/>
        <v>63.46</v>
      </c>
      <c r="Q502" s="148">
        <v>13.47</v>
      </c>
      <c r="R502" s="148">
        <v>2.2200000000000002</v>
      </c>
      <c r="S502" s="127">
        <f t="shared" si="444"/>
        <v>2.4887955182072834</v>
      </c>
      <c r="T502" s="127">
        <f t="shared" si="445"/>
        <v>2.4815780112044821</v>
      </c>
      <c r="U502" s="148">
        <f t="shared" si="452"/>
        <v>2.3000782990361457</v>
      </c>
      <c r="V502" s="147">
        <f t="shared" si="453"/>
        <v>8.9566898097575773</v>
      </c>
      <c r="W502" s="147">
        <f t="shared" si="454"/>
        <v>74.319996026540963</v>
      </c>
      <c r="AC502" s="235">
        <v>161</v>
      </c>
      <c r="AD502" s="235">
        <v>91</v>
      </c>
      <c r="AE502" s="235">
        <v>44</v>
      </c>
      <c r="AF502" s="235">
        <v>15</v>
      </c>
    </row>
    <row r="503" spans="1:32" ht="14.4">
      <c r="A503" s="145" t="s">
        <v>135</v>
      </c>
      <c r="B503" s="1" t="s">
        <v>255</v>
      </c>
      <c r="C503" s="1" t="s">
        <v>343</v>
      </c>
      <c r="D503" s="146" t="s">
        <v>337</v>
      </c>
      <c r="E503" s="147">
        <v>2.5470000000000002</v>
      </c>
      <c r="F503" s="147">
        <v>2.6008697889769601</v>
      </c>
      <c r="G503" s="147">
        <f t="shared" si="450"/>
        <v>4.8000000000000052</v>
      </c>
      <c r="H503" s="147">
        <v>4.5801526717557302</v>
      </c>
      <c r="I503" s="147">
        <v>1168</v>
      </c>
      <c r="J503" s="147">
        <v>696.7</v>
      </c>
      <c r="K503" s="147">
        <v>1169.0999999999999</v>
      </c>
      <c r="L503" s="147">
        <v>62.86</v>
      </c>
      <c r="M503" s="147">
        <v>63.16</v>
      </c>
      <c r="N503" s="147">
        <v>63.32</v>
      </c>
      <c r="O503" s="147">
        <v>62.76</v>
      </c>
      <c r="P503" s="147">
        <f t="shared" si="451"/>
        <v>63.113333333333337</v>
      </c>
      <c r="Q503" s="148">
        <v>17.13</v>
      </c>
      <c r="R503" s="148">
        <v>1.67</v>
      </c>
      <c r="S503" s="127">
        <f t="shared" si="444"/>
        <v>2.4724809483488577</v>
      </c>
      <c r="T503" s="127">
        <f t="shared" si="445"/>
        <v>2.4653107535986458</v>
      </c>
      <c r="U503" s="148">
        <f t="shared" si="452"/>
        <v>3.2072731213723671</v>
      </c>
      <c r="V503" s="147">
        <f t="shared" si="453"/>
        <v>9.5534975560648832</v>
      </c>
      <c r="W503" s="147">
        <f t="shared" si="454"/>
        <v>66.428283437030018</v>
      </c>
      <c r="X503" s="132">
        <f>AVERAGE(S503:S507)</f>
        <v>2.4590388239256087</v>
      </c>
      <c r="Y503" s="132">
        <f t="shared" ref="Y503" si="459">AVERAGE(T503:T507)</f>
        <v>2.4519076113362241</v>
      </c>
      <c r="Z503" s="133">
        <f t="shared" ref="Z503" si="460">AVERAGE(U503:U507)</f>
        <v>3.7335056405094513</v>
      </c>
      <c r="AA503" s="132">
        <f t="shared" ref="AA503" si="461">AVERAGE(V503:V507)</f>
        <v>10.045227589540364</v>
      </c>
      <c r="AB503" s="132">
        <f t="shared" ref="AB503" si="462">AVERAGE(W503:W507)</f>
        <v>62.932201931319433</v>
      </c>
      <c r="AC503" s="235">
        <v>144</v>
      </c>
      <c r="AD503" s="235">
        <v>107.8</v>
      </c>
      <c r="AE503" s="235">
        <v>43.95</v>
      </c>
      <c r="AF503" s="235">
        <v>60.3</v>
      </c>
    </row>
    <row r="504" spans="1:32" ht="14.4">
      <c r="A504" s="145" t="s">
        <v>135</v>
      </c>
      <c r="B504" s="1" t="s">
        <v>255</v>
      </c>
      <c r="C504" s="1" t="s">
        <v>343</v>
      </c>
      <c r="D504" s="146" t="s">
        <v>339</v>
      </c>
      <c r="E504" s="147">
        <v>2.5470000000000002</v>
      </c>
      <c r="F504" s="147">
        <v>2.6008697889769601</v>
      </c>
      <c r="G504" s="147">
        <f t="shared" si="450"/>
        <v>4.8000000000000052</v>
      </c>
      <c r="H504" s="147">
        <v>4.5801526717557302</v>
      </c>
      <c r="I504" s="147">
        <v>1274.0999999999999</v>
      </c>
      <c r="J504" s="147">
        <v>759.1</v>
      </c>
      <c r="K504" s="147">
        <v>1275.3</v>
      </c>
      <c r="L504" s="147">
        <v>62.43</v>
      </c>
      <c r="M504" s="147">
        <v>61.85</v>
      </c>
      <c r="N504" s="147">
        <v>62.46</v>
      </c>
      <c r="O504" s="147">
        <v>62.13</v>
      </c>
      <c r="P504" s="147">
        <f t="shared" si="451"/>
        <v>62.24666666666667</v>
      </c>
      <c r="Q504" s="148">
        <v>17.46</v>
      </c>
      <c r="R504" s="148">
        <v>1.64</v>
      </c>
      <c r="S504" s="127">
        <f t="shared" si="444"/>
        <v>2.4682293684618366</v>
      </c>
      <c r="T504" s="127">
        <f t="shared" si="445"/>
        <v>2.4610715032932973</v>
      </c>
      <c r="U504" s="148">
        <f t="shared" si="452"/>
        <v>3.3737140442364644</v>
      </c>
      <c r="V504" s="147">
        <f t="shared" si="453"/>
        <v>9.7090257638348305</v>
      </c>
      <c r="W504" s="147">
        <f t="shared" si="454"/>
        <v>65.251775756912508</v>
      </c>
      <c r="AC504" s="235">
        <v>144</v>
      </c>
      <c r="AD504" s="235">
        <v>107.8</v>
      </c>
      <c r="AE504" s="235">
        <v>43.95</v>
      </c>
      <c r="AF504" s="235">
        <v>60.3</v>
      </c>
    </row>
    <row r="505" spans="1:32" ht="14.4">
      <c r="A505" s="145" t="s">
        <v>135</v>
      </c>
      <c r="B505" s="1" t="s">
        <v>255</v>
      </c>
      <c r="C505" s="1" t="s">
        <v>343</v>
      </c>
      <c r="D505" s="146" t="s">
        <v>340</v>
      </c>
      <c r="E505" s="147">
        <v>2.5470000000000002</v>
      </c>
      <c r="F505" s="147">
        <v>2.6008697889769601</v>
      </c>
      <c r="G505" s="147">
        <f t="shared" si="450"/>
        <v>4.8000000000000052</v>
      </c>
      <c r="H505" s="147">
        <v>4.5801526717557302</v>
      </c>
      <c r="I505" s="147">
        <v>1265.7</v>
      </c>
      <c r="J505" s="147">
        <v>752.7</v>
      </c>
      <c r="K505" s="147">
        <v>1267.4000000000001</v>
      </c>
      <c r="L505" s="147">
        <v>63.07</v>
      </c>
      <c r="M505" s="147">
        <v>62.96</v>
      </c>
      <c r="N505" s="147">
        <v>62.61</v>
      </c>
      <c r="O505" s="147">
        <v>62.76</v>
      </c>
      <c r="P505" s="147">
        <f t="shared" si="451"/>
        <v>62.879999999999995</v>
      </c>
      <c r="Q505" s="148">
        <v>17.16</v>
      </c>
      <c r="R505" s="148">
        <v>1.66</v>
      </c>
      <c r="S505" s="127">
        <f t="shared" si="444"/>
        <v>2.4591023897415969</v>
      </c>
      <c r="T505" s="127">
        <f t="shared" si="445"/>
        <v>2.4519709928113462</v>
      </c>
      <c r="U505" s="148">
        <f t="shared" si="452"/>
        <v>3.7310171648470281</v>
      </c>
      <c r="V505" s="147">
        <f t="shared" si="453"/>
        <v>10.042902271023763</v>
      </c>
      <c r="W505" s="147">
        <f t="shared" si="454"/>
        <v>62.849213661951808</v>
      </c>
      <c r="AC505" s="235">
        <v>144</v>
      </c>
      <c r="AD505" s="235">
        <v>107.8</v>
      </c>
      <c r="AE505" s="235">
        <v>43.95</v>
      </c>
      <c r="AF505" s="235">
        <v>60.3</v>
      </c>
    </row>
    <row r="506" spans="1:32" ht="14.4">
      <c r="A506" s="145" t="s">
        <v>135</v>
      </c>
      <c r="B506" s="1" t="s">
        <v>255</v>
      </c>
      <c r="C506" s="1" t="s">
        <v>343</v>
      </c>
      <c r="D506" s="146" t="s">
        <v>341</v>
      </c>
      <c r="E506" s="147">
        <v>2.5470000000000002</v>
      </c>
      <c r="F506" s="147">
        <v>2.6008697889769601</v>
      </c>
      <c r="G506" s="147">
        <f t="shared" si="450"/>
        <v>4.8000000000000052</v>
      </c>
      <c r="H506" s="147">
        <v>4.5801526717557302</v>
      </c>
      <c r="I506" s="147">
        <v>1241.7</v>
      </c>
      <c r="J506" s="147">
        <v>737.3</v>
      </c>
      <c r="K506" s="147">
        <v>1245.0999999999999</v>
      </c>
      <c r="L506" s="147">
        <v>62.6</v>
      </c>
      <c r="M506" s="147">
        <v>63.14</v>
      </c>
      <c r="N506" s="147">
        <v>62.71</v>
      </c>
      <c r="O506" s="147">
        <v>62.96</v>
      </c>
      <c r="P506" s="147">
        <f t="shared" si="451"/>
        <v>62.81666666666667</v>
      </c>
      <c r="Q506" s="148">
        <v>16.38</v>
      </c>
      <c r="R506" s="148">
        <v>1.76</v>
      </c>
      <c r="S506" s="127">
        <f t="shared" si="444"/>
        <v>2.4452540370224503</v>
      </c>
      <c r="T506" s="127">
        <f t="shared" si="445"/>
        <v>2.438162800315085</v>
      </c>
      <c r="U506" s="148">
        <f t="shared" si="452"/>
        <v>4.2731527163296086</v>
      </c>
      <c r="V506" s="147">
        <f t="shared" si="453"/>
        <v>10.549492653001522</v>
      </c>
      <c r="W506" s="147">
        <f t="shared" si="454"/>
        <v>59.494234870964917</v>
      </c>
      <c r="AC506" s="235">
        <v>144</v>
      </c>
      <c r="AD506" s="235">
        <v>107.8</v>
      </c>
      <c r="AE506" s="235">
        <v>43.95</v>
      </c>
      <c r="AF506" s="235">
        <v>60.3</v>
      </c>
    </row>
    <row r="507" spans="1:32" ht="14.4">
      <c r="A507" s="145" t="s">
        <v>135</v>
      </c>
      <c r="B507" s="1" t="s">
        <v>255</v>
      </c>
      <c r="C507" s="1" t="s">
        <v>343</v>
      </c>
      <c r="D507" s="146" t="s">
        <v>342</v>
      </c>
      <c r="E507" s="147">
        <v>2.5470000000000002</v>
      </c>
      <c r="F507" s="147">
        <v>2.6008697889769601</v>
      </c>
      <c r="G507" s="147">
        <f t="shared" si="450"/>
        <v>4.8000000000000052</v>
      </c>
      <c r="H507" s="147">
        <v>4.5801526717557302</v>
      </c>
      <c r="I507" s="147">
        <v>1250.3</v>
      </c>
      <c r="J507" s="147">
        <v>741.8</v>
      </c>
      <c r="K507" s="147">
        <v>1252.0999999999999</v>
      </c>
      <c r="L507" s="147">
        <v>63.19</v>
      </c>
      <c r="M507" s="147">
        <v>63.54</v>
      </c>
      <c r="N507" s="147">
        <v>63.65</v>
      </c>
      <c r="O507" s="147">
        <v>63.34</v>
      </c>
      <c r="P507" s="147">
        <f t="shared" si="451"/>
        <v>63.46</v>
      </c>
      <c r="Q507" s="148">
        <v>17.32</v>
      </c>
      <c r="R507" s="148">
        <v>1.56</v>
      </c>
      <c r="S507" s="127">
        <f t="shared" si="444"/>
        <v>2.450127376053302</v>
      </c>
      <c r="T507" s="127">
        <f t="shared" si="445"/>
        <v>2.4430220066627473</v>
      </c>
      <c r="U507" s="148">
        <f t="shared" si="452"/>
        <v>4.0823711557617877</v>
      </c>
      <c r="V507" s="147">
        <f t="shared" si="453"/>
        <v>10.371219703776816</v>
      </c>
      <c r="W507" s="147">
        <f t="shared" si="454"/>
        <v>60.637501929737944</v>
      </c>
      <c r="AC507" s="235">
        <v>144</v>
      </c>
      <c r="AD507" s="235">
        <v>107.8</v>
      </c>
      <c r="AE507" s="235">
        <v>43.95</v>
      </c>
      <c r="AF507" s="235">
        <v>60.3</v>
      </c>
    </row>
    <row r="508" spans="1:32" ht="14.4">
      <c r="A508" s="145" t="s">
        <v>135</v>
      </c>
      <c r="B508" s="1" t="s">
        <v>257</v>
      </c>
      <c r="C508" s="1" t="s">
        <v>344</v>
      </c>
      <c r="D508" s="146" t="s">
        <v>337</v>
      </c>
      <c r="E508" s="147">
        <v>2.5409999999999999</v>
      </c>
      <c r="F508" s="147">
        <v>2.6008697889769601</v>
      </c>
      <c r="G508" s="147">
        <f t="shared" si="450"/>
        <v>4.8000000000000052</v>
      </c>
      <c r="H508" s="147">
        <v>4.5801526717557302</v>
      </c>
      <c r="I508" s="147">
        <v>1239.3</v>
      </c>
      <c r="J508" s="147">
        <v>737</v>
      </c>
      <c r="K508" s="147">
        <v>1241.3</v>
      </c>
      <c r="L508" s="147">
        <v>62.86</v>
      </c>
      <c r="M508" s="147">
        <v>63.16</v>
      </c>
      <c r="N508" s="147">
        <v>63.32</v>
      </c>
      <c r="O508" s="147">
        <v>62.76</v>
      </c>
      <c r="P508" s="147">
        <f t="shared" si="451"/>
        <v>63.113333333333337</v>
      </c>
      <c r="Q508" s="148">
        <v>17.04</v>
      </c>
      <c r="R508" s="148">
        <v>2</v>
      </c>
      <c r="S508" s="127">
        <f t="shared" si="444"/>
        <v>2.4574657941701368</v>
      </c>
      <c r="T508" s="127">
        <f t="shared" si="445"/>
        <v>2.4503391433670432</v>
      </c>
      <c r="U508" s="148">
        <f t="shared" si="452"/>
        <v>3.5679203712300933</v>
      </c>
      <c r="V508" s="147">
        <f t="shared" si="453"/>
        <v>10.102771021661738</v>
      </c>
      <c r="W508" s="147">
        <f t="shared" si="454"/>
        <v>64.683745047967747</v>
      </c>
      <c r="X508" s="132">
        <f>AVERAGE(S508:S512)</f>
        <v>2.4438445613673707</v>
      </c>
      <c r="Y508" s="132">
        <f t="shared" ref="Y508" si="463">AVERAGE(T508:T512)</f>
        <v>2.4367574121394049</v>
      </c>
      <c r="Z508" s="133">
        <f t="shared" ref="Z508" si="464">AVERAGE(U508:U512)</f>
        <v>4.1024237646829915</v>
      </c>
      <c r="AA508" s="132">
        <f t="shared" ref="AA508" si="465">AVERAGE(V508:V512)</f>
        <v>10.60105306780147</v>
      </c>
      <c r="AB508" s="132">
        <f t="shared" ref="AB508" si="466">AVERAGE(W508:W512)</f>
        <v>61.389716027922745</v>
      </c>
      <c r="AC508" s="235">
        <v>111</v>
      </c>
      <c r="AD508" s="235">
        <v>124</v>
      </c>
      <c r="AE508" s="235">
        <v>41.5</v>
      </c>
      <c r="AF508" s="235">
        <v>56</v>
      </c>
    </row>
    <row r="509" spans="1:32" ht="14.4">
      <c r="A509" s="145" t="s">
        <v>135</v>
      </c>
      <c r="B509" s="1" t="s">
        <v>257</v>
      </c>
      <c r="C509" s="1" t="s">
        <v>344</v>
      </c>
      <c r="D509" s="146" t="s">
        <v>339</v>
      </c>
      <c r="E509" s="147">
        <v>2.5409999999999999</v>
      </c>
      <c r="F509" s="147">
        <v>2.6008697889769601</v>
      </c>
      <c r="G509" s="147">
        <f t="shared" si="450"/>
        <v>4.8000000000000052</v>
      </c>
      <c r="H509" s="147">
        <v>4.5801526717557302</v>
      </c>
      <c r="I509" s="147">
        <v>1240.5</v>
      </c>
      <c r="J509" s="147">
        <v>734.9</v>
      </c>
      <c r="K509" s="147">
        <v>1244.7</v>
      </c>
      <c r="L509" s="147">
        <v>62.43</v>
      </c>
      <c r="M509" s="147">
        <v>61.85</v>
      </c>
      <c r="N509" s="147">
        <v>62.46</v>
      </c>
      <c r="O509" s="147">
        <v>62.13</v>
      </c>
      <c r="P509" s="147">
        <f t="shared" si="451"/>
        <v>62.24666666666667</v>
      </c>
      <c r="Q509" s="148">
        <v>17.71</v>
      </c>
      <c r="R509" s="148">
        <v>1.76</v>
      </c>
      <c r="S509" s="127">
        <f t="shared" si="444"/>
        <v>2.4333071792859942</v>
      </c>
      <c r="T509" s="127">
        <f t="shared" si="445"/>
        <v>2.4262505884660648</v>
      </c>
      <c r="U509" s="148">
        <f t="shared" si="452"/>
        <v>4.5159154480100439</v>
      </c>
      <c r="V509" s="147">
        <f t="shared" si="453"/>
        <v>10.986523926459583</v>
      </c>
      <c r="W509" s="147">
        <f t="shared" si="454"/>
        <v>58.895866624983519</v>
      </c>
      <c r="AC509" s="235">
        <v>111</v>
      </c>
      <c r="AD509" s="235">
        <v>124</v>
      </c>
      <c r="AE509" s="235">
        <v>41.5</v>
      </c>
      <c r="AF509" s="235">
        <v>56</v>
      </c>
    </row>
    <row r="510" spans="1:32" ht="14.4">
      <c r="A510" s="145" t="s">
        <v>135</v>
      </c>
      <c r="B510" s="1" t="s">
        <v>257</v>
      </c>
      <c r="C510" s="1" t="s">
        <v>344</v>
      </c>
      <c r="D510" s="146" t="s">
        <v>340</v>
      </c>
      <c r="E510" s="147">
        <v>2.5409999999999999</v>
      </c>
      <c r="F510" s="147">
        <v>2.6008697889769601</v>
      </c>
      <c r="G510" s="147">
        <f t="shared" si="450"/>
        <v>4.8000000000000052</v>
      </c>
      <c r="H510" s="147">
        <v>4.5801526717557302</v>
      </c>
      <c r="I510" s="147">
        <v>1228.9000000000001</v>
      </c>
      <c r="J510" s="147">
        <v>729.7</v>
      </c>
      <c r="K510" s="147">
        <v>1232.0999999999999</v>
      </c>
      <c r="L510" s="147">
        <v>63.07</v>
      </c>
      <c r="M510" s="147">
        <v>62.96</v>
      </c>
      <c r="N510" s="147">
        <v>62.61</v>
      </c>
      <c r="O510" s="147">
        <v>62.76</v>
      </c>
      <c r="P510" s="147">
        <f t="shared" si="451"/>
        <v>62.879999999999995</v>
      </c>
      <c r="Q510" s="148">
        <v>18.22</v>
      </c>
      <c r="R510" s="148">
        <v>1.94</v>
      </c>
      <c r="S510" s="127">
        <f t="shared" si="444"/>
        <v>2.4460589171974529</v>
      </c>
      <c r="T510" s="127">
        <f t="shared" si="445"/>
        <v>2.4389653463375804</v>
      </c>
      <c r="U510" s="148">
        <f t="shared" si="452"/>
        <v>4.0155314310279184</v>
      </c>
      <c r="V510" s="147">
        <f t="shared" si="453"/>
        <v>10.520049110973787</v>
      </c>
      <c r="W510" s="147">
        <f t="shared" si="454"/>
        <v>61.829727326660539</v>
      </c>
      <c r="AC510" s="235">
        <v>111</v>
      </c>
      <c r="AD510" s="235">
        <v>124</v>
      </c>
      <c r="AE510" s="235">
        <v>41.5</v>
      </c>
      <c r="AF510" s="235">
        <v>56</v>
      </c>
    </row>
    <row r="511" spans="1:32" ht="14.4">
      <c r="A511" s="145" t="s">
        <v>135</v>
      </c>
      <c r="B511" s="1" t="s">
        <v>257</v>
      </c>
      <c r="C511" s="1" t="s">
        <v>344</v>
      </c>
      <c r="D511" s="146" t="s">
        <v>341</v>
      </c>
      <c r="E511" s="147">
        <v>2.5409999999999999</v>
      </c>
      <c r="F511" s="147">
        <v>2.6008697889769601</v>
      </c>
      <c r="G511" s="147">
        <f t="shared" si="450"/>
        <v>4.8000000000000052</v>
      </c>
      <c r="H511" s="147">
        <v>4.5801526717557302</v>
      </c>
      <c r="I511" s="147">
        <v>1222.7</v>
      </c>
      <c r="J511" s="147">
        <v>726.7</v>
      </c>
      <c r="K511" s="147">
        <v>1225.4000000000001</v>
      </c>
      <c r="L511" s="147">
        <v>62.6</v>
      </c>
      <c r="M511" s="147">
        <v>63.14</v>
      </c>
      <c r="N511" s="147">
        <v>62.71</v>
      </c>
      <c r="O511" s="147">
        <v>62.96</v>
      </c>
      <c r="P511" s="147">
        <f t="shared" si="451"/>
        <v>62.81666666666667</v>
      </c>
      <c r="Q511" s="148">
        <v>17.91</v>
      </c>
      <c r="R511" s="148">
        <v>1.76</v>
      </c>
      <c r="S511" s="127">
        <f t="shared" si="444"/>
        <v>2.4517746139963905</v>
      </c>
      <c r="T511" s="127">
        <f t="shared" si="445"/>
        <v>2.4446644676158011</v>
      </c>
      <c r="U511" s="148">
        <f t="shared" si="452"/>
        <v>3.7912448793466669</v>
      </c>
      <c r="V511" s="147">
        <f t="shared" si="453"/>
        <v>10.310961641628822</v>
      </c>
      <c r="W511" s="147">
        <f t="shared" si="454"/>
        <v>63.230928296346903</v>
      </c>
      <c r="AC511" s="235">
        <v>111</v>
      </c>
      <c r="AD511" s="235">
        <v>124</v>
      </c>
      <c r="AE511" s="235">
        <v>41.5</v>
      </c>
      <c r="AF511" s="235">
        <v>56</v>
      </c>
    </row>
    <row r="512" spans="1:32" ht="14.4">
      <c r="A512" s="145" t="s">
        <v>135</v>
      </c>
      <c r="B512" s="1" t="s">
        <v>257</v>
      </c>
      <c r="C512" s="1" t="s">
        <v>344</v>
      </c>
      <c r="D512" s="146" t="s">
        <v>342</v>
      </c>
      <c r="E512" s="147">
        <v>2.5409999999999999</v>
      </c>
      <c r="F512" s="147">
        <v>2.6008697889769601</v>
      </c>
      <c r="G512" s="147">
        <f t="shared" si="450"/>
        <v>4.8000000000000052</v>
      </c>
      <c r="H512" s="147">
        <v>4.5801526717557302</v>
      </c>
      <c r="I512" s="147">
        <v>1222.5999999999999</v>
      </c>
      <c r="J512" s="147">
        <v>723.9</v>
      </c>
      <c r="K512" s="147">
        <v>1226.9000000000001</v>
      </c>
      <c r="L512" s="147">
        <v>63.19</v>
      </c>
      <c r="M512" s="147">
        <v>63.54</v>
      </c>
      <c r="N512" s="147">
        <v>63.65</v>
      </c>
      <c r="O512" s="147">
        <v>63.34</v>
      </c>
      <c r="P512" s="147">
        <f t="shared" si="451"/>
        <v>63.46</v>
      </c>
      <c r="Q512" s="148">
        <v>18.41</v>
      </c>
      <c r="R512" s="148">
        <v>1.99</v>
      </c>
      <c r="S512" s="127">
        <f t="shared" si="444"/>
        <v>2.4306163021868779</v>
      </c>
      <c r="T512" s="127">
        <f t="shared" si="445"/>
        <v>2.4235675149105358</v>
      </c>
      <c r="U512" s="148">
        <f t="shared" si="452"/>
        <v>4.6215066938002369</v>
      </c>
      <c r="V512" s="147">
        <f t="shared" si="453"/>
        <v>11.084959638283422</v>
      </c>
      <c r="W512" s="147">
        <f t="shared" si="454"/>
        <v>58.308312843655003</v>
      </c>
      <c r="AC512" s="235">
        <v>111</v>
      </c>
      <c r="AD512" s="235">
        <v>124</v>
      </c>
      <c r="AE512" s="235">
        <v>41.5</v>
      </c>
      <c r="AF512" s="235">
        <v>56</v>
      </c>
    </row>
    <row r="513" spans="1:32" ht="14.4">
      <c r="A513" s="145" t="s">
        <v>135</v>
      </c>
      <c r="B513" s="1" t="s">
        <v>254</v>
      </c>
      <c r="C513" s="1" t="s">
        <v>338</v>
      </c>
      <c r="D513" s="146" t="s">
        <v>337</v>
      </c>
      <c r="E513" s="147">
        <v>2.548</v>
      </c>
      <c r="F513" s="147">
        <v>2.5929501554190102</v>
      </c>
      <c r="G513" s="147">
        <f t="shared" si="450"/>
        <v>4.8000000000000052</v>
      </c>
      <c r="H513" s="147">
        <v>4.5801526717557302</v>
      </c>
      <c r="I513" s="147">
        <v>1221.5</v>
      </c>
      <c r="J513" s="147">
        <v>723.5</v>
      </c>
      <c r="K513" s="147">
        <v>1222.4000000000001</v>
      </c>
      <c r="L513" s="147">
        <v>62.86</v>
      </c>
      <c r="M513" s="147">
        <v>63.16</v>
      </c>
      <c r="N513" s="147">
        <v>63.32</v>
      </c>
      <c r="O513" s="147">
        <v>62.76</v>
      </c>
      <c r="P513" s="147">
        <f t="shared" si="451"/>
        <v>63.113333333333337</v>
      </c>
      <c r="Q513" s="148">
        <v>15.12</v>
      </c>
      <c r="R513" s="148">
        <v>2.4700000000000002</v>
      </c>
      <c r="S513" s="127">
        <f t="shared" si="444"/>
        <v>2.4483864501904185</v>
      </c>
      <c r="T513" s="127">
        <f t="shared" si="445"/>
        <v>2.4412861294848662</v>
      </c>
      <c r="U513" s="148">
        <f t="shared" si="452"/>
        <v>4.188142484895363</v>
      </c>
      <c r="V513" s="147">
        <f t="shared" si="453"/>
        <v>10.161346806775384</v>
      </c>
      <c r="W513" s="147">
        <f t="shared" si="454"/>
        <v>58.783588784679672</v>
      </c>
      <c r="X513" s="132">
        <f>AVERAGE(S513:S517)</f>
        <v>2.4424655198297605</v>
      </c>
      <c r="Y513" s="132">
        <f t="shared" ref="Y513" si="467">AVERAGE(T513:T517)</f>
        <v>2.4353823698222543</v>
      </c>
      <c r="Z513" s="133">
        <f t="shared" ref="Z513" si="468">AVERAGE(U513:U517)</f>
        <v>4.4198441984986676</v>
      </c>
      <c r="AA513" s="132">
        <f t="shared" ref="AA513" si="469">AVERAGE(V513:V517)</f>
        <v>10.378603526690265</v>
      </c>
      <c r="AB513" s="132">
        <f t="shared" ref="AB513" si="470">AVERAGE(W513:W517)</f>
        <v>57.436561201626184</v>
      </c>
      <c r="AC513" s="235">
        <v>161</v>
      </c>
      <c r="AD513" s="235">
        <v>91</v>
      </c>
      <c r="AE513" s="235">
        <v>44</v>
      </c>
      <c r="AF513" s="235">
        <v>15</v>
      </c>
    </row>
    <row r="514" spans="1:32" ht="14.4">
      <c r="A514" s="145" t="s">
        <v>135</v>
      </c>
      <c r="B514" s="1" t="s">
        <v>254</v>
      </c>
      <c r="C514" s="1" t="s">
        <v>338</v>
      </c>
      <c r="D514" s="146" t="s">
        <v>339</v>
      </c>
      <c r="E514" s="147">
        <v>2.548</v>
      </c>
      <c r="F514" s="147">
        <v>2.5929501554190102</v>
      </c>
      <c r="G514" s="147">
        <f t="shared" si="450"/>
        <v>4.8000000000000052</v>
      </c>
      <c r="H514" s="147">
        <v>4.5801526717557302</v>
      </c>
      <c r="I514" s="147">
        <v>1236.4000000000001</v>
      </c>
      <c r="J514" s="147">
        <v>731</v>
      </c>
      <c r="K514" s="147">
        <v>1237.8</v>
      </c>
      <c r="L514" s="147">
        <v>62.43</v>
      </c>
      <c r="M514" s="147">
        <v>61.85</v>
      </c>
      <c r="N514" s="147">
        <v>62.46</v>
      </c>
      <c r="O514" s="147">
        <v>62.13</v>
      </c>
      <c r="P514" s="147">
        <f t="shared" si="451"/>
        <v>62.24666666666667</v>
      </c>
      <c r="Q514" s="148">
        <v>13.81</v>
      </c>
      <c r="R514" s="148">
        <v>2.0699999999999998</v>
      </c>
      <c r="S514" s="127">
        <f t="shared" si="444"/>
        <v>2.4396211523283351</v>
      </c>
      <c r="T514" s="127">
        <f t="shared" si="445"/>
        <v>2.4325462509865829</v>
      </c>
      <c r="U514" s="148">
        <f t="shared" si="452"/>
        <v>4.5311518451105588</v>
      </c>
      <c r="V514" s="147">
        <f t="shared" si="453"/>
        <v>10.482971914080551</v>
      </c>
      <c r="W514" s="147">
        <f t="shared" si="454"/>
        <v>56.776075694485144</v>
      </c>
      <c r="AC514" s="235">
        <v>161</v>
      </c>
      <c r="AD514" s="235">
        <v>91</v>
      </c>
      <c r="AE514" s="235">
        <v>44</v>
      </c>
      <c r="AF514" s="235">
        <v>15</v>
      </c>
    </row>
    <row r="515" spans="1:32" ht="14.4">
      <c r="A515" s="145" t="s">
        <v>135</v>
      </c>
      <c r="B515" s="1" t="s">
        <v>254</v>
      </c>
      <c r="C515" s="1" t="s">
        <v>338</v>
      </c>
      <c r="D515" s="146" t="s">
        <v>340</v>
      </c>
      <c r="E515" s="147">
        <v>2.548</v>
      </c>
      <c r="F515" s="147">
        <v>2.5929501554190102</v>
      </c>
      <c r="G515" s="147">
        <f t="shared" si="450"/>
        <v>4.8000000000000052</v>
      </c>
      <c r="H515" s="147">
        <v>4.5801526717557302</v>
      </c>
      <c r="I515" s="147">
        <v>1233.0999999999999</v>
      </c>
      <c r="J515" s="147">
        <v>729.9</v>
      </c>
      <c r="K515" s="147">
        <v>1234.2</v>
      </c>
      <c r="L515" s="147">
        <v>63.07</v>
      </c>
      <c r="M515" s="147">
        <v>62.96</v>
      </c>
      <c r="N515" s="147">
        <v>62.61</v>
      </c>
      <c r="O515" s="147">
        <v>62.76</v>
      </c>
      <c r="P515" s="147">
        <f t="shared" si="451"/>
        <v>62.879999999999995</v>
      </c>
      <c r="Q515" s="148">
        <v>13.8</v>
      </c>
      <c r="R515" s="148">
        <v>2.25</v>
      </c>
      <c r="S515" s="127">
        <f t="shared" si="444"/>
        <v>2.4451715248859802</v>
      </c>
      <c r="T515" s="127">
        <f t="shared" si="445"/>
        <v>2.4380805274638107</v>
      </c>
      <c r="U515" s="148">
        <f t="shared" si="452"/>
        <v>4.3139510414517019</v>
      </c>
      <c r="V515" s="147">
        <f t="shared" si="453"/>
        <v>10.279312073020463</v>
      </c>
      <c r="W515" s="147">
        <f t="shared" si="454"/>
        <v>58.032687296513856</v>
      </c>
      <c r="AC515" s="235">
        <v>161</v>
      </c>
      <c r="AD515" s="235">
        <v>91</v>
      </c>
      <c r="AE515" s="235">
        <v>44</v>
      </c>
      <c r="AF515" s="235">
        <v>15</v>
      </c>
    </row>
    <row r="516" spans="1:32" ht="14.4">
      <c r="A516" s="145" t="s">
        <v>135</v>
      </c>
      <c r="B516" s="1" t="s">
        <v>254</v>
      </c>
      <c r="C516" s="1" t="s">
        <v>338</v>
      </c>
      <c r="D516" s="146" t="s">
        <v>341</v>
      </c>
      <c r="E516" s="147">
        <v>2.548</v>
      </c>
      <c r="F516" s="147">
        <v>2.5929501554190102</v>
      </c>
      <c r="G516" s="147">
        <f t="shared" si="450"/>
        <v>4.8000000000000052</v>
      </c>
      <c r="H516" s="147">
        <v>4.5801526717557302</v>
      </c>
      <c r="I516" s="147">
        <v>1235.0999999999999</v>
      </c>
      <c r="J516" s="147">
        <v>731.6</v>
      </c>
      <c r="K516" s="147">
        <v>1236.5999999999999</v>
      </c>
      <c r="L516" s="147">
        <v>62.6</v>
      </c>
      <c r="M516" s="147">
        <v>63.14</v>
      </c>
      <c r="N516" s="147">
        <v>62.71</v>
      </c>
      <c r="O516" s="147">
        <v>62.96</v>
      </c>
      <c r="P516" s="147">
        <f t="shared" si="451"/>
        <v>62.81666666666667</v>
      </c>
      <c r="Q516" s="148">
        <v>14.08</v>
      </c>
      <c r="R516" s="148">
        <v>2.56</v>
      </c>
      <c r="S516" s="127">
        <f t="shared" si="444"/>
        <v>2.4457425742574261</v>
      </c>
      <c r="T516" s="127">
        <f t="shared" si="445"/>
        <v>2.4386499207920798</v>
      </c>
      <c r="U516" s="148">
        <f t="shared" si="452"/>
        <v>4.291604364518065</v>
      </c>
      <c r="V516" s="147">
        <f t="shared" si="453"/>
        <v>10.258358556293743</v>
      </c>
      <c r="W516" s="147">
        <f t="shared" si="454"/>
        <v>58.164804427848111</v>
      </c>
      <c r="AC516" s="235">
        <v>161</v>
      </c>
      <c r="AD516" s="235">
        <v>91</v>
      </c>
      <c r="AE516" s="235">
        <v>44</v>
      </c>
      <c r="AF516" s="235">
        <v>15</v>
      </c>
    </row>
    <row r="517" spans="1:32" ht="14.4">
      <c r="A517" s="145" t="s">
        <v>135</v>
      </c>
      <c r="B517" s="1" t="s">
        <v>254</v>
      </c>
      <c r="C517" s="1" t="s">
        <v>338</v>
      </c>
      <c r="D517" s="146" t="s">
        <v>342</v>
      </c>
      <c r="E517" s="147">
        <v>2.548</v>
      </c>
      <c r="F517" s="147">
        <v>2.5929501554190102</v>
      </c>
      <c r="G517" s="147">
        <f t="shared" si="450"/>
        <v>4.8000000000000052</v>
      </c>
      <c r="H517" s="147">
        <v>4.5801526717557302</v>
      </c>
      <c r="I517" s="147">
        <v>1229.5999999999999</v>
      </c>
      <c r="J517" s="147">
        <v>725.7</v>
      </c>
      <c r="K517" s="147">
        <v>1231</v>
      </c>
      <c r="L517" s="147">
        <v>63.19</v>
      </c>
      <c r="M517" s="147">
        <v>63.54</v>
      </c>
      <c r="N517" s="147">
        <v>63.65</v>
      </c>
      <c r="O517" s="147">
        <v>63.34</v>
      </c>
      <c r="P517" s="147">
        <f t="shared" si="451"/>
        <v>63.46</v>
      </c>
      <c r="Q517" s="148">
        <v>13.47</v>
      </c>
      <c r="R517" s="148">
        <v>2.2200000000000002</v>
      </c>
      <c r="S517" s="127">
        <f t="shared" si="444"/>
        <v>2.4334058974866415</v>
      </c>
      <c r="T517" s="127">
        <f t="shared" si="445"/>
        <v>2.4263490203839302</v>
      </c>
      <c r="U517" s="148">
        <f t="shared" si="452"/>
        <v>4.774371256517651</v>
      </c>
      <c r="V517" s="147">
        <f t="shared" si="453"/>
        <v>10.711028283281181</v>
      </c>
      <c r="W517" s="147">
        <f t="shared" si="454"/>
        <v>55.425649804604134</v>
      </c>
      <c r="AC517" s="235">
        <v>161</v>
      </c>
      <c r="AD517" s="235">
        <v>91</v>
      </c>
      <c r="AE517" s="235">
        <v>44</v>
      </c>
      <c r="AF517" s="235">
        <v>15</v>
      </c>
    </row>
    <row r="518" spans="1:32" ht="14.4">
      <c r="A518" s="145" t="s">
        <v>135</v>
      </c>
      <c r="B518" s="1" t="s">
        <v>266</v>
      </c>
      <c r="C518" s="1" t="s">
        <v>345</v>
      </c>
      <c r="D518" s="146" t="s">
        <v>337</v>
      </c>
      <c r="E518" s="147">
        <v>2.4729999999999999</v>
      </c>
      <c r="F518" s="147">
        <v>2.6008697889769601</v>
      </c>
      <c r="G518" s="147">
        <v>5.2</v>
      </c>
      <c r="H518" s="127">
        <v>4.9429657794676798</v>
      </c>
      <c r="I518" s="147">
        <v>1221.5</v>
      </c>
      <c r="J518" s="147">
        <v>723.5</v>
      </c>
      <c r="K518" s="147">
        <v>1222.4000000000001</v>
      </c>
      <c r="L518" s="147">
        <v>62.86</v>
      </c>
      <c r="M518" s="147">
        <v>63.16</v>
      </c>
      <c r="N518" s="147">
        <v>63.32</v>
      </c>
      <c r="O518" s="147">
        <v>62.76</v>
      </c>
      <c r="P518" s="147">
        <f t="shared" si="451"/>
        <v>63.113333333333337</v>
      </c>
      <c r="Q518" s="148">
        <v>15.12</v>
      </c>
      <c r="R518" s="148">
        <v>2.4700000000000002</v>
      </c>
      <c r="S518" s="127">
        <f t="shared" si="444"/>
        <v>2.4483864501904185</v>
      </c>
      <c r="T518" s="127">
        <f t="shared" si="445"/>
        <v>2.4412861294848662</v>
      </c>
      <c r="U518" s="148">
        <f t="shared" si="452"/>
        <v>1.2824047923628679</v>
      </c>
      <c r="V518" s="147">
        <f t="shared" si="453"/>
        <v>10.775456681422682</v>
      </c>
      <c r="W518" s="147">
        <f t="shared" si="454"/>
        <v>88.098835805504322</v>
      </c>
      <c r="X518" s="132">
        <f>AVERAGE(S518:S522)</f>
        <v>2.4424655198297605</v>
      </c>
      <c r="Y518" s="132">
        <f t="shared" ref="Y518" si="471">AVERAGE(T518:T522)</f>
        <v>2.4353823698222543</v>
      </c>
      <c r="Z518" s="133">
        <f t="shared" ref="Z518" si="472">AVERAGE(U518:U522)</f>
        <v>1.5211334483520389</v>
      </c>
      <c r="AA518" s="132">
        <f t="shared" ref="AA518" si="473">AVERAGE(V518:V522)</f>
        <v>10.991228300077793</v>
      </c>
      <c r="AB518" s="132">
        <f t="shared" ref="AB518" si="474">AVERAGE(W518:W522)</f>
        <v>86.190636026297383</v>
      </c>
      <c r="AC518" s="235">
        <v>161</v>
      </c>
      <c r="AD518" s="235">
        <v>91</v>
      </c>
      <c r="AE518" s="235">
        <v>44</v>
      </c>
      <c r="AF518" s="235">
        <v>15</v>
      </c>
    </row>
    <row r="519" spans="1:32" ht="14.4">
      <c r="A519" s="145" t="s">
        <v>135</v>
      </c>
      <c r="B519" s="1" t="s">
        <v>266</v>
      </c>
      <c r="C519" s="1" t="s">
        <v>346</v>
      </c>
      <c r="D519" s="146" t="s">
        <v>339</v>
      </c>
      <c r="E519" s="147">
        <v>2.4729999999999999</v>
      </c>
      <c r="F519" s="147">
        <v>2.6008697889769601</v>
      </c>
      <c r="G519" s="147">
        <f t="shared" ref="G519:G532" si="475">100*H519/(100-H519)</f>
        <v>5.1999999999999993</v>
      </c>
      <c r="H519" s="127">
        <v>4.9429657794676798</v>
      </c>
      <c r="I519" s="147">
        <v>1236.4000000000001</v>
      </c>
      <c r="J519" s="147">
        <v>731</v>
      </c>
      <c r="K519" s="147">
        <v>1237.8</v>
      </c>
      <c r="L519" s="147">
        <v>62.43</v>
      </c>
      <c r="M519" s="147">
        <v>61.85</v>
      </c>
      <c r="N519" s="147">
        <v>62.46</v>
      </c>
      <c r="O519" s="147">
        <v>62.13</v>
      </c>
      <c r="P519" s="147">
        <f t="shared" si="451"/>
        <v>62.24666666666667</v>
      </c>
      <c r="Q519" s="148">
        <v>13.81</v>
      </c>
      <c r="R519" s="148">
        <v>2.0699999999999998</v>
      </c>
      <c r="S519" s="127">
        <f t="shared" si="444"/>
        <v>2.4396211523283351</v>
      </c>
      <c r="T519" s="127">
        <f t="shared" si="445"/>
        <v>2.4325462509865829</v>
      </c>
      <c r="U519" s="148">
        <f t="shared" si="452"/>
        <v>1.6358167817798974</v>
      </c>
      <c r="V519" s="147">
        <f t="shared" si="453"/>
        <v>11.094883256722866</v>
      </c>
      <c r="W519" s="147">
        <f t="shared" si="454"/>
        <v>85.25611541889198</v>
      </c>
      <c r="AC519" s="235">
        <v>161</v>
      </c>
      <c r="AD519" s="235">
        <v>91</v>
      </c>
      <c r="AE519" s="235">
        <v>44</v>
      </c>
      <c r="AF519" s="235">
        <v>15</v>
      </c>
    </row>
    <row r="520" spans="1:32" ht="14.4">
      <c r="A520" s="145" t="s">
        <v>135</v>
      </c>
      <c r="B520" s="1" t="s">
        <v>266</v>
      </c>
      <c r="C520" s="1" t="s">
        <v>346</v>
      </c>
      <c r="D520" s="146" t="s">
        <v>340</v>
      </c>
      <c r="E520" s="147">
        <v>2.4729999999999999</v>
      </c>
      <c r="F520" s="147">
        <v>2.6008697889769601</v>
      </c>
      <c r="G520" s="147">
        <f t="shared" si="475"/>
        <v>5.1999999999999993</v>
      </c>
      <c r="H520" s="127">
        <v>4.9429657794676798</v>
      </c>
      <c r="I520" s="147">
        <v>1233.0999999999999</v>
      </c>
      <c r="J520" s="147">
        <v>729.9</v>
      </c>
      <c r="K520" s="147">
        <v>1234.2</v>
      </c>
      <c r="L520" s="147">
        <v>63.07</v>
      </c>
      <c r="M520" s="147">
        <v>62.96</v>
      </c>
      <c r="N520" s="147">
        <v>62.61</v>
      </c>
      <c r="O520" s="147">
        <v>62.76</v>
      </c>
      <c r="P520" s="147">
        <f t="shared" si="451"/>
        <v>62.879999999999995</v>
      </c>
      <c r="Q520" s="148">
        <v>13.8</v>
      </c>
      <c r="R520" s="148">
        <v>2.25</v>
      </c>
      <c r="S520" s="127">
        <f t="shared" si="444"/>
        <v>2.4451715248859802</v>
      </c>
      <c r="T520" s="127">
        <f t="shared" si="445"/>
        <v>2.4380805274638107</v>
      </c>
      <c r="U520" s="148">
        <f t="shared" si="452"/>
        <v>1.4120288126239111</v>
      </c>
      <c r="V520" s="147">
        <f t="shared" si="453"/>
        <v>10.892615572769088</v>
      </c>
      <c r="W520" s="147">
        <f t="shared" si="454"/>
        <v>87.036825056473106</v>
      </c>
      <c r="AC520" s="235">
        <v>161</v>
      </c>
      <c r="AD520" s="235">
        <v>91</v>
      </c>
      <c r="AE520" s="235">
        <v>44</v>
      </c>
      <c r="AF520" s="235">
        <v>15</v>
      </c>
    </row>
    <row r="521" spans="1:32" ht="14.4">
      <c r="A521" s="145" t="s">
        <v>135</v>
      </c>
      <c r="B521" s="1" t="s">
        <v>266</v>
      </c>
      <c r="C521" s="1" t="s">
        <v>346</v>
      </c>
      <c r="D521" s="146" t="s">
        <v>341</v>
      </c>
      <c r="E521" s="147">
        <v>2.4729999999999999</v>
      </c>
      <c r="F521" s="147">
        <v>2.6008697889769601</v>
      </c>
      <c r="G521" s="147">
        <f t="shared" si="475"/>
        <v>5.1999999999999993</v>
      </c>
      <c r="H521" s="127">
        <v>4.9429657794676798</v>
      </c>
      <c r="I521" s="147">
        <v>1235.0999999999999</v>
      </c>
      <c r="J521" s="147">
        <v>731.6</v>
      </c>
      <c r="K521" s="147">
        <v>1236.5999999999999</v>
      </c>
      <c r="L521" s="147">
        <v>62.6</v>
      </c>
      <c r="M521" s="147">
        <v>63.14</v>
      </c>
      <c r="N521" s="147">
        <v>62.71</v>
      </c>
      <c r="O521" s="147">
        <v>62.96</v>
      </c>
      <c r="P521" s="147">
        <f t="shared" si="451"/>
        <v>62.81666666666667</v>
      </c>
      <c r="Q521" s="148">
        <v>14.08</v>
      </c>
      <c r="R521" s="148">
        <v>2.56</v>
      </c>
      <c r="S521" s="127">
        <f t="shared" si="444"/>
        <v>2.4457425742574261</v>
      </c>
      <c r="T521" s="127">
        <f t="shared" si="445"/>
        <v>2.4386499207920798</v>
      </c>
      <c r="U521" s="148">
        <f t="shared" si="452"/>
        <v>1.3890044160097093</v>
      </c>
      <c r="V521" s="147">
        <f t="shared" si="453"/>
        <v>10.871805287948362</v>
      </c>
      <c r="W521" s="147">
        <f t="shared" si="454"/>
        <v>87.223792376511284</v>
      </c>
      <c r="AC521" s="235">
        <v>161</v>
      </c>
      <c r="AD521" s="235">
        <v>91</v>
      </c>
      <c r="AE521" s="235">
        <v>44</v>
      </c>
      <c r="AF521" s="235">
        <v>15</v>
      </c>
    </row>
    <row r="522" spans="1:32" ht="14.4">
      <c r="A522" s="145" t="s">
        <v>135</v>
      </c>
      <c r="B522" s="1" t="s">
        <v>266</v>
      </c>
      <c r="C522" s="1" t="s">
        <v>346</v>
      </c>
      <c r="D522" s="146" t="s">
        <v>342</v>
      </c>
      <c r="E522" s="147">
        <v>2.4729999999999999</v>
      </c>
      <c r="F522" s="147">
        <v>2.6008697889769601</v>
      </c>
      <c r="G522" s="147">
        <f t="shared" si="475"/>
        <v>5.1999999999999993</v>
      </c>
      <c r="H522" s="127">
        <v>4.9429657794676798</v>
      </c>
      <c r="I522" s="147">
        <v>1229.5999999999999</v>
      </c>
      <c r="J522" s="147">
        <v>725.7</v>
      </c>
      <c r="K522" s="147">
        <v>1231</v>
      </c>
      <c r="L522" s="147">
        <v>63.19</v>
      </c>
      <c r="M522" s="147">
        <v>63.54</v>
      </c>
      <c r="N522" s="147">
        <v>63.65</v>
      </c>
      <c r="O522" s="147">
        <v>63.34</v>
      </c>
      <c r="P522" s="147">
        <f t="shared" si="451"/>
        <v>63.46</v>
      </c>
      <c r="Q522" s="148">
        <v>13.47</v>
      </c>
      <c r="R522" s="148">
        <v>2.2200000000000002</v>
      </c>
      <c r="S522" s="127">
        <f t="shared" si="444"/>
        <v>2.4334058974866415</v>
      </c>
      <c r="T522" s="127">
        <f t="shared" si="445"/>
        <v>2.4263490203839302</v>
      </c>
      <c r="U522" s="148">
        <f t="shared" si="452"/>
        <v>1.8864124389838088</v>
      </c>
      <c r="V522" s="147">
        <f t="shared" si="453"/>
        <v>11.321380701525968</v>
      </c>
      <c r="W522" s="147">
        <f t="shared" si="454"/>
        <v>83.337611474106282</v>
      </c>
      <c r="AC522" s="235">
        <v>161</v>
      </c>
      <c r="AD522" s="235">
        <v>91</v>
      </c>
      <c r="AE522" s="235">
        <v>44</v>
      </c>
      <c r="AF522" s="235">
        <v>15</v>
      </c>
    </row>
    <row r="523" spans="1:32" ht="14.4">
      <c r="A523" s="145" t="s">
        <v>135</v>
      </c>
      <c r="B523" s="1" t="s">
        <v>267</v>
      </c>
      <c r="C523" s="1" t="s">
        <v>347</v>
      </c>
      <c r="D523" s="146" t="s">
        <v>337</v>
      </c>
      <c r="E523" s="147">
        <v>2.4830000000000001</v>
      </c>
      <c r="F523" s="147">
        <v>2.6008697889769601</v>
      </c>
      <c r="G523" s="147">
        <f t="shared" si="475"/>
        <v>5.1999999999999993</v>
      </c>
      <c r="H523" s="127">
        <v>4.9429657794676798</v>
      </c>
      <c r="I523" s="147">
        <v>1231</v>
      </c>
      <c r="J523" s="147">
        <v>732.7</v>
      </c>
      <c r="K523" s="147">
        <v>1231.9000000000001</v>
      </c>
      <c r="L523" s="147">
        <v>62.86</v>
      </c>
      <c r="M523" s="147">
        <v>63.16</v>
      </c>
      <c r="N523" s="147">
        <v>63.32</v>
      </c>
      <c r="O523" s="147">
        <v>62.76</v>
      </c>
      <c r="P523" s="147">
        <f t="shared" si="451"/>
        <v>63.113333333333337</v>
      </c>
      <c r="Q523" s="148">
        <v>17.13</v>
      </c>
      <c r="R523" s="148">
        <v>1.67</v>
      </c>
      <c r="S523" s="127">
        <f t="shared" si="444"/>
        <v>2.4659455128205128</v>
      </c>
      <c r="T523" s="127">
        <f t="shared" si="445"/>
        <v>2.4587942708333332</v>
      </c>
      <c r="U523" s="148">
        <f t="shared" si="452"/>
        <v>0.97485820244328503</v>
      </c>
      <c r="V523" s="147">
        <f t="shared" si="453"/>
        <v>10.135566134670711</v>
      </c>
      <c r="W523" s="147">
        <f t="shared" si="454"/>
        <v>90.381808085602742</v>
      </c>
      <c r="X523" s="132">
        <f>AVERAGE(S523:S527)</f>
        <v>2.4526663792559136</v>
      </c>
      <c r="Y523" s="132">
        <f t="shared" ref="Y523" si="476">AVERAGE(T523:T527)</f>
        <v>2.4455536467560717</v>
      </c>
      <c r="Z523" s="133">
        <f t="shared" ref="Z523" si="477">AVERAGE(U523:U527)</f>
        <v>1.5081092728122703</v>
      </c>
      <c r="AA523" s="132">
        <f t="shared" ref="AA523" si="478">AVERAGE(V523:V527)</f>
        <v>10.619486729753087</v>
      </c>
      <c r="AB523" s="132">
        <f t="shared" ref="AB523" si="479">AVERAGE(W523:W527)</f>
        <v>85.907381706784037</v>
      </c>
      <c r="AC523" s="235">
        <v>144</v>
      </c>
      <c r="AD523" s="235">
        <v>107.8</v>
      </c>
      <c r="AE523" s="235">
        <v>43.95</v>
      </c>
      <c r="AF523" s="235">
        <v>60.3</v>
      </c>
    </row>
    <row r="524" spans="1:32" ht="14.4">
      <c r="A524" s="145" t="s">
        <v>135</v>
      </c>
      <c r="B524" s="1" t="s">
        <v>267</v>
      </c>
      <c r="C524" s="1" t="s">
        <v>347</v>
      </c>
      <c r="D524" s="146" t="s">
        <v>339</v>
      </c>
      <c r="E524" s="147">
        <v>2.4830000000000001</v>
      </c>
      <c r="F524" s="147">
        <v>2.6008697889769601</v>
      </c>
      <c r="G524" s="147">
        <f t="shared" si="475"/>
        <v>5.1999999999999993</v>
      </c>
      <c r="H524" s="127">
        <v>4.9429657794676798</v>
      </c>
      <c r="I524" s="147">
        <v>1233.3</v>
      </c>
      <c r="J524" s="147">
        <v>733.3</v>
      </c>
      <c r="K524" s="147">
        <v>1234.2</v>
      </c>
      <c r="L524" s="147">
        <v>62.43</v>
      </c>
      <c r="M524" s="147">
        <v>61.85</v>
      </c>
      <c r="N524" s="147">
        <v>62.46</v>
      </c>
      <c r="O524" s="147">
        <v>62.13</v>
      </c>
      <c r="P524" s="147">
        <f t="shared" si="451"/>
        <v>62.24666666666667</v>
      </c>
      <c r="Q524" s="148">
        <v>17.46</v>
      </c>
      <c r="R524" s="148">
        <v>1.64</v>
      </c>
      <c r="S524" s="127">
        <f t="shared" si="444"/>
        <v>2.4621680974246352</v>
      </c>
      <c r="T524" s="127">
        <f t="shared" si="445"/>
        <v>2.4550278099421039</v>
      </c>
      <c r="U524" s="148">
        <f t="shared" si="452"/>
        <v>1.1265481295971047</v>
      </c>
      <c r="V524" s="147">
        <f t="shared" si="453"/>
        <v>10.273223392002592</v>
      </c>
      <c r="W524" s="147">
        <f t="shared" si="454"/>
        <v>89.034131872630269</v>
      </c>
      <c r="AC524" s="235">
        <v>144</v>
      </c>
      <c r="AD524" s="235">
        <v>107.8</v>
      </c>
      <c r="AE524" s="235">
        <v>43.95</v>
      </c>
      <c r="AF524" s="235">
        <v>60.3</v>
      </c>
    </row>
    <row r="525" spans="1:32" ht="14.4">
      <c r="A525" s="145" t="s">
        <v>135</v>
      </c>
      <c r="B525" s="1" t="s">
        <v>267</v>
      </c>
      <c r="C525" s="1" t="s">
        <v>347</v>
      </c>
      <c r="D525" s="146" t="s">
        <v>340</v>
      </c>
      <c r="E525" s="147">
        <v>2.4830000000000001</v>
      </c>
      <c r="F525" s="147">
        <v>2.6008697889769601</v>
      </c>
      <c r="G525" s="147">
        <f t="shared" si="475"/>
        <v>5.1999999999999993</v>
      </c>
      <c r="H525" s="127">
        <v>4.9429657794676798</v>
      </c>
      <c r="I525" s="147">
        <v>1233</v>
      </c>
      <c r="J525" s="147">
        <v>730.7</v>
      </c>
      <c r="K525" s="147">
        <v>1234</v>
      </c>
      <c r="L525" s="147">
        <v>63.07</v>
      </c>
      <c r="M525" s="147">
        <v>62.96</v>
      </c>
      <c r="N525" s="147">
        <v>62.61</v>
      </c>
      <c r="O525" s="147">
        <v>62.76</v>
      </c>
      <c r="P525" s="147">
        <f t="shared" si="451"/>
        <v>62.879999999999995</v>
      </c>
      <c r="Q525" s="148">
        <v>17.16</v>
      </c>
      <c r="R525" s="148">
        <v>1.66</v>
      </c>
      <c r="S525" s="127">
        <f t="shared" si="444"/>
        <v>2.449831114643354</v>
      </c>
      <c r="T525" s="127">
        <f t="shared" si="445"/>
        <v>2.4427266044108884</v>
      </c>
      <c r="U525" s="148">
        <f t="shared" si="452"/>
        <v>1.6219651868349505</v>
      </c>
      <c r="V525" s="147">
        <f t="shared" si="453"/>
        <v>10.722809957270243</v>
      </c>
      <c r="W525" s="147">
        <f t="shared" si="454"/>
        <v>84.873692685980785</v>
      </c>
      <c r="AC525" s="235">
        <v>144</v>
      </c>
      <c r="AD525" s="235">
        <v>107.8</v>
      </c>
      <c r="AE525" s="235">
        <v>43.95</v>
      </c>
      <c r="AF525" s="235">
        <v>60.3</v>
      </c>
    </row>
    <row r="526" spans="1:32" ht="14.4">
      <c r="A526" s="145" t="s">
        <v>135</v>
      </c>
      <c r="B526" s="1" t="s">
        <v>267</v>
      </c>
      <c r="C526" s="1" t="s">
        <v>347</v>
      </c>
      <c r="D526" s="146" t="s">
        <v>341</v>
      </c>
      <c r="E526" s="147">
        <v>2.4830000000000001</v>
      </c>
      <c r="F526" s="147">
        <v>2.6008697889769601</v>
      </c>
      <c r="G526" s="147">
        <f t="shared" si="475"/>
        <v>5.1999999999999993</v>
      </c>
      <c r="H526" s="127">
        <v>4.9429657794676798</v>
      </c>
      <c r="I526" s="147">
        <v>1234.4000000000001</v>
      </c>
      <c r="J526" s="147">
        <v>730.5</v>
      </c>
      <c r="K526" s="147">
        <v>1235.5999999999999</v>
      </c>
      <c r="L526" s="147">
        <v>62.6</v>
      </c>
      <c r="M526" s="147">
        <v>63.14</v>
      </c>
      <c r="N526" s="147">
        <v>62.71</v>
      </c>
      <c r="O526" s="147">
        <v>62.96</v>
      </c>
      <c r="P526" s="147">
        <f t="shared" si="451"/>
        <v>62.81666666666667</v>
      </c>
      <c r="Q526" s="148">
        <v>16.38</v>
      </c>
      <c r="R526" s="148">
        <v>1.76</v>
      </c>
      <c r="S526" s="127">
        <f t="shared" si="444"/>
        <v>2.443872500494952</v>
      </c>
      <c r="T526" s="127">
        <f t="shared" si="445"/>
        <v>2.4367852702435164</v>
      </c>
      <c r="U526" s="148">
        <f t="shared" si="452"/>
        <v>1.8612456607524641</v>
      </c>
      <c r="V526" s="147">
        <f t="shared" si="453"/>
        <v>10.939954855356675</v>
      </c>
      <c r="W526" s="147">
        <f t="shared" si="454"/>
        <v>82.986715344249177</v>
      </c>
      <c r="AC526" s="235">
        <v>144</v>
      </c>
      <c r="AD526" s="235">
        <v>107.8</v>
      </c>
      <c r="AE526" s="235">
        <v>43.95</v>
      </c>
      <c r="AF526" s="235">
        <v>60.3</v>
      </c>
    </row>
    <row r="527" spans="1:32" ht="14.4">
      <c r="A527" s="145" t="s">
        <v>135</v>
      </c>
      <c r="B527" s="1" t="s">
        <v>267</v>
      </c>
      <c r="C527" s="1" t="s">
        <v>347</v>
      </c>
      <c r="D527" s="146" t="s">
        <v>342</v>
      </c>
      <c r="E527" s="147">
        <v>2.4830000000000001</v>
      </c>
      <c r="F527" s="147">
        <v>2.6008697889769601</v>
      </c>
      <c r="G527" s="147">
        <f t="shared" si="475"/>
        <v>5.1999999999999993</v>
      </c>
      <c r="H527" s="127">
        <v>4.9429657794676798</v>
      </c>
      <c r="I527" s="147">
        <v>1231.5</v>
      </c>
      <c r="J527" s="147">
        <v>728.3</v>
      </c>
      <c r="K527" s="147">
        <v>1232.7</v>
      </c>
      <c r="L527" s="147">
        <v>63.19</v>
      </c>
      <c r="M527" s="147">
        <v>63.54</v>
      </c>
      <c r="N527" s="147">
        <v>63.65</v>
      </c>
      <c r="O527" s="147">
        <v>63.34</v>
      </c>
      <c r="P527" s="147">
        <f t="shared" si="451"/>
        <v>63.46</v>
      </c>
      <c r="Q527" s="148">
        <v>17.32</v>
      </c>
      <c r="R527" s="148">
        <v>1.56</v>
      </c>
      <c r="S527" s="127">
        <f t="shared" si="444"/>
        <v>2.441514670896114</v>
      </c>
      <c r="T527" s="127">
        <f t="shared" si="445"/>
        <v>2.4344342783505151</v>
      </c>
      <c r="U527" s="148">
        <f t="shared" si="452"/>
        <v>1.9559291844335469</v>
      </c>
      <c r="V527" s="147">
        <f t="shared" si="453"/>
        <v>11.025879309465211</v>
      </c>
      <c r="W527" s="147">
        <f t="shared" si="454"/>
        <v>82.260560545457153</v>
      </c>
      <c r="AC527" s="235">
        <v>144</v>
      </c>
      <c r="AD527" s="235">
        <v>107.8</v>
      </c>
      <c r="AE527" s="235">
        <v>43.95</v>
      </c>
      <c r="AF527" s="235">
        <v>60.3</v>
      </c>
    </row>
    <row r="528" spans="1:32" ht="14.4">
      <c r="A528" s="145" t="s">
        <v>135</v>
      </c>
      <c r="B528" s="1" t="s">
        <v>268</v>
      </c>
      <c r="C528" s="1" t="s">
        <v>348</v>
      </c>
      <c r="D528" s="146" t="s">
        <v>337</v>
      </c>
      <c r="E528" s="147">
        <v>2.4820000000000002</v>
      </c>
      <c r="F528" s="147">
        <v>2.6008697889769601</v>
      </c>
      <c r="G528" s="147">
        <f t="shared" si="475"/>
        <v>5.1999999999999993</v>
      </c>
      <c r="H528" s="127">
        <v>4.9429657794676798</v>
      </c>
      <c r="I528" s="147">
        <v>1232.2</v>
      </c>
      <c r="J528" s="147">
        <v>730.9</v>
      </c>
      <c r="K528" s="147">
        <v>1234.2</v>
      </c>
      <c r="L528" s="147">
        <v>62.86</v>
      </c>
      <c r="M528" s="147">
        <v>63.16</v>
      </c>
      <c r="N528" s="147">
        <v>63.32</v>
      </c>
      <c r="O528" s="147">
        <v>62.76</v>
      </c>
      <c r="P528" s="147">
        <f t="shared" si="451"/>
        <v>63.113333333333337</v>
      </c>
      <c r="Q528" s="148">
        <v>17.04</v>
      </c>
      <c r="R528" s="148">
        <v>2</v>
      </c>
      <c r="S528" s="127">
        <f t="shared" si="444"/>
        <v>2.448241605404331</v>
      </c>
      <c r="T528" s="127">
        <f t="shared" si="445"/>
        <v>2.4411417047486585</v>
      </c>
      <c r="U528" s="148">
        <f t="shared" si="452"/>
        <v>1.6461843372820972</v>
      </c>
      <c r="V528" s="147">
        <f t="shared" si="453"/>
        <v>10.780735141401792</v>
      </c>
      <c r="W528" s="147">
        <f t="shared" si="454"/>
        <v>84.730314624276659</v>
      </c>
      <c r="X528" s="132">
        <f>AVERAGE(S528:S532)</f>
        <v>2.4367287540944451</v>
      </c>
      <c r="Y528" s="132">
        <f t="shared" ref="Y528" si="480">AVERAGE(T528:T532)</f>
        <v>2.4296622407075708</v>
      </c>
      <c r="Z528" s="133">
        <f t="shared" ref="Z528" si="481">AVERAGE(U528:U532)</f>
        <v>2.10869296101649</v>
      </c>
      <c r="AA528" s="132">
        <f t="shared" ref="AA528" si="482">AVERAGE(V528:V532)</f>
        <v>11.200288558036409</v>
      </c>
      <c r="AB528" s="132">
        <f t="shared" ref="AB528" si="483">AVERAGE(W528:W532)</f>
        <v>81.361942540896933</v>
      </c>
      <c r="AC528" s="235">
        <v>111</v>
      </c>
      <c r="AD528" s="235">
        <v>124</v>
      </c>
      <c r="AE528" s="235">
        <v>41.5</v>
      </c>
      <c r="AF528" s="235">
        <v>56</v>
      </c>
    </row>
    <row r="529" spans="1:32" ht="14.4">
      <c r="A529" s="145" t="s">
        <v>135</v>
      </c>
      <c r="B529" s="1" t="s">
        <v>268</v>
      </c>
      <c r="C529" s="1" t="s">
        <v>348</v>
      </c>
      <c r="D529" s="146" t="s">
        <v>339</v>
      </c>
      <c r="E529" s="147">
        <v>2.4820000000000002</v>
      </c>
      <c r="F529" s="147">
        <v>2.6008697889769601</v>
      </c>
      <c r="G529" s="147">
        <f t="shared" si="475"/>
        <v>5.1999999999999993</v>
      </c>
      <c r="H529" s="127">
        <v>4.9429657794676798</v>
      </c>
      <c r="I529" s="147">
        <v>1235.2</v>
      </c>
      <c r="J529" s="147">
        <v>732.6</v>
      </c>
      <c r="K529" s="147">
        <v>1236.7</v>
      </c>
      <c r="L529" s="147">
        <v>62.43</v>
      </c>
      <c r="M529" s="147">
        <v>61.85</v>
      </c>
      <c r="N529" s="147">
        <v>62.46</v>
      </c>
      <c r="O529" s="147">
        <v>62.13</v>
      </c>
      <c r="P529" s="147">
        <f t="shared" si="451"/>
        <v>62.24666666666667</v>
      </c>
      <c r="Q529" s="148">
        <v>17.71</v>
      </c>
      <c r="R529" s="148">
        <v>1.76</v>
      </c>
      <c r="S529" s="127">
        <f t="shared" si="444"/>
        <v>2.450307478674866</v>
      </c>
      <c r="T529" s="127">
        <f t="shared" si="445"/>
        <v>2.4432015869867088</v>
      </c>
      <c r="U529" s="148">
        <f t="shared" si="452"/>
        <v>1.5631914993268103</v>
      </c>
      <c r="V529" s="147">
        <f t="shared" si="453"/>
        <v>10.705450212789657</v>
      </c>
      <c r="W529" s="147">
        <f t="shared" si="454"/>
        <v>85.398171321563979</v>
      </c>
      <c r="AC529" s="235">
        <v>111</v>
      </c>
      <c r="AD529" s="235">
        <v>124</v>
      </c>
      <c r="AE529" s="235">
        <v>41.5</v>
      </c>
      <c r="AF529" s="235">
        <v>56</v>
      </c>
    </row>
    <row r="530" spans="1:32" ht="14.4">
      <c r="A530" s="145" t="s">
        <v>135</v>
      </c>
      <c r="B530" s="1" t="s">
        <v>268</v>
      </c>
      <c r="C530" s="1" t="s">
        <v>348</v>
      </c>
      <c r="D530" s="146" t="s">
        <v>340</v>
      </c>
      <c r="E530" s="147">
        <v>2.4820000000000002</v>
      </c>
      <c r="F530" s="147">
        <v>2.6008697889769601</v>
      </c>
      <c r="G530" s="147">
        <f t="shared" si="475"/>
        <v>5.1999999999999993</v>
      </c>
      <c r="H530" s="127">
        <v>4.9429657794676798</v>
      </c>
      <c r="I530" s="147">
        <v>1234.0999999999999</v>
      </c>
      <c r="J530" s="147">
        <v>728.2</v>
      </c>
      <c r="K530" s="147">
        <v>1239.5999999999999</v>
      </c>
      <c r="L530" s="147">
        <v>63.07</v>
      </c>
      <c r="M530" s="147">
        <v>62.96</v>
      </c>
      <c r="N530" s="147">
        <v>62.61</v>
      </c>
      <c r="O530" s="147">
        <v>62.76</v>
      </c>
      <c r="P530" s="147">
        <f t="shared" si="451"/>
        <v>62.879999999999995</v>
      </c>
      <c r="Q530" s="148">
        <v>18.22</v>
      </c>
      <c r="R530" s="148">
        <v>1.94</v>
      </c>
      <c r="S530" s="127">
        <f t="shared" si="444"/>
        <v>2.4131795072350415</v>
      </c>
      <c r="T530" s="127">
        <f t="shared" si="445"/>
        <v>2.4061812866640597</v>
      </c>
      <c r="U530" s="148">
        <f t="shared" si="452"/>
        <v>3.0547426807389422</v>
      </c>
      <c r="V530" s="147">
        <f t="shared" si="453"/>
        <v>12.058474485492141</v>
      </c>
      <c r="W530" s="147">
        <f t="shared" si="454"/>
        <v>74.667254266580898</v>
      </c>
      <c r="AC530" s="235">
        <v>111</v>
      </c>
      <c r="AD530" s="235">
        <v>124</v>
      </c>
      <c r="AE530" s="235">
        <v>41.5</v>
      </c>
      <c r="AF530" s="235">
        <v>56</v>
      </c>
    </row>
    <row r="531" spans="1:32" ht="14.4">
      <c r="A531" s="145" t="s">
        <v>135</v>
      </c>
      <c r="B531" s="1" t="s">
        <v>268</v>
      </c>
      <c r="C531" s="1" t="s">
        <v>348</v>
      </c>
      <c r="D531" s="146" t="s">
        <v>341</v>
      </c>
      <c r="E531" s="147">
        <v>2.4820000000000002</v>
      </c>
      <c r="F531" s="147">
        <v>2.6008697889769601</v>
      </c>
      <c r="G531" s="147">
        <f t="shared" si="475"/>
        <v>5.1999999999999993</v>
      </c>
      <c r="H531" s="127">
        <v>4.9429657794676798</v>
      </c>
      <c r="I531" s="147">
        <v>1231.8</v>
      </c>
      <c r="J531" s="147">
        <v>730.2</v>
      </c>
      <c r="K531" s="147">
        <v>1234.2</v>
      </c>
      <c r="L531" s="147">
        <v>62.6</v>
      </c>
      <c r="M531" s="147">
        <v>63.14</v>
      </c>
      <c r="N531" s="147">
        <v>62.71</v>
      </c>
      <c r="O531" s="147">
        <v>62.96</v>
      </c>
      <c r="P531" s="147">
        <f t="shared" si="451"/>
        <v>62.81666666666667</v>
      </c>
      <c r="Q531" s="148">
        <v>17.91</v>
      </c>
      <c r="R531" s="148">
        <v>1.76</v>
      </c>
      <c r="S531" s="127">
        <f t="shared" si="444"/>
        <v>2.4440476190476188</v>
      </c>
      <c r="T531" s="127">
        <f t="shared" si="445"/>
        <v>2.4369598809523807</v>
      </c>
      <c r="U531" s="148">
        <f t="shared" si="452"/>
        <v>1.8146703887034432</v>
      </c>
      <c r="V531" s="147">
        <f t="shared" si="453"/>
        <v>10.933573153282182</v>
      </c>
      <c r="W531" s="147">
        <f t="shared" si="454"/>
        <v>83.402769037506346</v>
      </c>
      <c r="AC531" s="235">
        <v>111</v>
      </c>
      <c r="AD531" s="235">
        <v>124</v>
      </c>
      <c r="AE531" s="235">
        <v>41.5</v>
      </c>
      <c r="AF531" s="235">
        <v>56</v>
      </c>
    </row>
    <row r="532" spans="1:32" ht="14.4">
      <c r="A532" s="145" t="s">
        <v>135</v>
      </c>
      <c r="B532" s="1" t="s">
        <v>268</v>
      </c>
      <c r="C532" s="1" t="s">
        <v>348</v>
      </c>
      <c r="D532" s="146" t="s">
        <v>342</v>
      </c>
      <c r="E532" s="147">
        <v>2.4820000000000002</v>
      </c>
      <c r="F532" s="147">
        <v>2.6008697889769601</v>
      </c>
      <c r="G532" s="147">
        <f t="shared" si="475"/>
        <v>5.1999999999999993</v>
      </c>
      <c r="H532" s="127">
        <v>4.9429657794676798</v>
      </c>
      <c r="I532" s="147">
        <v>1231.9000000000001</v>
      </c>
      <c r="J532" s="147">
        <v>727.6</v>
      </c>
      <c r="K532" s="147">
        <v>1235</v>
      </c>
      <c r="L532" s="147">
        <v>63.19</v>
      </c>
      <c r="M532" s="147">
        <v>63.54</v>
      </c>
      <c r="N532" s="147">
        <v>63.65</v>
      </c>
      <c r="O532" s="147">
        <v>63.34</v>
      </c>
      <c r="P532" s="147">
        <f t="shared" si="451"/>
        <v>63.46</v>
      </c>
      <c r="Q532" s="148">
        <v>18.41</v>
      </c>
      <c r="R532" s="148">
        <v>1.99</v>
      </c>
      <c r="S532" s="127">
        <f t="shared" si="444"/>
        <v>2.427867560110367</v>
      </c>
      <c r="T532" s="127">
        <f t="shared" si="445"/>
        <v>2.4208267441860469</v>
      </c>
      <c r="U532" s="148">
        <f t="shared" si="452"/>
        <v>2.4646758990311546</v>
      </c>
      <c r="V532" s="147">
        <f t="shared" si="453"/>
        <v>11.523209797216268</v>
      </c>
      <c r="W532" s="147">
        <f t="shared" si="454"/>
        <v>78.611203454556886</v>
      </c>
      <c r="AC532" s="235">
        <v>111</v>
      </c>
      <c r="AD532" s="235">
        <v>124</v>
      </c>
      <c r="AE532" s="235">
        <v>41.5</v>
      </c>
      <c r="AF532" s="235">
        <v>56</v>
      </c>
    </row>
    <row r="533" spans="1:32" ht="14.4">
      <c r="A533" s="145" t="s">
        <v>135</v>
      </c>
      <c r="B533" s="1" t="s">
        <v>266</v>
      </c>
      <c r="C533" s="1" t="s">
        <v>346</v>
      </c>
      <c r="D533" s="146" t="s">
        <v>337</v>
      </c>
      <c r="E533" s="147">
        <v>2.5219999999999998</v>
      </c>
      <c r="F533" s="147">
        <v>2.6008697889769601</v>
      </c>
      <c r="G533" s="147">
        <v>5.2</v>
      </c>
      <c r="H533" s="127">
        <v>4.9429657794676798</v>
      </c>
      <c r="I533" s="147">
        <v>1221</v>
      </c>
      <c r="J533" s="147">
        <v>721.1</v>
      </c>
      <c r="K533" s="147">
        <v>1222.2</v>
      </c>
      <c r="L533" s="147">
        <v>62.86</v>
      </c>
      <c r="M533" s="147">
        <v>63.16</v>
      </c>
      <c r="N533" s="147">
        <v>63.32</v>
      </c>
      <c r="O533" s="147">
        <v>62.76</v>
      </c>
      <c r="P533" s="147">
        <f t="shared" si="451"/>
        <v>63.113333333333337</v>
      </c>
      <c r="Q533" s="148">
        <v>15.12</v>
      </c>
      <c r="R533" s="148">
        <v>2.4700000000000002</v>
      </c>
      <c r="S533" s="127">
        <f t="shared" si="444"/>
        <v>2.4366393933346635</v>
      </c>
      <c r="T533" s="127">
        <f t="shared" si="445"/>
        <v>2.4295731390939928</v>
      </c>
      <c r="U533" s="148">
        <f t="shared" si="452"/>
        <v>3.6648239851707842</v>
      </c>
      <c r="V533" s="147">
        <f t="shared" si="453"/>
        <v>11.203545059060374</v>
      </c>
      <c r="W533" s="147">
        <f t="shared" si="454"/>
        <v>67.288711154805242</v>
      </c>
      <c r="X533" s="132">
        <f>AVERAGE(S533:S537)</f>
        <v>2.4353972667248578</v>
      </c>
      <c r="Y533" s="132">
        <f t="shared" ref="Y533" si="484">AVERAGE(T533:T537)</f>
        <v>2.4283346146513551</v>
      </c>
      <c r="Z533" s="133">
        <f t="shared" ref="Z533" si="485">AVERAGE(U533:U537)</f>
        <v>3.71393280525949</v>
      </c>
      <c r="AA533" s="132">
        <f t="shared" ref="AA533" si="486">AVERAGE(V533:V537)</f>
        <v>11.248810862379596</v>
      </c>
      <c r="AB533" s="132">
        <f t="shared" ref="AB533" si="487">AVERAGE(W533:W537)</f>
        <v>67.111853759148218</v>
      </c>
      <c r="AC533" s="235">
        <v>161</v>
      </c>
      <c r="AD533" s="235">
        <v>91</v>
      </c>
      <c r="AE533" s="235">
        <v>44</v>
      </c>
      <c r="AF533" s="235">
        <v>15</v>
      </c>
    </row>
    <row r="534" spans="1:32" ht="14.4">
      <c r="A534" s="145" t="s">
        <v>135</v>
      </c>
      <c r="B534" s="1" t="s">
        <v>266</v>
      </c>
      <c r="C534" s="1" t="s">
        <v>346</v>
      </c>
      <c r="D534" s="146" t="s">
        <v>339</v>
      </c>
      <c r="E534" s="147">
        <v>2.5219999999999998</v>
      </c>
      <c r="F534" s="147">
        <v>2.6008697889769601</v>
      </c>
      <c r="G534" s="147">
        <f t="shared" ref="G534:G547" si="488">100*H534/(100-H534)</f>
        <v>5.1999999999999993</v>
      </c>
      <c r="H534" s="127">
        <v>4.9429657794676798</v>
      </c>
      <c r="I534" s="147">
        <v>1224</v>
      </c>
      <c r="J534" s="147">
        <v>721.5</v>
      </c>
      <c r="K534" s="147">
        <v>1224.8</v>
      </c>
      <c r="L534" s="147">
        <v>62.43</v>
      </c>
      <c r="M534" s="147">
        <v>61.85</v>
      </c>
      <c r="N534" s="147">
        <v>62.46</v>
      </c>
      <c r="O534" s="147">
        <v>62.13</v>
      </c>
      <c r="P534" s="147">
        <f t="shared" si="451"/>
        <v>62.24666666666667</v>
      </c>
      <c r="Q534" s="148">
        <v>13.81</v>
      </c>
      <c r="R534" s="148">
        <v>2.0699999999999998</v>
      </c>
      <c r="S534" s="127">
        <f t="shared" si="444"/>
        <v>2.4319491357043517</v>
      </c>
      <c r="T534" s="127">
        <f t="shared" si="445"/>
        <v>2.4248964832108091</v>
      </c>
      <c r="U534" s="148">
        <f t="shared" si="452"/>
        <v>3.8502583976681493</v>
      </c>
      <c r="V534" s="147">
        <f t="shared" si="453"/>
        <v>11.374468278750015</v>
      </c>
      <c r="W534" s="147">
        <f t="shared" si="454"/>
        <v>66.149992216679962</v>
      </c>
      <c r="AC534" s="235">
        <v>161</v>
      </c>
      <c r="AD534" s="235">
        <v>91</v>
      </c>
      <c r="AE534" s="235">
        <v>44</v>
      </c>
      <c r="AF534" s="235">
        <v>15</v>
      </c>
    </row>
    <row r="535" spans="1:32" ht="14.4">
      <c r="A535" s="145" t="s">
        <v>135</v>
      </c>
      <c r="B535" s="1" t="s">
        <v>266</v>
      </c>
      <c r="C535" s="1" t="s">
        <v>346</v>
      </c>
      <c r="D535" s="146" t="s">
        <v>340</v>
      </c>
      <c r="E535" s="147">
        <v>2.5219999999999998</v>
      </c>
      <c r="F535" s="147">
        <v>2.6008697889769601</v>
      </c>
      <c r="G535" s="147">
        <f t="shared" si="488"/>
        <v>5.1999999999999993</v>
      </c>
      <c r="H535" s="127">
        <v>4.9429657794676798</v>
      </c>
      <c r="I535" s="147">
        <v>1220.4000000000001</v>
      </c>
      <c r="J535" s="147">
        <v>716.6</v>
      </c>
      <c r="K535" s="147">
        <v>1222</v>
      </c>
      <c r="L535" s="147">
        <v>63.07</v>
      </c>
      <c r="M535" s="147">
        <v>62.96</v>
      </c>
      <c r="N535" s="147">
        <v>62.61</v>
      </c>
      <c r="O535" s="147">
        <v>62.76</v>
      </c>
      <c r="P535" s="147">
        <f t="shared" si="451"/>
        <v>62.879999999999995</v>
      </c>
      <c r="Q535" s="148">
        <v>13.8</v>
      </c>
      <c r="R535" s="148">
        <v>2.25</v>
      </c>
      <c r="S535" s="127">
        <f t="shared" si="444"/>
        <v>2.4147210130589634</v>
      </c>
      <c r="T535" s="127">
        <f t="shared" si="445"/>
        <v>2.4077183221210925</v>
      </c>
      <c r="U535" s="148">
        <f t="shared" si="452"/>
        <v>4.5313908754523125</v>
      </c>
      <c r="V535" s="147">
        <f t="shared" si="453"/>
        <v>12.002298650524722</v>
      </c>
      <c r="W535" s="147">
        <f t="shared" si="454"/>
        <v>62.245641377585557</v>
      </c>
      <c r="AC535" s="235">
        <v>161</v>
      </c>
      <c r="AD535" s="235">
        <v>91</v>
      </c>
      <c r="AE535" s="235">
        <v>44</v>
      </c>
      <c r="AF535" s="235">
        <v>15</v>
      </c>
    </row>
    <row r="536" spans="1:32" ht="14.4">
      <c r="A536" s="145" t="s">
        <v>135</v>
      </c>
      <c r="B536" s="1" t="s">
        <v>266</v>
      </c>
      <c r="C536" s="1" t="s">
        <v>346</v>
      </c>
      <c r="D536" s="146" t="s">
        <v>341</v>
      </c>
      <c r="E536" s="147">
        <v>2.5219999999999998</v>
      </c>
      <c r="F536" s="147">
        <v>2.6008697889769601</v>
      </c>
      <c r="G536" s="147">
        <f t="shared" si="488"/>
        <v>5.1999999999999993</v>
      </c>
      <c r="H536" s="127">
        <v>4.9429657794676798</v>
      </c>
      <c r="I536" s="147">
        <v>1220</v>
      </c>
      <c r="J536" s="147">
        <v>723.8</v>
      </c>
      <c r="K536" s="147">
        <v>1220.9000000000001</v>
      </c>
      <c r="L536" s="147">
        <v>62.6</v>
      </c>
      <c r="M536" s="147">
        <v>63.14</v>
      </c>
      <c r="N536" s="147">
        <v>62.71</v>
      </c>
      <c r="O536" s="147">
        <v>62.96</v>
      </c>
      <c r="P536" s="147">
        <f t="shared" si="451"/>
        <v>62.81666666666667</v>
      </c>
      <c r="Q536" s="148">
        <v>14.08</v>
      </c>
      <c r="R536" s="148">
        <v>2.56</v>
      </c>
      <c r="S536" s="127">
        <f t="shared" si="444"/>
        <v>2.4542345604506131</v>
      </c>
      <c r="T536" s="127">
        <f t="shared" si="445"/>
        <v>2.4471172802253061</v>
      </c>
      <c r="U536" s="148">
        <f t="shared" si="452"/>
        <v>2.9691800069267971</v>
      </c>
      <c r="V536" s="147">
        <f t="shared" si="453"/>
        <v>10.562338786083103</v>
      </c>
      <c r="W536" s="147">
        <f t="shared" si="454"/>
        <v>71.888990998480594</v>
      </c>
      <c r="AC536" s="235">
        <v>161</v>
      </c>
      <c r="AD536" s="235">
        <v>91</v>
      </c>
      <c r="AE536" s="235">
        <v>44</v>
      </c>
      <c r="AF536" s="235">
        <v>15</v>
      </c>
    </row>
    <row r="537" spans="1:32" ht="14.4">
      <c r="A537" s="145" t="s">
        <v>135</v>
      </c>
      <c r="B537" s="1" t="s">
        <v>266</v>
      </c>
      <c r="C537" s="1" t="s">
        <v>346</v>
      </c>
      <c r="D537" s="146" t="s">
        <v>342</v>
      </c>
      <c r="E537" s="147">
        <v>2.5219999999999998</v>
      </c>
      <c r="F537" s="147">
        <v>2.6008697889769601</v>
      </c>
      <c r="G537" s="147">
        <f t="shared" si="488"/>
        <v>5.1999999999999993</v>
      </c>
      <c r="H537" s="127">
        <v>4.9429657794676798</v>
      </c>
      <c r="I537" s="147">
        <v>1224.5999999999999</v>
      </c>
      <c r="J537" s="147">
        <v>723.9</v>
      </c>
      <c r="K537" s="147">
        <v>1225.9000000000001</v>
      </c>
      <c r="L537" s="147">
        <v>63.19</v>
      </c>
      <c r="M537" s="147">
        <v>63.54</v>
      </c>
      <c r="N537" s="147">
        <v>63.65</v>
      </c>
      <c r="O537" s="147">
        <v>63.34</v>
      </c>
      <c r="P537" s="147">
        <f t="shared" si="451"/>
        <v>63.46</v>
      </c>
      <c r="Q537" s="148">
        <v>13.47</v>
      </c>
      <c r="R537" s="148">
        <v>2.2200000000000002</v>
      </c>
      <c r="S537" s="127">
        <f t="shared" si="444"/>
        <v>2.4394422310756965</v>
      </c>
      <c r="T537" s="127">
        <f t="shared" si="445"/>
        <v>2.4323678486055771</v>
      </c>
      <c r="U537" s="148">
        <f t="shared" si="452"/>
        <v>3.5540107610794069</v>
      </c>
      <c r="V537" s="147">
        <f t="shared" si="453"/>
        <v>11.101403537479769</v>
      </c>
      <c r="W537" s="147">
        <f t="shared" si="454"/>
        <v>67.985933048189722</v>
      </c>
      <c r="AC537" s="235">
        <v>161</v>
      </c>
      <c r="AD537" s="235">
        <v>91</v>
      </c>
      <c r="AE537" s="235">
        <v>44</v>
      </c>
      <c r="AF537" s="235">
        <v>15</v>
      </c>
    </row>
    <row r="538" spans="1:32" ht="14.4">
      <c r="A538" s="145" t="s">
        <v>135</v>
      </c>
      <c r="B538" s="1" t="s">
        <v>267</v>
      </c>
      <c r="C538" s="1" t="s">
        <v>347</v>
      </c>
      <c r="D538" s="146" t="s">
        <v>337</v>
      </c>
      <c r="E538" s="147">
        <v>2.5249999999999999</v>
      </c>
      <c r="F538" s="147">
        <v>2.6008697889769601</v>
      </c>
      <c r="G538" s="147">
        <f t="shared" si="488"/>
        <v>5.1999999999999993</v>
      </c>
      <c r="H538" s="127">
        <v>4.9429657794676798</v>
      </c>
      <c r="I538" s="147">
        <v>1221.9000000000001</v>
      </c>
      <c r="J538" s="147">
        <v>721</v>
      </c>
      <c r="K538" s="147">
        <v>1223.5</v>
      </c>
      <c r="L538" s="147">
        <v>62.86</v>
      </c>
      <c r="M538" s="147">
        <v>63.16</v>
      </c>
      <c r="N538" s="147">
        <v>63.32</v>
      </c>
      <c r="O538" s="147">
        <v>62.76</v>
      </c>
      <c r="P538" s="147">
        <f t="shared" si="451"/>
        <v>63.113333333333337</v>
      </c>
      <c r="Q538" s="148">
        <v>17.13</v>
      </c>
      <c r="R538" s="148">
        <v>1.67</v>
      </c>
      <c r="S538" s="127">
        <f t="shared" si="444"/>
        <v>2.4316417910447763</v>
      </c>
      <c r="T538" s="127">
        <f t="shared" si="445"/>
        <v>2.4245900298507466</v>
      </c>
      <c r="U538" s="148">
        <f t="shared" si="452"/>
        <v>3.9766324811585485</v>
      </c>
      <c r="V538" s="147">
        <f t="shared" si="453"/>
        <v>11.385668588607089</v>
      </c>
      <c r="W538" s="147">
        <f t="shared" si="454"/>
        <v>65.073351202776877</v>
      </c>
      <c r="X538" s="132">
        <f>AVERAGE(S538:S542)</f>
        <v>2.4328080255631646</v>
      </c>
      <c r="Y538" s="132">
        <f t="shared" ref="Y538" si="489">AVERAGE(T538:T542)</f>
        <v>2.4257528822890313</v>
      </c>
      <c r="Z538" s="133">
        <f t="shared" ref="Z538" si="490">AVERAGE(U538:U542)</f>
        <v>3.930578919246277</v>
      </c>
      <c r="AA538" s="132">
        <f t="shared" ref="AA538" si="491">AVERAGE(V538:V542)</f>
        <v>11.343168458655196</v>
      </c>
      <c r="AB538" s="132">
        <f t="shared" ref="AB538" si="492">AVERAGE(W538:W542)</f>
        <v>65.354550809534018</v>
      </c>
      <c r="AC538" s="235">
        <v>144</v>
      </c>
      <c r="AD538" s="235">
        <v>107.8</v>
      </c>
      <c r="AE538" s="235">
        <v>43.95</v>
      </c>
      <c r="AF538" s="235">
        <v>60.3</v>
      </c>
    </row>
    <row r="539" spans="1:32" ht="14.4">
      <c r="A539" s="145" t="s">
        <v>135</v>
      </c>
      <c r="B539" s="1" t="s">
        <v>267</v>
      </c>
      <c r="C539" s="1" t="s">
        <v>347</v>
      </c>
      <c r="D539" s="146" t="s">
        <v>339</v>
      </c>
      <c r="E539" s="147">
        <v>2.5249999999999999</v>
      </c>
      <c r="F539" s="147">
        <v>2.6008697889769601</v>
      </c>
      <c r="G539" s="147">
        <f t="shared" si="488"/>
        <v>5.1999999999999993</v>
      </c>
      <c r="H539" s="127">
        <v>4.9429657794676798</v>
      </c>
      <c r="I539" s="147">
        <v>1222.8</v>
      </c>
      <c r="J539" s="147">
        <v>722.2</v>
      </c>
      <c r="K539" s="147">
        <v>1224.3</v>
      </c>
      <c r="L539" s="147">
        <v>62.43</v>
      </c>
      <c r="M539" s="147">
        <v>61.85</v>
      </c>
      <c r="N539" s="147">
        <v>62.46</v>
      </c>
      <c r="O539" s="147">
        <v>62.13</v>
      </c>
      <c r="P539" s="147">
        <f t="shared" si="451"/>
        <v>62.24666666666667</v>
      </c>
      <c r="Q539" s="148">
        <v>17.46</v>
      </c>
      <c r="R539" s="148">
        <v>1.64</v>
      </c>
      <c r="S539" s="127">
        <f t="shared" si="444"/>
        <v>2.4353714399522013</v>
      </c>
      <c r="T539" s="127">
        <f t="shared" si="445"/>
        <v>2.4283088627763401</v>
      </c>
      <c r="U539" s="148">
        <f t="shared" si="452"/>
        <v>3.829351969253858</v>
      </c>
      <c r="V539" s="147">
        <f t="shared" si="453"/>
        <v>11.249752046315436</v>
      </c>
      <c r="W539" s="147">
        <f t="shared" si="454"/>
        <v>65.960565588571683</v>
      </c>
      <c r="AC539" s="235">
        <v>144</v>
      </c>
      <c r="AD539" s="235">
        <v>107.8</v>
      </c>
      <c r="AE539" s="235">
        <v>43.95</v>
      </c>
      <c r="AF539" s="235">
        <v>60.3</v>
      </c>
    </row>
    <row r="540" spans="1:32" ht="14.4">
      <c r="A540" s="145" t="s">
        <v>135</v>
      </c>
      <c r="B540" s="1" t="s">
        <v>267</v>
      </c>
      <c r="C540" s="1" t="s">
        <v>347</v>
      </c>
      <c r="D540" s="146" t="s">
        <v>340</v>
      </c>
      <c r="E540" s="147">
        <v>2.5249999999999999</v>
      </c>
      <c r="F540" s="147">
        <v>2.6008697889769601</v>
      </c>
      <c r="G540" s="147">
        <f t="shared" si="488"/>
        <v>5.1999999999999993</v>
      </c>
      <c r="H540" s="127">
        <v>4.9429657794676798</v>
      </c>
      <c r="I540" s="147">
        <v>1224.5999999999999</v>
      </c>
      <c r="J540" s="147">
        <v>721.5</v>
      </c>
      <c r="K540" s="147">
        <v>1225.9000000000001</v>
      </c>
      <c r="L540" s="147">
        <v>63.07</v>
      </c>
      <c r="M540" s="147">
        <v>62.96</v>
      </c>
      <c r="N540" s="147">
        <v>62.61</v>
      </c>
      <c r="O540" s="147">
        <v>62.76</v>
      </c>
      <c r="P540" s="147">
        <f t="shared" si="451"/>
        <v>62.879999999999995</v>
      </c>
      <c r="Q540" s="148">
        <v>17.16</v>
      </c>
      <c r="R540" s="148">
        <v>1.66</v>
      </c>
      <c r="S540" s="127">
        <f t="shared" si="444"/>
        <v>2.4278350515463911</v>
      </c>
      <c r="T540" s="127">
        <f t="shared" si="445"/>
        <v>2.4207943298969066</v>
      </c>
      <c r="U540" s="148">
        <f t="shared" si="452"/>
        <v>4.1269572318056724</v>
      </c>
      <c r="V540" s="147">
        <f t="shared" si="453"/>
        <v>11.524394480203895</v>
      </c>
      <c r="W540" s="147">
        <f t="shared" si="454"/>
        <v>64.189378983036548</v>
      </c>
      <c r="AC540" s="235">
        <v>144</v>
      </c>
      <c r="AD540" s="235">
        <v>107.8</v>
      </c>
      <c r="AE540" s="235">
        <v>43.95</v>
      </c>
      <c r="AF540" s="235">
        <v>60.3</v>
      </c>
    </row>
    <row r="541" spans="1:32" ht="14.4">
      <c r="A541" s="145" t="s">
        <v>135</v>
      </c>
      <c r="B541" s="1" t="s">
        <v>267</v>
      </c>
      <c r="C541" s="1" t="s">
        <v>347</v>
      </c>
      <c r="D541" s="146" t="s">
        <v>341</v>
      </c>
      <c r="E541" s="147">
        <v>2.5249999999999999</v>
      </c>
      <c r="F541" s="147">
        <v>2.6008697889769601</v>
      </c>
      <c r="G541" s="147">
        <f t="shared" si="488"/>
        <v>5.1999999999999993</v>
      </c>
      <c r="H541" s="127">
        <v>4.9429657794676798</v>
      </c>
      <c r="I541" s="147">
        <v>1220.0999999999999</v>
      </c>
      <c r="J541" s="147">
        <v>721.3</v>
      </c>
      <c r="K541" s="147">
        <v>1222.5999999999999</v>
      </c>
      <c r="L541" s="147">
        <v>62.6</v>
      </c>
      <c r="M541" s="147">
        <v>63.14</v>
      </c>
      <c r="N541" s="147">
        <v>62.71</v>
      </c>
      <c r="O541" s="147">
        <v>62.96</v>
      </c>
      <c r="P541" s="147">
        <f t="shared" si="451"/>
        <v>62.81666666666667</v>
      </c>
      <c r="Q541" s="148">
        <v>16.38</v>
      </c>
      <c r="R541" s="148">
        <v>1.76</v>
      </c>
      <c r="S541" s="127">
        <f t="shared" si="444"/>
        <v>2.4338719329742671</v>
      </c>
      <c r="T541" s="127">
        <f t="shared" si="445"/>
        <v>2.4268137043686417</v>
      </c>
      <c r="U541" s="148">
        <f t="shared" si="452"/>
        <v>3.8885661636181457</v>
      </c>
      <c r="V541" s="147">
        <f t="shared" si="453"/>
        <v>11.304397351715977</v>
      </c>
      <c r="W541" s="147">
        <f t="shared" si="454"/>
        <v>65.601296180305695</v>
      </c>
      <c r="AC541" s="235">
        <v>144</v>
      </c>
      <c r="AD541" s="235">
        <v>107.8</v>
      </c>
      <c r="AE541" s="235">
        <v>43.95</v>
      </c>
      <c r="AF541" s="235">
        <v>60.3</v>
      </c>
    </row>
    <row r="542" spans="1:32" ht="14.4">
      <c r="A542" s="145" t="s">
        <v>135</v>
      </c>
      <c r="B542" s="1" t="s">
        <v>267</v>
      </c>
      <c r="C542" s="1" t="s">
        <v>347</v>
      </c>
      <c r="D542" s="146" t="s">
        <v>342</v>
      </c>
      <c r="E542" s="147">
        <v>2.5249999999999999</v>
      </c>
      <c r="F542" s="147">
        <v>2.6008697889769601</v>
      </c>
      <c r="G542" s="147">
        <f t="shared" si="488"/>
        <v>5.1999999999999993</v>
      </c>
      <c r="H542" s="127">
        <v>4.9429657794676798</v>
      </c>
      <c r="I542" s="147">
        <v>1221.8</v>
      </c>
      <c r="J542" s="147">
        <v>721.9</v>
      </c>
      <c r="K542" s="147">
        <v>1223.5999999999999</v>
      </c>
      <c r="L542" s="147">
        <v>63.19</v>
      </c>
      <c r="M542" s="147">
        <v>63.54</v>
      </c>
      <c r="N542" s="147">
        <v>63.65</v>
      </c>
      <c r="O542" s="147">
        <v>63.34</v>
      </c>
      <c r="P542" s="147">
        <f t="shared" si="451"/>
        <v>63.46</v>
      </c>
      <c r="Q542" s="148">
        <v>17.32</v>
      </c>
      <c r="R542" s="148">
        <v>1.56</v>
      </c>
      <c r="S542" s="127">
        <f t="shared" si="444"/>
        <v>2.4353199122981866</v>
      </c>
      <c r="T542" s="127">
        <f t="shared" si="445"/>
        <v>2.428257484552522</v>
      </c>
      <c r="U542" s="148">
        <f t="shared" si="452"/>
        <v>3.8313867503951604</v>
      </c>
      <c r="V542" s="147">
        <f t="shared" si="453"/>
        <v>11.251629826433586</v>
      </c>
      <c r="W542" s="147">
        <f t="shared" si="454"/>
        <v>65.948162092979288</v>
      </c>
      <c r="AC542" s="235">
        <v>144</v>
      </c>
      <c r="AD542" s="235">
        <v>107.8</v>
      </c>
      <c r="AE542" s="235">
        <v>43.95</v>
      </c>
      <c r="AF542" s="235">
        <v>60.3</v>
      </c>
    </row>
    <row r="543" spans="1:32" ht="14.4">
      <c r="A543" s="145" t="s">
        <v>135</v>
      </c>
      <c r="B543" s="1" t="s">
        <v>268</v>
      </c>
      <c r="C543" s="1" t="s">
        <v>348</v>
      </c>
      <c r="D543" s="146" t="s">
        <v>337</v>
      </c>
      <c r="E543" s="147">
        <v>2.536</v>
      </c>
      <c r="F543" s="147">
        <v>2.6008697889769601</v>
      </c>
      <c r="G543" s="147">
        <f t="shared" si="488"/>
        <v>5.1999999999999993</v>
      </c>
      <c r="H543" s="127">
        <v>4.9429657794676798</v>
      </c>
      <c r="I543" s="147">
        <v>1227.5</v>
      </c>
      <c r="J543" s="147">
        <v>724.3</v>
      </c>
      <c r="K543" s="147">
        <v>1231.7</v>
      </c>
      <c r="L543" s="147">
        <v>62.86</v>
      </c>
      <c r="M543" s="147">
        <v>63.16</v>
      </c>
      <c r="N543" s="147">
        <v>63.32</v>
      </c>
      <c r="O543" s="147">
        <v>62.76</v>
      </c>
      <c r="P543" s="147">
        <f t="shared" si="451"/>
        <v>63.113333333333337</v>
      </c>
      <c r="Q543" s="148">
        <v>17.04</v>
      </c>
      <c r="R543" s="148">
        <v>2</v>
      </c>
      <c r="S543" s="127">
        <f t="shared" si="444"/>
        <v>2.4191959006700823</v>
      </c>
      <c r="T543" s="127">
        <f t="shared" si="445"/>
        <v>2.4121802325581392</v>
      </c>
      <c r="U543" s="148">
        <f t="shared" si="452"/>
        <v>4.8824829432910448</v>
      </c>
      <c r="V543" s="147">
        <f t="shared" si="453"/>
        <v>11.839223984156988</v>
      </c>
      <c r="W543" s="147">
        <f t="shared" si="454"/>
        <v>58.760110039098123</v>
      </c>
      <c r="X543" s="132">
        <f>AVERAGE(S543:S547)</f>
        <v>2.4317583548956785</v>
      </c>
      <c r="Y543" s="132">
        <f t="shared" ref="Y543" si="493">AVERAGE(T543:T547)</f>
        <v>2.4247062556664805</v>
      </c>
      <c r="Z543" s="133">
        <f t="shared" ref="Z543" si="494">AVERAGE(U543:U547)</f>
        <v>4.3885545872838883</v>
      </c>
      <c r="AA543" s="132">
        <f t="shared" ref="AA543" si="495">AVERAGE(V543:V547)</f>
        <v>11.381420747600064</v>
      </c>
      <c r="AB543" s="132">
        <f t="shared" ref="AB543" si="496">AVERAGE(W543:W547)</f>
        <v>61.471716182525441</v>
      </c>
      <c r="AC543" s="235">
        <v>111</v>
      </c>
      <c r="AD543" s="235">
        <v>124</v>
      </c>
      <c r="AE543" s="235">
        <v>41.5</v>
      </c>
      <c r="AF543" s="235">
        <v>56</v>
      </c>
    </row>
    <row r="544" spans="1:32" ht="14.4">
      <c r="A544" s="145" t="s">
        <v>135</v>
      </c>
      <c r="B544" s="1" t="s">
        <v>268</v>
      </c>
      <c r="C544" s="1" t="s">
        <v>348</v>
      </c>
      <c r="D544" s="146" t="s">
        <v>339</v>
      </c>
      <c r="E544" s="147">
        <v>2.536</v>
      </c>
      <c r="F544" s="147">
        <v>2.6008697889769601</v>
      </c>
      <c r="G544" s="147">
        <f t="shared" si="488"/>
        <v>5.1999999999999993</v>
      </c>
      <c r="H544" s="127">
        <v>4.9429657794676798</v>
      </c>
      <c r="I544" s="147">
        <v>1224.3</v>
      </c>
      <c r="J544" s="147">
        <v>724.1</v>
      </c>
      <c r="K544" s="147">
        <v>1227.3</v>
      </c>
      <c r="L544" s="147">
        <v>62.43</v>
      </c>
      <c r="M544" s="147">
        <v>61.85</v>
      </c>
      <c r="N544" s="147">
        <v>62.46</v>
      </c>
      <c r="O544" s="147">
        <v>62.13</v>
      </c>
      <c r="P544" s="147">
        <f t="shared" si="451"/>
        <v>62.24666666666667</v>
      </c>
      <c r="Q544" s="148">
        <v>17.71</v>
      </c>
      <c r="R544" s="148">
        <v>1.76</v>
      </c>
      <c r="S544" s="127">
        <f t="shared" si="444"/>
        <v>2.4330286168521464</v>
      </c>
      <c r="T544" s="127">
        <f t="shared" si="445"/>
        <v>2.4259728338632751</v>
      </c>
      <c r="U544" s="148">
        <f t="shared" si="452"/>
        <v>4.3386106520790557</v>
      </c>
      <c r="V544" s="147">
        <f t="shared" si="453"/>
        <v>11.335129630872146</v>
      </c>
      <c r="W544" s="147">
        <f t="shared" si="454"/>
        <v>61.724207897345103</v>
      </c>
      <c r="AC544" s="235">
        <v>111</v>
      </c>
      <c r="AD544" s="235">
        <v>124</v>
      </c>
      <c r="AE544" s="235">
        <v>41.5</v>
      </c>
      <c r="AF544" s="235">
        <v>56</v>
      </c>
    </row>
    <row r="545" spans="1:32" ht="14.4">
      <c r="A545" s="145" t="s">
        <v>135</v>
      </c>
      <c r="B545" s="1" t="s">
        <v>268</v>
      </c>
      <c r="C545" s="1" t="s">
        <v>348</v>
      </c>
      <c r="D545" s="146" t="s">
        <v>340</v>
      </c>
      <c r="E545" s="147">
        <v>2.536</v>
      </c>
      <c r="F545" s="147">
        <v>2.6008697889769601</v>
      </c>
      <c r="G545" s="147">
        <f t="shared" si="488"/>
        <v>5.1999999999999993</v>
      </c>
      <c r="H545" s="127">
        <v>4.9429657794676798</v>
      </c>
      <c r="I545" s="147">
        <v>1229.9000000000001</v>
      </c>
      <c r="J545" s="147">
        <v>727.5</v>
      </c>
      <c r="K545" s="147">
        <v>1233</v>
      </c>
      <c r="L545" s="147">
        <v>63.07</v>
      </c>
      <c r="M545" s="147">
        <v>62.96</v>
      </c>
      <c r="N545" s="147">
        <v>62.61</v>
      </c>
      <c r="O545" s="147">
        <v>62.76</v>
      </c>
      <c r="P545" s="147">
        <f t="shared" si="451"/>
        <v>62.879999999999995</v>
      </c>
      <c r="Q545" s="148">
        <v>18.22</v>
      </c>
      <c r="R545" s="148">
        <v>1.94</v>
      </c>
      <c r="S545" s="127">
        <f t="shared" si="444"/>
        <v>2.433036597428289</v>
      </c>
      <c r="T545" s="127">
        <f t="shared" si="445"/>
        <v>2.4259807912957472</v>
      </c>
      <c r="U545" s="148">
        <f t="shared" si="452"/>
        <v>4.3382968731960903</v>
      </c>
      <c r="V545" s="147">
        <f t="shared" si="453"/>
        <v>11.33483880126812</v>
      </c>
      <c r="W545" s="147">
        <f t="shared" si="454"/>
        <v>61.725994085502748</v>
      </c>
      <c r="AC545" s="235">
        <v>111</v>
      </c>
      <c r="AD545" s="235">
        <v>124</v>
      </c>
      <c r="AE545" s="235">
        <v>41.5</v>
      </c>
      <c r="AF545" s="235">
        <v>56</v>
      </c>
    </row>
    <row r="546" spans="1:32" ht="14.4">
      <c r="A546" s="145" t="s">
        <v>135</v>
      </c>
      <c r="B546" s="1" t="s">
        <v>268</v>
      </c>
      <c r="C546" s="1" t="s">
        <v>348</v>
      </c>
      <c r="D546" s="146" t="s">
        <v>341</v>
      </c>
      <c r="E546" s="147">
        <v>2.536</v>
      </c>
      <c r="F546" s="147">
        <v>2.6008697889769601</v>
      </c>
      <c r="G546" s="147">
        <f t="shared" si="488"/>
        <v>5.1999999999999993</v>
      </c>
      <c r="H546" s="127">
        <v>4.9429657794676798</v>
      </c>
      <c r="I546" s="147">
        <v>1225.0999999999999</v>
      </c>
      <c r="J546" s="147">
        <v>725.1</v>
      </c>
      <c r="K546" s="147">
        <v>1228.3</v>
      </c>
      <c r="L546" s="147">
        <v>62.6</v>
      </c>
      <c r="M546" s="147">
        <v>63.14</v>
      </c>
      <c r="N546" s="147">
        <v>62.71</v>
      </c>
      <c r="O546" s="147">
        <v>62.96</v>
      </c>
      <c r="P546" s="147">
        <f t="shared" si="451"/>
        <v>62.81666666666667</v>
      </c>
      <c r="Q546" s="148">
        <v>17.91</v>
      </c>
      <c r="R546" s="148">
        <v>1.76</v>
      </c>
      <c r="S546" s="127">
        <f t="shared" si="444"/>
        <v>2.4346184419713834</v>
      </c>
      <c r="T546" s="127">
        <f t="shared" si="445"/>
        <v>2.4275580484896664</v>
      </c>
      <c r="U546" s="148">
        <f t="shared" si="452"/>
        <v>4.2761021888932831</v>
      </c>
      <c r="V546" s="147">
        <f t="shared" si="453"/>
        <v>11.27719293537649</v>
      </c>
      <c r="W546" s="147">
        <f t="shared" si="454"/>
        <v>62.081856598558545</v>
      </c>
      <c r="AC546" s="235">
        <v>111</v>
      </c>
      <c r="AD546" s="235">
        <v>124</v>
      </c>
      <c r="AE546" s="235">
        <v>41.5</v>
      </c>
      <c r="AF546" s="235">
        <v>56</v>
      </c>
    </row>
    <row r="547" spans="1:32" ht="14.4">
      <c r="A547" s="145" t="s">
        <v>135</v>
      </c>
      <c r="B547" s="1" t="s">
        <v>268</v>
      </c>
      <c r="C547" s="1" t="s">
        <v>348</v>
      </c>
      <c r="D547" s="146" t="s">
        <v>342</v>
      </c>
      <c r="E547" s="147">
        <v>2.536</v>
      </c>
      <c r="F547" s="147">
        <v>2.6008697889769601</v>
      </c>
      <c r="G547" s="147">
        <f t="shared" si="488"/>
        <v>5.1999999999999993</v>
      </c>
      <c r="H547" s="127">
        <v>4.9429657794676798</v>
      </c>
      <c r="I547" s="147">
        <v>1219.7</v>
      </c>
      <c r="J547" s="147">
        <v>722.7</v>
      </c>
      <c r="K547" s="147">
        <v>1222.8</v>
      </c>
      <c r="L547" s="147">
        <v>63.19</v>
      </c>
      <c r="M547" s="147">
        <v>63.54</v>
      </c>
      <c r="N547" s="147">
        <v>63.65</v>
      </c>
      <c r="O547" s="147">
        <v>63.34</v>
      </c>
      <c r="P547" s="147">
        <f t="shared" si="451"/>
        <v>63.46</v>
      </c>
      <c r="Q547" s="148">
        <v>18.41</v>
      </c>
      <c r="R547" s="148">
        <v>1.99</v>
      </c>
      <c r="S547" s="127">
        <f t="shared" si="444"/>
        <v>2.438912217556489</v>
      </c>
      <c r="T547" s="127">
        <f t="shared" si="445"/>
        <v>2.4318393721255753</v>
      </c>
      <c r="U547" s="148">
        <f t="shared" si="452"/>
        <v>4.1072802789599683</v>
      </c>
      <c r="V547" s="147">
        <f t="shared" si="453"/>
        <v>11.120718386326573</v>
      </c>
      <c r="W547" s="147">
        <f t="shared" si="454"/>
        <v>63.066412292122642</v>
      </c>
      <c r="AC547" s="235">
        <v>111</v>
      </c>
      <c r="AD547" s="235">
        <v>124</v>
      </c>
      <c r="AE547" s="235">
        <v>41.5</v>
      </c>
      <c r="AF547" s="235">
        <v>56</v>
      </c>
    </row>
    <row r="548" spans="1:32" ht="14.4">
      <c r="A548" s="1" t="s">
        <v>137</v>
      </c>
      <c r="B548" s="1" t="s">
        <v>218</v>
      </c>
      <c r="C548" s="1" t="s">
        <v>349</v>
      </c>
      <c r="D548" s="1" t="s">
        <v>294</v>
      </c>
      <c r="E548" s="127">
        <v>2.5536871123363198</v>
      </c>
      <c r="F548" s="127">
        <v>2.6391049917804299</v>
      </c>
      <c r="G548" s="127">
        <v>4.8000000000000096</v>
      </c>
      <c r="H548" s="127">
        <v>4.5801526717557302</v>
      </c>
      <c r="I548" s="127">
        <v>1225.7</v>
      </c>
      <c r="J548" s="127">
        <v>738.6</v>
      </c>
      <c r="K548" s="127">
        <v>1226.5</v>
      </c>
      <c r="L548" s="127">
        <v>62.86</v>
      </c>
      <c r="M548" s="127">
        <v>63.16</v>
      </c>
      <c r="N548" s="127">
        <v>63.32</v>
      </c>
      <c r="O548" s="127">
        <v>62.76</v>
      </c>
      <c r="P548" s="147">
        <f t="shared" si="451"/>
        <v>63.113333333333337</v>
      </c>
      <c r="Q548" s="79">
        <v>15.12</v>
      </c>
      <c r="R548" s="79">
        <v>2.4700000000000002</v>
      </c>
      <c r="S548" s="127">
        <f t="shared" si="444"/>
        <v>2.5121951219512195</v>
      </c>
      <c r="T548" s="127">
        <f t="shared" si="445"/>
        <v>2.5049097560975611</v>
      </c>
      <c r="U548" s="148">
        <f t="shared" si="452"/>
        <v>1.9100756707086664</v>
      </c>
      <c r="V548" s="147">
        <f t="shared" si="453"/>
        <v>9.4321342870830165</v>
      </c>
      <c r="W548" s="147">
        <f t="shared" si="454"/>
        <v>79.749273997037449</v>
      </c>
      <c r="X548" s="132">
        <f>AVERAGE(S548:S552)</f>
        <v>2.50403605553822</v>
      </c>
      <c r="Y548" s="132">
        <f t="shared" ref="Y548" si="497">AVERAGE(T548:T552)</f>
        <v>2.4967743509771592</v>
      </c>
      <c r="Z548" s="133">
        <f t="shared" ref="Z548" si="498">AVERAGE(U548:U552)</f>
        <v>2.2286505298251802</v>
      </c>
      <c r="AA548" s="132">
        <f t="shared" ref="AA548" si="499">AVERAGE(V548:V552)</f>
        <v>9.7262791267009554</v>
      </c>
      <c r="AB548" s="132">
        <f t="shared" ref="AB548" si="500">AVERAGE(W548:W552)</f>
        <v>77.201478314725065</v>
      </c>
      <c r="AC548" s="235">
        <v>161</v>
      </c>
      <c r="AD548" s="235">
        <v>91</v>
      </c>
      <c r="AE548" s="235">
        <v>44</v>
      </c>
      <c r="AF548" s="235">
        <v>15</v>
      </c>
    </row>
    <row r="549" spans="1:32" ht="14.4">
      <c r="A549" s="1" t="s">
        <v>137</v>
      </c>
      <c r="B549" s="1" t="s">
        <v>218</v>
      </c>
      <c r="C549" s="1" t="s">
        <v>349</v>
      </c>
      <c r="D549" s="1" t="s">
        <v>295</v>
      </c>
      <c r="E549" s="127">
        <v>2.5536871123363198</v>
      </c>
      <c r="F549" s="127">
        <v>2.6391049917804299</v>
      </c>
      <c r="G549" s="127">
        <v>4.8000000000000096</v>
      </c>
      <c r="H549" s="127">
        <v>4.5801526717557302</v>
      </c>
      <c r="I549" s="127">
        <v>1229.5</v>
      </c>
      <c r="J549" s="127">
        <v>742.7</v>
      </c>
      <c r="K549" s="127">
        <v>1230.8</v>
      </c>
      <c r="L549" s="127">
        <v>62.43</v>
      </c>
      <c r="M549" s="127">
        <v>61.85</v>
      </c>
      <c r="N549" s="127">
        <v>62.46</v>
      </c>
      <c r="O549" s="127">
        <v>62.13</v>
      </c>
      <c r="P549" s="147">
        <f t="shared" si="451"/>
        <v>62.24666666666667</v>
      </c>
      <c r="Q549" s="79">
        <v>13.81</v>
      </c>
      <c r="R549" s="79">
        <v>2.0699999999999998</v>
      </c>
      <c r="S549" s="127">
        <f t="shared" si="444"/>
        <v>2.5189510346240529</v>
      </c>
      <c r="T549" s="127">
        <f t="shared" si="445"/>
        <v>2.5116460766236433</v>
      </c>
      <c r="U549" s="148">
        <f t="shared" si="452"/>
        <v>1.6462876563689166</v>
      </c>
      <c r="V549" s="147">
        <f t="shared" si="453"/>
        <v>9.188574944747316</v>
      </c>
      <c r="W549" s="147">
        <f t="shared" si="454"/>
        <v>82.083319053625146</v>
      </c>
      <c r="AC549" s="235">
        <v>161</v>
      </c>
      <c r="AD549" s="235">
        <v>91</v>
      </c>
      <c r="AE549" s="235">
        <v>44</v>
      </c>
      <c r="AF549" s="235">
        <v>15</v>
      </c>
    </row>
    <row r="550" spans="1:32" ht="14.4">
      <c r="A550" s="1" t="s">
        <v>137</v>
      </c>
      <c r="B550" s="1" t="s">
        <v>218</v>
      </c>
      <c r="C550" s="1" t="s">
        <v>349</v>
      </c>
      <c r="D550" s="1" t="s">
        <v>296</v>
      </c>
      <c r="E550" s="127">
        <v>2.5536871123363198</v>
      </c>
      <c r="F550" s="127">
        <v>2.6391049917804299</v>
      </c>
      <c r="G550" s="127">
        <v>4.8000000000000096</v>
      </c>
      <c r="H550" s="127">
        <v>4.5801526717557302</v>
      </c>
      <c r="I550" s="127">
        <v>1243.2</v>
      </c>
      <c r="J550" s="127">
        <v>747.2</v>
      </c>
      <c r="K550" s="127">
        <v>1244.5999999999999</v>
      </c>
      <c r="L550" s="127">
        <v>63.07</v>
      </c>
      <c r="M550" s="127">
        <v>62.96</v>
      </c>
      <c r="N550" s="127">
        <v>62.61</v>
      </c>
      <c r="O550" s="127">
        <v>62.76</v>
      </c>
      <c r="P550" s="147">
        <f t="shared" si="451"/>
        <v>62.879999999999995</v>
      </c>
      <c r="Q550" s="79">
        <v>13.8</v>
      </c>
      <c r="R550" s="79">
        <v>2.25</v>
      </c>
      <c r="S550" s="127">
        <f t="shared" si="444"/>
        <v>2.499396863691195</v>
      </c>
      <c r="T550" s="127">
        <f t="shared" si="445"/>
        <v>2.4921486127864902</v>
      </c>
      <c r="U550" s="148">
        <f t="shared" si="452"/>
        <v>2.4097901129919275</v>
      </c>
      <c r="V550" s="147">
        <f t="shared" si="453"/>
        <v>9.8935279604187372</v>
      </c>
      <c r="W550" s="147">
        <f t="shared" si="454"/>
        <v>75.642762393427006</v>
      </c>
      <c r="AC550" s="235">
        <v>161</v>
      </c>
      <c r="AD550" s="235">
        <v>91</v>
      </c>
      <c r="AE550" s="235">
        <v>44</v>
      </c>
      <c r="AF550" s="235">
        <v>15</v>
      </c>
    </row>
    <row r="551" spans="1:32" ht="14.4">
      <c r="A551" s="1" t="s">
        <v>137</v>
      </c>
      <c r="B551" s="1" t="s">
        <v>218</v>
      </c>
      <c r="C551" s="1" t="s">
        <v>349</v>
      </c>
      <c r="D551" s="1" t="s">
        <v>297</v>
      </c>
      <c r="E551" s="127">
        <v>2.5536871123363198</v>
      </c>
      <c r="F551" s="127">
        <v>2.6391049917804299</v>
      </c>
      <c r="G551" s="127">
        <v>4.8000000000000096</v>
      </c>
      <c r="H551" s="127">
        <v>4.5801526717557302</v>
      </c>
      <c r="I551" s="127">
        <v>1238.0999999999999</v>
      </c>
      <c r="J551" s="127">
        <v>744.1</v>
      </c>
      <c r="K551" s="127">
        <v>1240.2</v>
      </c>
      <c r="L551" s="127">
        <v>62.6</v>
      </c>
      <c r="M551" s="127">
        <v>63.14</v>
      </c>
      <c r="N551" s="127">
        <v>62.71</v>
      </c>
      <c r="O551" s="127">
        <v>62.96</v>
      </c>
      <c r="P551" s="147">
        <f t="shared" si="451"/>
        <v>62.81666666666667</v>
      </c>
      <c r="Q551" s="79">
        <v>14.08</v>
      </c>
      <c r="R551" s="79">
        <v>2.56</v>
      </c>
      <c r="S551" s="127">
        <f t="shared" si="444"/>
        <v>2.4956661963313844</v>
      </c>
      <c r="T551" s="127">
        <f t="shared" si="445"/>
        <v>2.4884287643620233</v>
      </c>
      <c r="U551" s="148">
        <f t="shared" si="452"/>
        <v>2.555455899786907</v>
      </c>
      <c r="V551" s="147">
        <f t="shared" si="453"/>
        <v>10.028023317690369</v>
      </c>
      <c r="W551" s="147">
        <f t="shared" si="454"/>
        <v>74.516853233888639</v>
      </c>
      <c r="AC551" s="235">
        <v>161</v>
      </c>
      <c r="AD551" s="235">
        <v>91</v>
      </c>
      <c r="AE551" s="235">
        <v>44</v>
      </c>
      <c r="AF551" s="235">
        <v>15</v>
      </c>
    </row>
    <row r="552" spans="1:32" ht="14.4">
      <c r="A552" s="1" t="s">
        <v>137</v>
      </c>
      <c r="B552" s="1" t="s">
        <v>218</v>
      </c>
      <c r="C552" s="1" t="s">
        <v>349</v>
      </c>
      <c r="D552" s="1" t="s">
        <v>298</v>
      </c>
      <c r="E552" s="127">
        <v>2.5536871123363198</v>
      </c>
      <c r="F552" s="127">
        <v>2.6391049917804299</v>
      </c>
      <c r="G552" s="127">
        <v>4.8000000000000096</v>
      </c>
      <c r="H552" s="127">
        <v>4.5801526717557302</v>
      </c>
      <c r="I552" s="127">
        <v>1241</v>
      </c>
      <c r="J552" s="127">
        <v>745.2</v>
      </c>
      <c r="K552" s="127">
        <v>1242.8</v>
      </c>
      <c r="L552" s="127">
        <v>63.19</v>
      </c>
      <c r="M552" s="127">
        <v>63.54</v>
      </c>
      <c r="N552" s="127">
        <v>63.65</v>
      </c>
      <c r="O552" s="127">
        <v>63.34</v>
      </c>
      <c r="P552" s="147">
        <f t="shared" si="451"/>
        <v>63.46</v>
      </c>
      <c r="Q552" s="79">
        <v>13.47</v>
      </c>
      <c r="R552" s="79">
        <v>2.2200000000000002</v>
      </c>
      <c r="S552" s="127">
        <f t="shared" si="444"/>
        <v>2.493971061093248</v>
      </c>
      <c r="T552" s="127">
        <f t="shared" si="445"/>
        <v>2.4867385450160775</v>
      </c>
      <c r="U552" s="148">
        <f t="shared" si="452"/>
        <v>2.6216433092694835</v>
      </c>
      <c r="V552" s="147">
        <f t="shared" si="453"/>
        <v>10.089135123565342</v>
      </c>
      <c r="W552" s="147">
        <f t="shared" si="454"/>
        <v>74.015182895647101</v>
      </c>
      <c r="AC552" s="235">
        <v>161</v>
      </c>
      <c r="AD552" s="235">
        <v>91</v>
      </c>
      <c r="AE552" s="235">
        <v>44</v>
      </c>
      <c r="AF552" s="235">
        <v>15</v>
      </c>
    </row>
    <row r="553" spans="1:32" ht="14.4">
      <c r="A553" s="1" t="s">
        <v>137</v>
      </c>
      <c r="B553" s="1" t="s">
        <v>218</v>
      </c>
      <c r="C553" s="1" t="s">
        <v>349</v>
      </c>
      <c r="D553" s="1" t="s">
        <v>294</v>
      </c>
      <c r="E553" s="127">
        <v>2.6059999999999999</v>
      </c>
      <c r="F553" s="127">
        <v>2.6391049917804299</v>
      </c>
      <c r="G553" s="127">
        <v>4.8000000000000096</v>
      </c>
      <c r="H553" s="127">
        <v>4.5801526717557302</v>
      </c>
      <c r="I553" s="127">
        <v>1239.9000000000001</v>
      </c>
      <c r="J553" s="127">
        <v>753.6</v>
      </c>
      <c r="K553" s="127">
        <v>1240.8</v>
      </c>
      <c r="L553" s="127">
        <v>61.93</v>
      </c>
      <c r="M553" s="127">
        <v>61.81</v>
      </c>
      <c r="N553" s="127">
        <v>61.66</v>
      </c>
      <c r="O553" s="127">
        <v>61.72</v>
      </c>
      <c r="P553" s="147">
        <f t="shared" si="451"/>
        <v>61.800000000000004</v>
      </c>
      <c r="Q553" s="79">
        <v>15.12</v>
      </c>
      <c r="R553" s="79">
        <v>2.4700000000000002</v>
      </c>
      <c r="S553" s="127">
        <f t="shared" si="444"/>
        <v>2.5449507389162567</v>
      </c>
      <c r="T553" s="127">
        <f t="shared" si="445"/>
        <v>2.5375703817733997</v>
      </c>
      <c r="U553" s="148">
        <f t="shared" si="452"/>
        <v>2.6258487423868049</v>
      </c>
      <c r="V553" s="147">
        <f t="shared" si="453"/>
        <v>8.2512521602484128</v>
      </c>
      <c r="W553" s="147">
        <f t="shared" si="454"/>
        <v>68.176360491838963</v>
      </c>
      <c r="X553" s="132">
        <f>AVERAGE(S553:S557)</f>
        <v>2.5331312191437783</v>
      </c>
      <c r="Y553" s="132">
        <f t="shared" ref="Y553" si="501">AVERAGE(T553:T557)</f>
        <v>2.5257851386082613</v>
      </c>
      <c r="Z553" s="133">
        <f t="shared" ref="Z553" si="502">AVERAGE(U553:U557)</f>
        <v>3.0780837065133797</v>
      </c>
      <c r="AA553" s="132">
        <f t="shared" ref="AA553" si="503">AVERAGE(V553:V557)</f>
        <v>8.6773610521061411</v>
      </c>
      <c r="AB553" s="132">
        <f t="shared" ref="AB553" si="504">AVERAGE(W553:W557)</f>
        <v>64.609066923064518</v>
      </c>
      <c r="AC553" s="235">
        <v>161</v>
      </c>
      <c r="AD553" s="235">
        <v>91</v>
      </c>
      <c r="AE553" s="235">
        <v>44</v>
      </c>
      <c r="AF553" s="235">
        <v>15</v>
      </c>
    </row>
    <row r="554" spans="1:32" ht="14.4">
      <c r="A554" s="1" t="s">
        <v>137</v>
      </c>
      <c r="B554" s="1" t="s">
        <v>218</v>
      </c>
      <c r="C554" s="1" t="s">
        <v>349</v>
      </c>
      <c r="D554" s="1" t="s">
        <v>295</v>
      </c>
      <c r="E554" s="127">
        <v>2.6059999999999999</v>
      </c>
      <c r="F554" s="127">
        <v>2.6391049917804299</v>
      </c>
      <c r="G554" s="127">
        <v>4.8000000000000096</v>
      </c>
      <c r="H554" s="127">
        <v>4.5801526717557302</v>
      </c>
      <c r="I554" s="127">
        <v>1259.3</v>
      </c>
      <c r="J554" s="127">
        <v>763.8</v>
      </c>
      <c r="K554" s="127">
        <v>1260.5999999999999</v>
      </c>
      <c r="L554" s="127">
        <v>63.16</v>
      </c>
      <c r="M554" s="127">
        <v>63.13</v>
      </c>
      <c r="N554" s="127">
        <v>63.05</v>
      </c>
      <c r="O554" s="127">
        <v>63.25</v>
      </c>
      <c r="P554" s="147">
        <f t="shared" si="451"/>
        <v>63.113333333333323</v>
      </c>
      <c r="Q554" s="79">
        <v>13.81</v>
      </c>
      <c r="R554" s="79">
        <v>2.0699999999999998</v>
      </c>
      <c r="S554" s="127">
        <f t="shared" si="444"/>
        <v>2.5348228663446055</v>
      </c>
      <c r="T554" s="127">
        <f t="shared" si="445"/>
        <v>2.527471880032206</v>
      </c>
      <c r="U554" s="148">
        <f t="shared" si="452"/>
        <v>3.0133584024479632</v>
      </c>
      <c r="V554" s="147">
        <f t="shared" si="453"/>
        <v>8.6163749944630013</v>
      </c>
      <c r="W554" s="147">
        <f t="shared" si="454"/>
        <v>65.027538792306643</v>
      </c>
      <c r="AC554" s="235">
        <v>161</v>
      </c>
      <c r="AD554" s="235">
        <v>91</v>
      </c>
      <c r="AE554" s="235">
        <v>44</v>
      </c>
      <c r="AF554" s="235">
        <v>15</v>
      </c>
    </row>
    <row r="555" spans="1:32" ht="14.4">
      <c r="A555" s="1" t="s">
        <v>137</v>
      </c>
      <c r="B555" s="1" t="s">
        <v>218</v>
      </c>
      <c r="C555" s="1" t="s">
        <v>349</v>
      </c>
      <c r="D555" s="1" t="s">
        <v>296</v>
      </c>
      <c r="E555" s="127">
        <v>2.6059999999999999</v>
      </c>
      <c r="F555" s="127">
        <v>2.6391049917804299</v>
      </c>
      <c r="G555" s="127">
        <v>4.8000000000000096</v>
      </c>
      <c r="H555" s="127">
        <v>4.5801526717557302</v>
      </c>
      <c r="I555" s="127">
        <v>1266</v>
      </c>
      <c r="J555" s="127">
        <v>767.5</v>
      </c>
      <c r="K555" s="127">
        <v>1266.8</v>
      </c>
      <c r="L555" s="127">
        <v>63.26</v>
      </c>
      <c r="M555" s="127">
        <v>63.36</v>
      </c>
      <c r="N555" s="127">
        <v>63.58</v>
      </c>
      <c r="O555" s="127">
        <v>63.7</v>
      </c>
      <c r="P555" s="147">
        <f t="shared" si="451"/>
        <v>63.4</v>
      </c>
      <c r="Q555" s="79">
        <v>13.8</v>
      </c>
      <c r="R555" s="79">
        <v>2.25</v>
      </c>
      <c r="S555" s="127">
        <f t="shared" si="444"/>
        <v>2.5355497696775489</v>
      </c>
      <c r="T555" s="127">
        <f t="shared" si="445"/>
        <v>2.5281966753454839</v>
      </c>
      <c r="U555" s="148">
        <f t="shared" si="452"/>
        <v>2.9855458424603243</v>
      </c>
      <c r="V555" s="147">
        <f t="shared" si="453"/>
        <v>8.5901691942570153</v>
      </c>
      <c r="W555" s="147">
        <f t="shared" si="454"/>
        <v>65.244621206572745</v>
      </c>
      <c r="AC555" s="235">
        <v>161</v>
      </c>
      <c r="AD555" s="235">
        <v>91</v>
      </c>
      <c r="AE555" s="235">
        <v>44</v>
      </c>
      <c r="AF555" s="235">
        <v>15</v>
      </c>
    </row>
    <row r="556" spans="1:32" ht="14.4">
      <c r="A556" s="1" t="s">
        <v>137</v>
      </c>
      <c r="B556" s="1" t="s">
        <v>218</v>
      </c>
      <c r="C556" s="1" t="s">
        <v>349</v>
      </c>
      <c r="D556" s="1" t="s">
        <v>297</v>
      </c>
      <c r="E556" s="127">
        <v>2.6059999999999999</v>
      </c>
      <c r="F556" s="127">
        <v>2.6391049917804299</v>
      </c>
      <c r="G556" s="127">
        <v>4.8000000000000096</v>
      </c>
      <c r="H556" s="127">
        <v>4.5801526717557302</v>
      </c>
      <c r="I556" s="127">
        <v>1264.0999999999999</v>
      </c>
      <c r="J556" s="127">
        <v>765.9</v>
      </c>
      <c r="K556" s="127">
        <v>1265.4000000000001</v>
      </c>
      <c r="L556" s="127">
        <v>63.44</v>
      </c>
      <c r="M556" s="127">
        <v>63.58</v>
      </c>
      <c r="N556" s="127">
        <v>63.64</v>
      </c>
      <c r="O556" s="127">
        <v>63.53</v>
      </c>
      <c r="P556" s="147">
        <f t="shared" si="451"/>
        <v>63.553333333333335</v>
      </c>
      <c r="Q556" s="79">
        <v>14.08</v>
      </c>
      <c r="R556" s="79">
        <v>2.56</v>
      </c>
      <c r="S556" s="127">
        <f t="shared" si="444"/>
        <v>2.5307307307307298</v>
      </c>
      <c r="T556" s="127">
        <f t="shared" si="445"/>
        <v>2.5233916116116109</v>
      </c>
      <c r="U556" s="148">
        <f t="shared" si="452"/>
        <v>3.1699304830540731</v>
      </c>
      <c r="V556" s="147">
        <f t="shared" si="453"/>
        <v>8.7639017472689886</v>
      </c>
      <c r="W556" s="147">
        <f t="shared" si="454"/>
        <v>63.829689395572139</v>
      </c>
      <c r="AC556" s="235">
        <v>161</v>
      </c>
      <c r="AD556" s="235">
        <v>91</v>
      </c>
      <c r="AE556" s="235">
        <v>44</v>
      </c>
      <c r="AF556" s="235">
        <v>15</v>
      </c>
    </row>
    <row r="557" spans="1:32" ht="14.4">
      <c r="A557" s="1" t="s">
        <v>137</v>
      </c>
      <c r="B557" s="1" t="s">
        <v>218</v>
      </c>
      <c r="C557" s="1" t="s">
        <v>349</v>
      </c>
      <c r="D557" s="1" t="s">
        <v>298</v>
      </c>
      <c r="E557" s="127">
        <v>2.6059999999999999</v>
      </c>
      <c r="F557" s="127">
        <v>2.6391049917804299</v>
      </c>
      <c r="G557" s="127">
        <v>4.8000000000000096</v>
      </c>
      <c r="H557" s="127">
        <v>4.5801526717557302</v>
      </c>
      <c r="I557" s="127">
        <v>1266.0999999999999</v>
      </c>
      <c r="J557" s="127">
        <v>764.9</v>
      </c>
      <c r="K557" s="127">
        <v>1267.4000000000001</v>
      </c>
      <c r="L557" s="127">
        <v>64.959999999999994</v>
      </c>
      <c r="M557" s="127">
        <v>64.73</v>
      </c>
      <c r="N557" s="127">
        <v>64.349999999999994</v>
      </c>
      <c r="O557" s="127">
        <v>64.34</v>
      </c>
      <c r="P557" s="147">
        <f t="shared" si="451"/>
        <v>64.679999999999993</v>
      </c>
      <c r="Q557" s="79">
        <v>13.47</v>
      </c>
      <c r="R557" s="79">
        <v>2.2200000000000002</v>
      </c>
      <c r="S557" s="127">
        <f t="shared" si="444"/>
        <v>2.5196019900497504</v>
      </c>
      <c r="T557" s="127">
        <f t="shared" si="445"/>
        <v>2.5122951442786059</v>
      </c>
      <c r="U557" s="148">
        <f t="shared" si="452"/>
        <v>3.5957350622177309</v>
      </c>
      <c r="V557" s="147">
        <f t="shared" si="453"/>
        <v>9.1651071642932891</v>
      </c>
      <c r="W557" s="147">
        <f t="shared" si="454"/>
        <v>60.767124729032084</v>
      </c>
      <c r="AC557" s="235">
        <v>161</v>
      </c>
      <c r="AD557" s="235">
        <v>91</v>
      </c>
      <c r="AE557" s="235">
        <v>44</v>
      </c>
      <c r="AF557" s="235">
        <v>15</v>
      </c>
    </row>
    <row r="558" spans="1:32" ht="14.4">
      <c r="A558" s="145" t="s">
        <v>138</v>
      </c>
      <c r="B558" s="1" t="s">
        <v>94</v>
      </c>
      <c r="C558" s="1" t="s">
        <v>350</v>
      </c>
      <c r="D558" s="146" t="s">
        <v>337</v>
      </c>
      <c r="E558" s="147">
        <v>2.536</v>
      </c>
      <c r="F558" s="147">
        <v>2.6008697889769601</v>
      </c>
      <c r="G558" s="147">
        <v>5</v>
      </c>
      <c r="H558" s="127">
        <v>4.76</v>
      </c>
      <c r="I558" s="127">
        <v>1208</v>
      </c>
      <c r="J558" s="127">
        <v>711</v>
      </c>
      <c r="K558" s="127">
        <v>1209.8</v>
      </c>
      <c r="L558" s="127">
        <v>63.09</v>
      </c>
      <c r="M558" s="127">
        <v>62.89</v>
      </c>
      <c r="N558" s="127">
        <v>63.14</v>
      </c>
      <c r="O558" s="127">
        <v>63.28</v>
      </c>
      <c r="P558" s="147">
        <f t="shared" si="451"/>
        <v>63.04</v>
      </c>
      <c r="Q558" s="79">
        <v>17.79</v>
      </c>
      <c r="R558" s="79">
        <v>2.4</v>
      </c>
      <c r="S558" s="127">
        <f t="shared" ref="S558:S572" si="505">I558/(K558-J558)</f>
        <v>2.4218123496391342</v>
      </c>
      <c r="T558" s="127">
        <f t="shared" ref="T558:T572" si="506">0.9971*S558</f>
        <v>2.4147890938251808</v>
      </c>
      <c r="U558" s="148">
        <f t="shared" si="452"/>
        <v>4.7796098649376617</v>
      </c>
      <c r="V558" s="147">
        <f t="shared" si="453"/>
        <v>11.573999486389695</v>
      </c>
      <c r="W558" s="147">
        <f t="shared" si="454"/>
        <v>58.703904639375644</v>
      </c>
      <c r="X558" s="132">
        <f>AVERAGE(S558:S562)</f>
        <v>2.4244541631239342</v>
      </c>
      <c r="Y558" s="132">
        <f t="shared" ref="Y558" si="507">AVERAGE(T558:T562)</f>
        <v>2.4174232460508751</v>
      </c>
      <c r="Z558" s="133">
        <f t="shared" ref="Z558" si="508">AVERAGE(U558:U562)</f>
        <v>4.6757395090348934</v>
      </c>
      <c r="AA558" s="132">
        <f t="shared" ref="AA558" si="509">AVERAGE(V558:V562)</f>
        <v>11.477540732845631</v>
      </c>
      <c r="AB558" s="132">
        <f t="shared" ref="AB558" si="510">AVERAGE(W558:W562)</f>
        <v>59.267355905398276</v>
      </c>
      <c r="AC558" s="235">
        <v>111</v>
      </c>
      <c r="AD558" s="235">
        <v>124</v>
      </c>
      <c r="AE558" s="235">
        <v>41.5</v>
      </c>
      <c r="AF558" s="235">
        <v>56</v>
      </c>
    </row>
    <row r="559" spans="1:32" ht="14.4">
      <c r="A559" s="145" t="s">
        <v>138</v>
      </c>
      <c r="B559" s="1" t="s">
        <v>94</v>
      </c>
      <c r="C559" s="1" t="s">
        <v>350</v>
      </c>
      <c r="D559" s="146" t="s">
        <v>339</v>
      </c>
      <c r="E559" s="147">
        <v>2.536</v>
      </c>
      <c r="F559" s="147">
        <v>2.6008697889769601</v>
      </c>
      <c r="G559" s="147">
        <v>5</v>
      </c>
      <c r="H559" s="127">
        <v>4.76</v>
      </c>
      <c r="I559" s="127">
        <v>1208.7</v>
      </c>
      <c r="J559" s="127">
        <v>711.9</v>
      </c>
      <c r="K559" s="127">
        <v>1209.9000000000001</v>
      </c>
      <c r="L559" s="127">
        <v>62.96</v>
      </c>
      <c r="M559" s="127">
        <v>63.49</v>
      </c>
      <c r="N559" s="127">
        <v>63.45</v>
      </c>
      <c r="O559" s="127">
        <v>63.21</v>
      </c>
      <c r="P559" s="147">
        <f t="shared" si="451"/>
        <v>63.300000000000004</v>
      </c>
      <c r="Q559" s="79">
        <v>17.03</v>
      </c>
      <c r="R559" s="79">
        <v>1.55</v>
      </c>
      <c r="S559" s="127">
        <f t="shared" si="505"/>
        <v>2.4271084337349391</v>
      </c>
      <c r="T559" s="127">
        <f t="shared" si="506"/>
        <v>2.4200698192771077</v>
      </c>
      <c r="U559" s="148">
        <f t="shared" si="452"/>
        <v>4.5713793660446473</v>
      </c>
      <c r="V559" s="147">
        <f t="shared" si="453"/>
        <v>11.38062714065633</v>
      </c>
      <c r="W559" s="147">
        <f t="shared" si="454"/>
        <v>59.831920424545139</v>
      </c>
      <c r="AC559" s="235">
        <v>111</v>
      </c>
      <c r="AD559" s="235">
        <v>124</v>
      </c>
      <c r="AE559" s="235">
        <v>41.5</v>
      </c>
      <c r="AF559" s="235">
        <v>56</v>
      </c>
    </row>
    <row r="560" spans="1:32" ht="14.4">
      <c r="A560" s="145" t="s">
        <v>138</v>
      </c>
      <c r="B560" s="1" t="s">
        <v>94</v>
      </c>
      <c r="C560" s="1" t="s">
        <v>350</v>
      </c>
      <c r="D560" s="146" t="s">
        <v>340</v>
      </c>
      <c r="E560" s="147">
        <v>2.536</v>
      </c>
      <c r="F560" s="147">
        <v>2.6008697889769601</v>
      </c>
      <c r="G560" s="147">
        <v>5</v>
      </c>
      <c r="H560" s="127">
        <v>4.76</v>
      </c>
      <c r="I560" s="127">
        <v>1206.0999999999999</v>
      </c>
      <c r="J560" s="127">
        <v>710</v>
      </c>
      <c r="K560" s="127">
        <v>1207.0999999999999</v>
      </c>
      <c r="L560" s="127">
        <v>63.35</v>
      </c>
      <c r="M560" s="127">
        <v>64.12</v>
      </c>
      <c r="N560" s="127">
        <v>63.67</v>
      </c>
      <c r="O560" s="127">
        <v>63.31</v>
      </c>
      <c r="P560" s="147">
        <f t="shared" si="451"/>
        <v>63.713333333333331</v>
      </c>
      <c r="Q560" s="79">
        <v>17.510000000000002</v>
      </c>
      <c r="R560" s="79">
        <v>1.64</v>
      </c>
      <c r="S560" s="127">
        <f t="shared" si="505"/>
        <v>2.4262723798028567</v>
      </c>
      <c r="T560" s="127">
        <f t="shared" si="506"/>
        <v>2.4192361899014285</v>
      </c>
      <c r="U560" s="148">
        <f t="shared" si="452"/>
        <v>4.6042511868521929</v>
      </c>
      <c r="V560" s="147">
        <f t="shared" si="453"/>
        <v>11.411153413857761</v>
      </c>
      <c r="W560" s="147">
        <f t="shared" si="454"/>
        <v>59.651307629772397</v>
      </c>
      <c r="AC560" s="235">
        <v>111</v>
      </c>
      <c r="AD560" s="235">
        <v>124</v>
      </c>
      <c r="AE560" s="235">
        <v>41.5</v>
      </c>
      <c r="AF560" s="235">
        <v>56</v>
      </c>
    </row>
    <row r="561" spans="1:32" ht="14.4">
      <c r="A561" s="145" t="s">
        <v>138</v>
      </c>
      <c r="B561" s="1" t="s">
        <v>94</v>
      </c>
      <c r="C561" s="1" t="s">
        <v>350</v>
      </c>
      <c r="D561" s="146" t="s">
        <v>341</v>
      </c>
      <c r="E561" s="147">
        <v>2.536</v>
      </c>
      <c r="F561" s="147">
        <v>2.6008697889769601</v>
      </c>
      <c r="G561" s="147">
        <v>5</v>
      </c>
      <c r="H561" s="127">
        <v>4.76</v>
      </c>
      <c r="I561" s="127">
        <v>1206</v>
      </c>
      <c r="J561" s="127">
        <v>710.8</v>
      </c>
      <c r="K561" s="127">
        <v>1209.0999999999999</v>
      </c>
      <c r="L561" s="127">
        <v>64.150000000000006</v>
      </c>
      <c r="M561" s="127">
        <v>63.81</v>
      </c>
      <c r="N561" s="127">
        <v>63.65</v>
      </c>
      <c r="O561" s="127">
        <v>63.63</v>
      </c>
      <c r="P561" s="147">
        <f t="shared" si="451"/>
        <v>63.870000000000005</v>
      </c>
      <c r="Q561" s="79">
        <v>16.95</v>
      </c>
      <c r="R561" s="79">
        <v>1.82</v>
      </c>
      <c r="S561" s="127">
        <f t="shared" si="505"/>
        <v>2.4202287778446721</v>
      </c>
      <c r="T561" s="127">
        <f t="shared" si="506"/>
        <v>2.4132101143889226</v>
      </c>
      <c r="U561" s="148">
        <f t="shared" si="452"/>
        <v>4.841872461004626</v>
      </c>
      <c r="V561" s="147">
        <f t="shared" si="453"/>
        <v>11.63181937500795</v>
      </c>
      <c r="W561" s="147">
        <f t="shared" si="454"/>
        <v>58.373902612278854</v>
      </c>
      <c r="AC561" s="235">
        <v>111</v>
      </c>
      <c r="AD561" s="235">
        <v>124</v>
      </c>
      <c r="AE561" s="235">
        <v>41.5</v>
      </c>
      <c r="AF561" s="235">
        <v>56</v>
      </c>
    </row>
    <row r="562" spans="1:32" ht="14.4">
      <c r="A562" s="145" t="s">
        <v>138</v>
      </c>
      <c r="B562" s="1" t="s">
        <v>94</v>
      </c>
      <c r="C562" s="1" t="s">
        <v>350</v>
      </c>
      <c r="D562" s="146" t="s">
        <v>342</v>
      </c>
      <c r="E562" s="147">
        <v>2.536</v>
      </c>
      <c r="F562" s="147">
        <v>2.6008697889769601</v>
      </c>
      <c r="G562" s="147">
        <v>5</v>
      </c>
      <c r="H562" s="127">
        <v>4.76</v>
      </c>
      <c r="I562" s="127">
        <v>1207.5999999999999</v>
      </c>
      <c r="J562" s="127">
        <v>711.3</v>
      </c>
      <c r="K562" s="127">
        <v>1208.9000000000001</v>
      </c>
      <c r="L562" s="127">
        <v>64.42</v>
      </c>
      <c r="M562" s="127">
        <v>64.42</v>
      </c>
      <c r="N562" s="127">
        <v>64.28</v>
      </c>
      <c r="O562" s="127">
        <v>64.2</v>
      </c>
      <c r="P562" s="147">
        <f t="shared" ref="P562:P572" si="511">AVERAGE(L562:N562)</f>
        <v>64.373333333333335</v>
      </c>
      <c r="Q562" s="79">
        <v>18</v>
      </c>
      <c r="R562" s="79">
        <v>1.41</v>
      </c>
      <c r="S562" s="127">
        <f t="shared" si="505"/>
        <v>2.4268488745980701</v>
      </c>
      <c r="T562" s="127">
        <f t="shared" si="506"/>
        <v>2.4198110128617358</v>
      </c>
      <c r="U562" s="148">
        <f t="shared" ref="U562:U572" si="512">100*(1-T562/E562)</f>
        <v>4.5815846663353366</v>
      </c>
      <c r="V562" s="147">
        <f t="shared" ref="V562:V572" si="513">100-T562*(100-H562)/F562</f>
        <v>11.390104248316419</v>
      </c>
      <c r="W562" s="147">
        <f t="shared" ref="W562:W572" si="514">100*(V562-U562)/V562</f>
        <v>59.775744221019359</v>
      </c>
      <c r="AC562" s="235">
        <v>111</v>
      </c>
      <c r="AD562" s="235">
        <v>124</v>
      </c>
      <c r="AE562" s="235">
        <v>41.5</v>
      </c>
      <c r="AF562" s="235">
        <v>56</v>
      </c>
    </row>
    <row r="563" spans="1:32" ht="14.4">
      <c r="A563" s="1" t="s">
        <v>139</v>
      </c>
      <c r="B563" s="1" t="s">
        <v>218</v>
      </c>
      <c r="C563" s="1" t="s">
        <v>349</v>
      </c>
      <c r="D563" s="1" t="s">
        <v>294</v>
      </c>
      <c r="E563" s="127">
        <v>2.5621021095993002</v>
      </c>
      <c r="F563" s="127">
        <v>2.69334272890503</v>
      </c>
      <c r="G563" s="127">
        <v>4.8000000000000096</v>
      </c>
      <c r="H563" s="127">
        <v>4.5801526717557302</v>
      </c>
      <c r="I563" s="127">
        <v>1220.2</v>
      </c>
      <c r="J563" s="127">
        <v>723.4</v>
      </c>
      <c r="K563" s="127">
        <v>1222.3</v>
      </c>
      <c r="L563" s="127">
        <v>64.48</v>
      </c>
      <c r="M563" s="127">
        <v>64.33</v>
      </c>
      <c r="N563" s="127">
        <v>64.19</v>
      </c>
      <c r="O563" s="127">
        <v>63.97</v>
      </c>
      <c r="P563" s="147">
        <f t="shared" si="511"/>
        <v>64.333333333333329</v>
      </c>
      <c r="Q563" s="79">
        <v>15.12</v>
      </c>
      <c r="R563" s="79">
        <v>2.4700000000000002</v>
      </c>
      <c r="S563" s="127">
        <f t="shared" si="505"/>
        <v>2.4457807175786734</v>
      </c>
      <c r="T563" s="127">
        <f t="shared" si="506"/>
        <v>2.4386879534976953</v>
      </c>
      <c r="U563" s="148">
        <f t="shared" si="512"/>
        <v>4.8169101316928531</v>
      </c>
      <c r="V563" s="147">
        <f t="shared" si="513"/>
        <v>13.602071616566334</v>
      </c>
      <c r="W563" s="147">
        <f t="shared" si="514"/>
        <v>64.586937435131517</v>
      </c>
      <c r="X563" s="132">
        <f>AVERAGE(S563:S567)</f>
        <v>2.4477137551942647</v>
      </c>
      <c r="Y563" s="132">
        <f t="shared" ref="Y563" si="515">AVERAGE(T563:T567)</f>
        <v>2.4406153853042012</v>
      </c>
      <c r="Z563" s="133">
        <f t="shared" ref="Z563" si="516">AVERAGE(U563:U567)</f>
        <v>4.7416815996493895</v>
      </c>
      <c r="AA563" s="132">
        <f t="shared" ref="AA563" si="517">AVERAGE(V563:V567)</f>
        <v>13.533786490154977</v>
      </c>
      <c r="AB563" s="132">
        <f t="shared" ref="AB563" si="518">AVERAGE(W563:W567)</f>
        <v>64.967296603872512</v>
      </c>
      <c r="AC563" s="235">
        <v>161</v>
      </c>
      <c r="AD563" s="235">
        <v>91</v>
      </c>
      <c r="AE563" s="235">
        <v>44</v>
      </c>
      <c r="AF563" s="235">
        <v>15</v>
      </c>
    </row>
    <row r="564" spans="1:32" ht="14.4">
      <c r="A564" s="1" t="s">
        <v>139</v>
      </c>
      <c r="B564" s="1" t="s">
        <v>218</v>
      </c>
      <c r="C564" s="1" t="s">
        <v>349</v>
      </c>
      <c r="D564" s="1" t="s">
        <v>295</v>
      </c>
      <c r="E564" s="127">
        <v>2.5621021095993002</v>
      </c>
      <c r="F564" s="127">
        <v>2.69334272890503</v>
      </c>
      <c r="G564" s="127">
        <v>4.8000000000000096</v>
      </c>
      <c r="H564" s="127">
        <v>4.5801526717557302</v>
      </c>
      <c r="I564" s="127">
        <v>1239.0999999999999</v>
      </c>
      <c r="J564" s="127">
        <v>735</v>
      </c>
      <c r="K564" s="127">
        <v>1240.4000000000001</v>
      </c>
      <c r="L564" s="127">
        <v>65.349999999999994</v>
      </c>
      <c r="M564" s="127">
        <v>64.959999999999994</v>
      </c>
      <c r="N564" s="127">
        <v>65.03</v>
      </c>
      <c r="O564" s="127">
        <v>65.209999999999994</v>
      </c>
      <c r="P564" s="147">
        <f t="shared" si="511"/>
        <v>65.11333333333333</v>
      </c>
      <c r="Q564" s="79">
        <v>13.81</v>
      </c>
      <c r="R564" s="79">
        <v>2.0699999999999998</v>
      </c>
      <c r="S564" s="127">
        <f t="shared" si="505"/>
        <v>2.45172140878512</v>
      </c>
      <c r="T564" s="127">
        <f t="shared" si="506"/>
        <v>2.4446114166996433</v>
      </c>
      <c r="U564" s="148">
        <f t="shared" si="512"/>
        <v>4.585714693394161</v>
      </c>
      <c r="V564" s="147">
        <f t="shared" si="513"/>
        <v>13.39221493983581</v>
      </c>
      <c r="W564" s="147">
        <f t="shared" si="514"/>
        <v>65.75835502943039</v>
      </c>
      <c r="AC564" s="235">
        <v>161</v>
      </c>
      <c r="AD564" s="235">
        <v>91</v>
      </c>
      <c r="AE564" s="235">
        <v>44</v>
      </c>
      <c r="AF564" s="235">
        <v>15</v>
      </c>
    </row>
    <row r="565" spans="1:32" ht="14.4">
      <c r="A565" s="1" t="s">
        <v>139</v>
      </c>
      <c r="B565" s="1" t="s">
        <v>218</v>
      </c>
      <c r="C565" s="1" t="s">
        <v>349</v>
      </c>
      <c r="D565" s="1" t="s">
        <v>296</v>
      </c>
      <c r="E565" s="127">
        <v>2.5621021095993002</v>
      </c>
      <c r="F565" s="127">
        <v>2.69334272890503</v>
      </c>
      <c r="G565" s="127">
        <v>4.8000000000000096</v>
      </c>
      <c r="H565" s="127">
        <v>4.5801526717557302</v>
      </c>
      <c r="I565" s="127">
        <v>1222.2</v>
      </c>
      <c r="J565" s="127">
        <v>723.3</v>
      </c>
      <c r="K565" s="127">
        <v>1223.2</v>
      </c>
      <c r="L565" s="127">
        <v>64.760000000000005</v>
      </c>
      <c r="M565" s="127">
        <v>64.97</v>
      </c>
      <c r="N565" s="127">
        <v>65.09</v>
      </c>
      <c r="O565" s="127">
        <v>64.88</v>
      </c>
      <c r="P565" s="147">
        <f t="shared" si="511"/>
        <v>64.940000000000012</v>
      </c>
      <c r="Q565" s="79">
        <v>13.8</v>
      </c>
      <c r="R565" s="79">
        <v>2.25</v>
      </c>
      <c r="S565" s="127">
        <f t="shared" si="505"/>
        <v>2.4448889777955589</v>
      </c>
      <c r="T565" s="127">
        <f t="shared" si="506"/>
        <v>2.437798799759952</v>
      </c>
      <c r="U565" s="148">
        <f t="shared" si="512"/>
        <v>4.8516142027918097</v>
      </c>
      <c r="V565" s="147">
        <f t="shared" si="513"/>
        <v>13.633572588572719</v>
      </c>
      <c r="W565" s="147">
        <f t="shared" si="514"/>
        <v>64.414212259680937</v>
      </c>
      <c r="AC565" s="235">
        <v>161</v>
      </c>
      <c r="AD565" s="235">
        <v>91</v>
      </c>
      <c r="AE565" s="235">
        <v>44</v>
      </c>
      <c r="AF565" s="235">
        <v>15</v>
      </c>
    </row>
    <row r="566" spans="1:32" ht="14.4">
      <c r="A566" s="1" t="s">
        <v>139</v>
      </c>
      <c r="B566" s="1" t="s">
        <v>218</v>
      </c>
      <c r="C566" s="1" t="s">
        <v>349</v>
      </c>
      <c r="D566" s="1" t="s">
        <v>297</v>
      </c>
      <c r="E566" s="127">
        <v>2.5621021095993002</v>
      </c>
      <c r="F566" s="127">
        <v>2.69334272890503</v>
      </c>
      <c r="G566" s="127">
        <v>4.8000000000000096</v>
      </c>
      <c r="H566" s="127">
        <v>4.5801526717557302</v>
      </c>
      <c r="I566" s="127">
        <v>1225.4000000000001</v>
      </c>
      <c r="J566" s="127">
        <v>725.2</v>
      </c>
      <c r="K566" s="127">
        <v>1226</v>
      </c>
      <c r="L566" s="127">
        <v>64.739999999999995</v>
      </c>
      <c r="M566" s="127">
        <v>64.53</v>
      </c>
      <c r="N566" s="127">
        <v>64.14</v>
      </c>
      <c r="O566" s="127">
        <v>64.17</v>
      </c>
      <c r="P566" s="147">
        <f t="shared" si="511"/>
        <v>64.469999999999985</v>
      </c>
      <c r="Q566" s="79">
        <v>14.08</v>
      </c>
      <c r="R566" s="79">
        <v>2.56</v>
      </c>
      <c r="S566" s="127">
        <f t="shared" si="505"/>
        <v>2.4468849840255595</v>
      </c>
      <c r="T566" s="127">
        <f t="shared" si="506"/>
        <v>2.4397890175718855</v>
      </c>
      <c r="U566" s="148">
        <f t="shared" si="512"/>
        <v>4.7739351046607537</v>
      </c>
      <c r="V566" s="147">
        <f t="shared" si="513"/>
        <v>13.563063077203608</v>
      </c>
      <c r="W566" s="147">
        <f t="shared" si="514"/>
        <v>64.801939816348394</v>
      </c>
      <c r="AC566" s="235">
        <v>161</v>
      </c>
      <c r="AD566" s="235">
        <v>91</v>
      </c>
      <c r="AE566" s="235">
        <v>44</v>
      </c>
      <c r="AF566" s="235">
        <v>15</v>
      </c>
    </row>
    <row r="567" spans="1:32" ht="14.4">
      <c r="A567" s="1" t="s">
        <v>139</v>
      </c>
      <c r="B567" s="1" t="s">
        <v>218</v>
      </c>
      <c r="C567" s="1" t="s">
        <v>349</v>
      </c>
      <c r="D567" s="1" t="s">
        <v>298</v>
      </c>
      <c r="E567" s="127">
        <v>2.5621021095993002</v>
      </c>
      <c r="F567" s="127">
        <v>2.69334272890503</v>
      </c>
      <c r="G567" s="127">
        <v>4.8000000000000096</v>
      </c>
      <c r="H567" s="127">
        <v>4.5801526717557302</v>
      </c>
      <c r="I567" s="127">
        <v>1229.3</v>
      </c>
      <c r="J567" s="127">
        <v>729.4</v>
      </c>
      <c r="K567" s="127">
        <v>1231.3</v>
      </c>
      <c r="L567" s="127">
        <v>64.86</v>
      </c>
      <c r="M567" s="127">
        <v>64.97</v>
      </c>
      <c r="N567" s="127">
        <v>64.53</v>
      </c>
      <c r="O567" s="127">
        <v>64.48</v>
      </c>
      <c r="P567" s="147">
        <f t="shared" si="511"/>
        <v>64.786666666666662</v>
      </c>
      <c r="Q567" s="79">
        <v>14.58</v>
      </c>
      <c r="R567" s="79">
        <v>2.21</v>
      </c>
      <c r="S567" s="127">
        <f t="shared" si="505"/>
        <v>2.4492926877864116</v>
      </c>
      <c r="T567" s="127">
        <f t="shared" si="506"/>
        <v>2.4421897389918308</v>
      </c>
      <c r="U567" s="148">
        <f t="shared" si="512"/>
        <v>4.6802338657073728</v>
      </c>
      <c r="V567" s="147">
        <f t="shared" si="513"/>
        <v>13.478010228596418</v>
      </c>
      <c r="W567" s="147">
        <f t="shared" si="514"/>
        <v>65.275038478771322</v>
      </c>
      <c r="AC567" s="235">
        <v>161</v>
      </c>
      <c r="AD567" s="235">
        <v>91</v>
      </c>
      <c r="AE567" s="235">
        <v>44</v>
      </c>
      <c r="AF567" s="235">
        <v>15</v>
      </c>
    </row>
    <row r="568" spans="1:32" ht="14.4">
      <c r="A568" s="145" t="s">
        <v>140</v>
      </c>
      <c r="B568" s="1" t="s">
        <v>218</v>
      </c>
      <c r="C568" s="145" t="s">
        <v>351</v>
      </c>
      <c r="D568" s="145" t="s">
        <v>337</v>
      </c>
      <c r="E568" s="147">
        <v>2.58501920614597</v>
      </c>
      <c r="F568" s="147">
        <v>2.6698718560800598</v>
      </c>
      <c r="G568" s="147">
        <f t="shared" ref="G568:G594" si="519">100*H568/(100-H568)</f>
        <v>4.8000000000000052</v>
      </c>
      <c r="H568" s="147">
        <v>4.5801526717557302</v>
      </c>
      <c r="I568" s="147">
        <v>1222.7</v>
      </c>
      <c r="J568" s="147">
        <v>736.8</v>
      </c>
      <c r="K568" s="147">
        <v>1224</v>
      </c>
      <c r="L568" s="147">
        <v>62.86</v>
      </c>
      <c r="M568" s="147">
        <v>63.16</v>
      </c>
      <c r="N568" s="147">
        <v>63.32</v>
      </c>
      <c r="O568" s="147">
        <v>62.76</v>
      </c>
      <c r="P568" s="147">
        <f t="shared" si="511"/>
        <v>63.113333333333337</v>
      </c>
      <c r="Q568" s="148">
        <v>16.59</v>
      </c>
      <c r="R568" s="148">
        <v>1.93</v>
      </c>
      <c r="S568" s="147">
        <f t="shared" si="505"/>
        <v>2.5096469622331692</v>
      </c>
      <c r="T568" s="147">
        <f t="shared" si="506"/>
        <v>2.502368986042693</v>
      </c>
      <c r="U568" s="148">
        <f t="shared" si="512"/>
        <v>3.1972768289989295</v>
      </c>
      <c r="V568" s="147">
        <f t="shared" si="513"/>
        <v>10.566619119428196</v>
      </c>
      <c r="W568" s="147">
        <f t="shared" si="514"/>
        <v>69.741723508134299</v>
      </c>
      <c r="X568" s="132">
        <f>AVERAGE(S568:S572)</f>
        <v>2.4957208123952812</v>
      </c>
      <c r="Y568" s="132">
        <f t="shared" ref="Y568" si="520">AVERAGE(T568:T572)</f>
        <v>2.4884832220393354</v>
      </c>
      <c r="Z568" s="133">
        <f t="shared" ref="Z568" si="521">AVERAGE(U568:U572)</f>
        <v>3.7344397239725451</v>
      </c>
      <c r="AA568" s="132">
        <f t="shared" ref="AA568" si="522">AVERAGE(V568:V572)</f>
        <v>11.062889185056651</v>
      </c>
      <c r="AB568" s="132">
        <f t="shared" ref="AB568" si="523">AVERAGE(W568:W572)</f>
        <v>66.303758823439964</v>
      </c>
      <c r="AC568" s="235">
        <v>161</v>
      </c>
      <c r="AD568" s="235">
        <v>91</v>
      </c>
      <c r="AE568" s="235">
        <v>44</v>
      </c>
      <c r="AF568" s="235">
        <v>15</v>
      </c>
    </row>
    <row r="569" spans="1:32" ht="14.4">
      <c r="A569" s="145" t="s">
        <v>140</v>
      </c>
      <c r="B569" s="1" t="s">
        <v>218</v>
      </c>
      <c r="C569" s="145" t="s">
        <v>351</v>
      </c>
      <c r="D569" s="145" t="s">
        <v>339</v>
      </c>
      <c r="E569" s="147">
        <v>2.58501920614597</v>
      </c>
      <c r="F569" s="147">
        <v>2.6698718560800598</v>
      </c>
      <c r="G569" s="147">
        <f t="shared" si="519"/>
        <v>4.8000000000000052</v>
      </c>
      <c r="H569" s="147">
        <v>4.5801526717557302</v>
      </c>
      <c r="I569" s="147">
        <v>1240.5</v>
      </c>
      <c r="J569" s="147">
        <v>745.5</v>
      </c>
      <c r="K569" s="147">
        <v>1241.7</v>
      </c>
      <c r="L569" s="147">
        <v>62.43</v>
      </c>
      <c r="M569" s="147">
        <v>61.85</v>
      </c>
      <c r="N569" s="147">
        <v>62.46</v>
      </c>
      <c r="O569" s="147">
        <v>62.13</v>
      </c>
      <c r="P569" s="147">
        <f t="shared" si="511"/>
        <v>62.24666666666667</v>
      </c>
      <c r="Q569" s="148">
        <v>17.47</v>
      </c>
      <c r="R569" s="148">
        <v>1.42</v>
      </c>
      <c r="S569" s="147">
        <f t="shared" si="505"/>
        <v>2.4999999999999996</v>
      </c>
      <c r="T569" s="147">
        <f t="shared" si="506"/>
        <v>2.4927499999999996</v>
      </c>
      <c r="U569" s="148">
        <f t="shared" si="512"/>
        <v>3.5693818415970524</v>
      </c>
      <c r="V569" s="147">
        <f t="shared" si="513"/>
        <v>10.910396734655734</v>
      </c>
      <c r="W569" s="147">
        <f t="shared" si="514"/>
        <v>67.284582509641609</v>
      </c>
      <c r="AC569" s="235">
        <v>161</v>
      </c>
      <c r="AD569" s="235">
        <v>91</v>
      </c>
      <c r="AE569" s="235">
        <v>44</v>
      </c>
      <c r="AF569" s="235">
        <v>15</v>
      </c>
    </row>
    <row r="570" spans="1:32" ht="14.4">
      <c r="A570" s="145" t="s">
        <v>140</v>
      </c>
      <c r="B570" s="1" t="s">
        <v>218</v>
      </c>
      <c r="C570" s="145" t="s">
        <v>351</v>
      </c>
      <c r="D570" s="145" t="s">
        <v>340</v>
      </c>
      <c r="E570" s="147">
        <v>2.58501920614597</v>
      </c>
      <c r="F570" s="147">
        <v>2.6698718560800598</v>
      </c>
      <c r="G570" s="147">
        <f t="shared" si="519"/>
        <v>4.8000000000000052</v>
      </c>
      <c r="H570" s="147">
        <v>4.5801526717557302</v>
      </c>
      <c r="I570" s="147">
        <v>1238.4000000000001</v>
      </c>
      <c r="J570" s="147">
        <v>742</v>
      </c>
      <c r="K570" s="147">
        <v>1240.2</v>
      </c>
      <c r="L570" s="147">
        <v>63.07</v>
      </c>
      <c r="M570" s="147">
        <v>62.96</v>
      </c>
      <c r="N570" s="147">
        <v>62.61</v>
      </c>
      <c r="O570" s="147">
        <v>62.76</v>
      </c>
      <c r="P570" s="147">
        <f t="shared" si="511"/>
        <v>62.879999999999995</v>
      </c>
      <c r="Q570" s="148">
        <v>17.510000000000002</v>
      </c>
      <c r="R570" s="148">
        <v>1.97</v>
      </c>
      <c r="S570" s="147">
        <f t="shared" si="505"/>
        <v>2.4857486953030912</v>
      </c>
      <c r="T570" s="147">
        <f t="shared" si="506"/>
        <v>2.4785400240867124</v>
      </c>
      <c r="U570" s="148">
        <f t="shared" si="512"/>
        <v>4.1190866901916978</v>
      </c>
      <c r="V570" s="147">
        <f t="shared" si="513"/>
        <v>11.418253967240162</v>
      </c>
      <c r="W570" s="147">
        <f t="shared" si="514"/>
        <v>63.925424132186315</v>
      </c>
      <c r="AC570" s="235">
        <v>161</v>
      </c>
      <c r="AD570" s="235">
        <v>91</v>
      </c>
      <c r="AE570" s="235">
        <v>44</v>
      </c>
      <c r="AF570" s="235">
        <v>15</v>
      </c>
    </row>
    <row r="571" spans="1:32" ht="14.4">
      <c r="A571" s="145" t="s">
        <v>140</v>
      </c>
      <c r="B571" s="1" t="s">
        <v>218</v>
      </c>
      <c r="C571" s="145" t="s">
        <v>351</v>
      </c>
      <c r="D571" s="145" t="s">
        <v>341</v>
      </c>
      <c r="E571" s="147">
        <v>2.58501920614597</v>
      </c>
      <c r="F571" s="147">
        <v>2.6698718560800598</v>
      </c>
      <c r="G571" s="147">
        <f t="shared" si="519"/>
        <v>4.8000000000000052</v>
      </c>
      <c r="H571" s="147">
        <v>4.5801526717557302</v>
      </c>
      <c r="I571" s="147">
        <v>1238.5999999999999</v>
      </c>
      <c r="J571" s="147">
        <v>742.4</v>
      </c>
      <c r="K571" s="147">
        <v>1240.4000000000001</v>
      </c>
      <c r="L571" s="147">
        <v>62.6</v>
      </c>
      <c r="M571" s="147">
        <v>63.14</v>
      </c>
      <c r="N571" s="147">
        <v>62.71</v>
      </c>
      <c r="O571" s="147">
        <v>62.96</v>
      </c>
      <c r="P571" s="147">
        <f t="shared" si="511"/>
        <v>62.81666666666667</v>
      </c>
      <c r="Q571" s="148">
        <v>15.77</v>
      </c>
      <c r="R571" s="148">
        <v>1.63</v>
      </c>
      <c r="S571" s="147">
        <f t="shared" si="505"/>
        <v>2.4871485943775093</v>
      </c>
      <c r="T571" s="147">
        <f t="shared" si="506"/>
        <v>2.4799358634538144</v>
      </c>
      <c r="U571" s="148">
        <f t="shared" si="512"/>
        <v>4.0650894369494983</v>
      </c>
      <c r="V571" s="147">
        <f t="shared" si="513"/>
        <v>11.368367385979596</v>
      </c>
      <c r="W571" s="147">
        <f t="shared" si="514"/>
        <v>64.24210004012626</v>
      </c>
      <c r="AC571" s="235">
        <v>161</v>
      </c>
      <c r="AD571" s="235">
        <v>91</v>
      </c>
      <c r="AE571" s="235">
        <v>44</v>
      </c>
      <c r="AF571" s="235">
        <v>15</v>
      </c>
    </row>
    <row r="572" spans="1:32" ht="14.4">
      <c r="A572" s="145" t="s">
        <v>140</v>
      </c>
      <c r="B572" s="1" t="s">
        <v>218</v>
      </c>
      <c r="C572" s="145" t="s">
        <v>351</v>
      </c>
      <c r="D572" s="145" t="s">
        <v>342</v>
      </c>
      <c r="E572" s="147">
        <v>2.58501920614597</v>
      </c>
      <c r="F572" s="147">
        <v>2.6698718560800598</v>
      </c>
      <c r="G572" s="147">
        <f t="shared" si="519"/>
        <v>4.8000000000000052</v>
      </c>
      <c r="H572" s="147">
        <v>4.5801526717557302</v>
      </c>
      <c r="I572" s="147">
        <v>1235.3</v>
      </c>
      <c r="J572" s="147">
        <v>742.3</v>
      </c>
      <c r="K572" s="147">
        <v>1237.2</v>
      </c>
      <c r="L572" s="147">
        <v>63.19</v>
      </c>
      <c r="M572" s="147">
        <v>63.54</v>
      </c>
      <c r="N572" s="147">
        <v>63.65</v>
      </c>
      <c r="O572" s="147">
        <v>63.34</v>
      </c>
      <c r="P572" s="147">
        <f t="shared" si="511"/>
        <v>63.46</v>
      </c>
      <c r="Q572" s="148">
        <v>17.34</v>
      </c>
      <c r="R572" s="148">
        <v>1.95</v>
      </c>
      <c r="S572" s="147">
        <f t="shared" si="505"/>
        <v>2.4960598100626386</v>
      </c>
      <c r="T572" s="147">
        <f t="shared" si="506"/>
        <v>2.488821236613457</v>
      </c>
      <c r="U572" s="148">
        <f t="shared" si="512"/>
        <v>3.7213638221255452</v>
      </c>
      <c r="V572" s="147">
        <f t="shared" si="513"/>
        <v>11.050808717979564</v>
      </c>
      <c r="W572" s="147">
        <f t="shared" si="514"/>
        <v>66.324963927111327</v>
      </c>
      <c r="AC572" s="235">
        <v>161</v>
      </c>
      <c r="AD572" s="235">
        <v>91</v>
      </c>
      <c r="AE572" s="235">
        <v>44</v>
      </c>
      <c r="AF572" s="235">
        <v>15</v>
      </c>
    </row>
    <row r="573" spans="1:32" ht="14.4">
      <c r="A573" s="145" t="s">
        <v>141</v>
      </c>
      <c r="B573" s="1" t="s">
        <v>254</v>
      </c>
      <c r="C573" s="1" t="s">
        <v>338</v>
      </c>
      <c r="D573" s="145" t="s">
        <v>337</v>
      </c>
      <c r="E573" s="147">
        <v>2.5390000000000001</v>
      </c>
      <c r="F573" s="147">
        <v>2.6698718560800598</v>
      </c>
      <c r="G573" s="147">
        <f t="shared" si="519"/>
        <v>4.8000000000000052</v>
      </c>
      <c r="H573" s="147">
        <v>4.5801526717557302</v>
      </c>
      <c r="I573" s="127">
        <v>1238.3</v>
      </c>
      <c r="J573" s="127">
        <v>736.2</v>
      </c>
      <c r="K573" s="127">
        <v>1238.7</v>
      </c>
      <c r="L573" s="127">
        <v>63.09</v>
      </c>
      <c r="M573" s="127">
        <v>62.89</v>
      </c>
      <c r="N573" s="127">
        <v>63.14</v>
      </c>
      <c r="O573" s="127">
        <v>63.28</v>
      </c>
      <c r="P573" s="147">
        <f t="shared" ref="P573:P594" si="524">AVERAGE(L573:N573)</f>
        <v>63.04</v>
      </c>
      <c r="Q573" s="79">
        <v>15.12</v>
      </c>
      <c r="R573" s="79">
        <v>2.4700000000000002</v>
      </c>
      <c r="S573" s="147">
        <f t="shared" ref="S573:S636" si="525">I573/(K573-J573)</f>
        <v>2.4642786069651739</v>
      </c>
      <c r="T573" s="147">
        <f t="shared" ref="T573:T636" si="526">0.9971*S573</f>
        <v>2.4571321990049748</v>
      </c>
      <c r="U573" s="148">
        <f t="shared" ref="U573:U636" si="527">100*(1-T573/E573)</f>
        <v>3.2244112246957557</v>
      </c>
      <c r="V573" s="147">
        <f t="shared" ref="V573:V636" si="528">100-T573*(100-H573)/F573</f>
        <v>12.183358628078949</v>
      </c>
      <c r="W573" s="147">
        <f t="shared" ref="W573:W636" si="529">100*(V573-U573)/V573</f>
        <v>73.534299341197553</v>
      </c>
      <c r="X573" s="132">
        <f>AVERAGE(S573:S577)</f>
        <v>2.4608320759721236</v>
      </c>
      <c r="Y573" s="132">
        <f t="shared" ref="Y573" si="530">AVERAGE(T573:T577)</f>
        <v>2.4536956629518043</v>
      </c>
      <c r="Z573" s="133">
        <f t="shared" ref="Z573" si="531">AVERAGE(U573:U577)</f>
        <v>3.3597612070971117</v>
      </c>
      <c r="AA573" s="132">
        <f t="shared" ref="AA573" si="532">AVERAGE(V573:V577)</f>
        <v>12.306178659603969</v>
      </c>
      <c r="AB573" s="132">
        <f t="shared" ref="AB573" si="533">AVERAGE(W573:W577)</f>
        <v>72.767826490737917</v>
      </c>
      <c r="AC573" s="235">
        <v>161</v>
      </c>
      <c r="AD573" s="235">
        <v>91</v>
      </c>
      <c r="AE573" s="235">
        <v>44</v>
      </c>
      <c r="AF573" s="235">
        <v>15</v>
      </c>
    </row>
    <row r="574" spans="1:32" ht="14.4">
      <c r="A574" s="145" t="s">
        <v>141</v>
      </c>
      <c r="B574" s="1" t="s">
        <v>254</v>
      </c>
      <c r="C574" s="1" t="s">
        <v>338</v>
      </c>
      <c r="D574" s="145" t="s">
        <v>339</v>
      </c>
      <c r="E574" s="147">
        <v>2.5390000000000001</v>
      </c>
      <c r="F574" s="147">
        <v>2.6698718560800598</v>
      </c>
      <c r="G574" s="147">
        <f t="shared" si="519"/>
        <v>4.8000000000000052</v>
      </c>
      <c r="H574" s="147">
        <v>4.5801526717557302</v>
      </c>
      <c r="I574" s="127">
        <v>1241</v>
      </c>
      <c r="J574" s="127">
        <v>739.5</v>
      </c>
      <c r="K574" s="127">
        <v>1241.7</v>
      </c>
      <c r="L574" s="127">
        <v>62.96</v>
      </c>
      <c r="M574" s="127">
        <v>63.49</v>
      </c>
      <c r="N574" s="127">
        <v>63.45</v>
      </c>
      <c r="O574" s="127">
        <v>63.21</v>
      </c>
      <c r="P574" s="147">
        <f t="shared" si="524"/>
        <v>63.300000000000004</v>
      </c>
      <c r="Q574" s="79">
        <v>13.81</v>
      </c>
      <c r="R574" s="79">
        <v>2.0699999999999998</v>
      </c>
      <c r="S574" s="147">
        <f t="shared" si="525"/>
        <v>2.4711270410195141</v>
      </c>
      <c r="T574" s="147">
        <f t="shared" si="526"/>
        <v>2.4639607726005575</v>
      </c>
      <c r="U574" s="148">
        <f t="shared" si="527"/>
        <v>2.9554638597653726</v>
      </c>
      <c r="V574" s="147">
        <f t="shared" si="528"/>
        <v>11.939308918922933</v>
      </c>
      <c r="W574" s="147">
        <f t="shared" si="529"/>
        <v>75.245938606369592</v>
      </c>
      <c r="AC574" s="235">
        <v>161</v>
      </c>
      <c r="AD574" s="235">
        <v>91</v>
      </c>
      <c r="AE574" s="235">
        <v>44</v>
      </c>
      <c r="AF574" s="235">
        <v>15</v>
      </c>
    </row>
    <row r="575" spans="1:32" ht="14.4">
      <c r="A575" s="145" t="s">
        <v>141</v>
      </c>
      <c r="B575" s="1" t="s">
        <v>254</v>
      </c>
      <c r="C575" s="1" t="s">
        <v>338</v>
      </c>
      <c r="D575" s="145" t="s">
        <v>340</v>
      </c>
      <c r="E575" s="147">
        <v>2.5390000000000001</v>
      </c>
      <c r="F575" s="147">
        <v>2.6698718560800598</v>
      </c>
      <c r="G575" s="147">
        <f t="shared" si="519"/>
        <v>4.8000000000000052</v>
      </c>
      <c r="H575" s="147">
        <v>4.5801526717557302</v>
      </c>
      <c r="I575" s="127">
        <v>1241.5</v>
      </c>
      <c r="J575" s="127">
        <v>738.5</v>
      </c>
      <c r="K575" s="127">
        <v>1242.3</v>
      </c>
      <c r="L575" s="127">
        <v>63.35</v>
      </c>
      <c r="M575" s="127">
        <v>64.12</v>
      </c>
      <c r="N575" s="127">
        <v>63.67</v>
      </c>
      <c r="O575" s="127">
        <v>63.31</v>
      </c>
      <c r="P575" s="147">
        <f t="shared" si="524"/>
        <v>63.713333333333331</v>
      </c>
      <c r="Q575" s="79">
        <v>13.8</v>
      </c>
      <c r="R575" s="79">
        <v>2.25</v>
      </c>
      <c r="S575" s="147">
        <f t="shared" si="525"/>
        <v>2.4642715363239382</v>
      </c>
      <c r="T575" s="147">
        <f t="shared" si="526"/>
        <v>2.4571251488685988</v>
      </c>
      <c r="U575" s="148">
        <f t="shared" si="527"/>
        <v>3.2246888984403865</v>
      </c>
      <c r="V575" s="147">
        <f t="shared" si="528"/>
        <v>12.183610596327952</v>
      </c>
      <c r="W575" s="147">
        <f t="shared" si="529"/>
        <v>73.532567600180158</v>
      </c>
      <c r="AC575" s="235">
        <v>161</v>
      </c>
      <c r="AD575" s="235">
        <v>91</v>
      </c>
      <c r="AE575" s="235">
        <v>44</v>
      </c>
      <c r="AF575" s="235">
        <v>15</v>
      </c>
    </row>
    <row r="576" spans="1:32" ht="14.4">
      <c r="A576" s="145" t="s">
        <v>141</v>
      </c>
      <c r="B576" s="1" t="s">
        <v>254</v>
      </c>
      <c r="C576" s="1" t="s">
        <v>338</v>
      </c>
      <c r="D576" s="145" t="s">
        <v>341</v>
      </c>
      <c r="E576" s="147">
        <v>2.5390000000000001</v>
      </c>
      <c r="F576" s="147">
        <v>2.6698718560800598</v>
      </c>
      <c r="G576" s="147">
        <f t="shared" si="519"/>
        <v>4.8000000000000052</v>
      </c>
      <c r="H576" s="147">
        <v>4.5801526717557302</v>
      </c>
      <c r="I576" s="127">
        <v>1242.9000000000001</v>
      </c>
      <c r="J576" s="127">
        <v>739.3</v>
      </c>
      <c r="K576" s="127">
        <v>1243.9000000000001</v>
      </c>
      <c r="L576" s="127">
        <v>64.150000000000006</v>
      </c>
      <c r="M576" s="127">
        <v>63.81</v>
      </c>
      <c r="N576" s="127">
        <v>63.65</v>
      </c>
      <c r="O576" s="127">
        <v>63.63</v>
      </c>
      <c r="P576" s="147">
        <f t="shared" si="524"/>
        <v>63.870000000000005</v>
      </c>
      <c r="Q576" s="79">
        <v>14.08</v>
      </c>
      <c r="R576" s="79">
        <v>2.56</v>
      </c>
      <c r="S576" s="147">
        <f t="shared" si="525"/>
        <v>2.4631391200951245</v>
      </c>
      <c r="T576" s="147">
        <f t="shared" si="526"/>
        <v>2.4559960166468486</v>
      </c>
      <c r="U576" s="148">
        <f t="shared" si="527"/>
        <v>3.2691604313962785</v>
      </c>
      <c r="V576" s="147">
        <f t="shared" si="528"/>
        <v>12.223965201350453</v>
      </c>
      <c r="W576" s="147">
        <f t="shared" si="529"/>
        <v>73.256137615353197</v>
      </c>
      <c r="AC576" s="235">
        <v>161</v>
      </c>
      <c r="AD576" s="235">
        <v>91</v>
      </c>
      <c r="AE576" s="235">
        <v>44</v>
      </c>
      <c r="AF576" s="235">
        <v>15</v>
      </c>
    </row>
    <row r="577" spans="1:32" ht="14.4">
      <c r="A577" s="145" t="s">
        <v>141</v>
      </c>
      <c r="B577" s="1" t="s">
        <v>254</v>
      </c>
      <c r="C577" s="1" t="s">
        <v>338</v>
      </c>
      <c r="D577" s="145" t="s">
        <v>342</v>
      </c>
      <c r="E577" s="147">
        <v>2.5390000000000001</v>
      </c>
      <c r="F577" s="147">
        <v>2.6698718560800598</v>
      </c>
      <c r="G577" s="147">
        <f t="shared" si="519"/>
        <v>4.8000000000000052</v>
      </c>
      <c r="H577" s="147">
        <v>4.5801526717557302</v>
      </c>
      <c r="I577" s="127">
        <v>1242.4000000000001</v>
      </c>
      <c r="J577" s="127">
        <v>734.6</v>
      </c>
      <c r="K577" s="127">
        <v>1243.5</v>
      </c>
      <c r="L577" s="127">
        <v>64.42</v>
      </c>
      <c r="M577" s="127">
        <v>64.42</v>
      </c>
      <c r="N577" s="127">
        <v>64.28</v>
      </c>
      <c r="O577" s="127">
        <v>64.2</v>
      </c>
      <c r="P577" s="147">
        <f t="shared" si="524"/>
        <v>64.373333333333335</v>
      </c>
      <c r="Q577" s="79">
        <v>13.47</v>
      </c>
      <c r="R577" s="79">
        <v>2.2200000000000002</v>
      </c>
      <c r="S577" s="147">
        <f t="shared" si="525"/>
        <v>2.4413440754568678</v>
      </c>
      <c r="T577" s="147">
        <f t="shared" si="526"/>
        <v>2.4342641776380427</v>
      </c>
      <c r="U577" s="148">
        <f t="shared" si="527"/>
        <v>4.125081621187765</v>
      </c>
      <c r="V577" s="147">
        <f t="shared" si="528"/>
        <v>13.000649953339561</v>
      </c>
      <c r="W577" s="147">
        <f t="shared" si="529"/>
        <v>68.270189290589059</v>
      </c>
      <c r="AC577" s="235">
        <v>161</v>
      </c>
      <c r="AD577" s="235">
        <v>91</v>
      </c>
      <c r="AE577" s="235">
        <v>44</v>
      </c>
      <c r="AF577" s="235">
        <v>15</v>
      </c>
    </row>
    <row r="578" spans="1:32" ht="14.4">
      <c r="A578" s="145" t="s">
        <v>141</v>
      </c>
      <c r="B578" s="1" t="s">
        <v>255</v>
      </c>
      <c r="C578" s="1" t="s">
        <v>352</v>
      </c>
      <c r="D578" s="145" t="s">
        <v>337</v>
      </c>
      <c r="E578" s="147">
        <v>2.5590000000000002</v>
      </c>
      <c r="F578" s="147">
        <v>2.6698718560800598</v>
      </c>
      <c r="G578" s="147">
        <f t="shared" si="519"/>
        <v>4.8000000000000052</v>
      </c>
      <c r="H578" s="147">
        <v>4.5801526717557302</v>
      </c>
      <c r="I578" s="127">
        <v>1248.5999999999999</v>
      </c>
      <c r="J578" s="127">
        <v>748.1</v>
      </c>
      <c r="K578" s="127">
        <v>1249.8</v>
      </c>
      <c r="L578" s="127">
        <v>63.09</v>
      </c>
      <c r="M578" s="127">
        <v>62.89</v>
      </c>
      <c r="N578" s="127">
        <v>63.14</v>
      </c>
      <c r="O578" s="127">
        <v>63.28</v>
      </c>
      <c r="P578" s="147">
        <f t="shared" si="524"/>
        <v>63.04</v>
      </c>
      <c r="Q578" s="79">
        <v>10.06</v>
      </c>
      <c r="R578" s="79">
        <v>2.4700000000000002</v>
      </c>
      <c r="S578" s="147">
        <f t="shared" si="525"/>
        <v>2.4887382898146306</v>
      </c>
      <c r="T578" s="147">
        <f t="shared" si="526"/>
        <v>2.4815209487741683</v>
      </c>
      <c r="U578" s="148">
        <f t="shared" si="527"/>
        <v>3.0277081370000736</v>
      </c>
      <c r="V578" s="147">
        <f t="shared" si="528"/>
        <v>11.311717251657257</v>
      </c>
      <c r="W578" s="147">
        <f t="shared" si="529"/>
        <v>73.233877141364275</v>
      </c>
      <c r="X578" s="132">
        <f>AVERAGE(S578:S582)</f>
        <v>2.4973515671371764</v>
      </c>
      <c r="Y578" s="132">
        <f t="shared" ref="Y578" si="534">AVERAGE(T578:T582)</f>
        <v>2.4901092475924784</v>
      </c>
      <c r="Z578" s="133">
        <f t="shared" ref="Z578" si="535">AVERAGE(U578:U582)</f>
        <v>2.6845189412610604</v>
      </c>
      <c r="AA578" s="132">
        <f t="shared" ref="AA578" si="536">AVERAGE(V578:V582)</f>
        <v>11.004775867865259</v>
      </c>
      <c r="AB578" s="132">
        <f t="shared" ref="AB578" si="537">AVERAGE(W578:W582)</f>
        <v>75.687773826077532</v>
      </c>
      <c r="AC578" s="235">
        <v>161</v>
      </c>
      <c r="AD578" s="235">
        <v>91</v>
      </c>
      <c r="AE578" s="235">
        <v>44</v>
      </c>
      <c r="AF578" s="235">
        <v>15</v>
      </c>
    </row>
    <row r="579" spans="1:32" ht="14.4">
      <c r="A579" s="145" t="s">
        <v>141</v>
      </c>
      <c r="B579" s="1" t="s">
        <v>255</v>
      </c>
      <c r="C579" s="1" t="s">
        <v>352</v>
      </c>
      <c r="D579" s="145" t="s">
        <v>339</v>
      </c>
      <c r="E579" s="147">
        <v>2.5590000000000002</v>
      </c>
      <c r="F579" s="147">
        <v>2.6698718560800598</v>
      </c>
      <c r="G579" s="147">
        <f t="shared" si="519"/>
        <v>4.8000000000000052</v>
      </c>
      <c r="H579" s="147">
        <v>4.5801526717557302</v>
      </c>
      <c r="I579" s="127">
        <v>1261.5999999999999</v>
      </c>
      <c r="J579" s="127">
        <v>756.6</v>
      </c>
      <c r="K579" s="127">
        <v>1262.7</v>
      </c>
      <c r="L579" s="127">
        <v>62.96</v>
      </c>
      <c r="M579" s="127">
        <v>63.49</v>
      </c>
      <c r="N579" s="127">
        <v>63.45</v>
      </c>
      <c r="O579" s="127">
        <v>63.21</v>
      </c>
      <c r="P579" s="147">
        <f t="shared" si="524"/>
        <v>63.300000000000004</v>
      </c>
      <c r="Q579" s="79">
        <v>12.37</v>
      </c>
      <c r="R579" s="79">
        <v>2.0699999999999998</v>
      </c>
      <c r="S579" s="147">
        <f t="shared" si="525"/>
        <v>2.4927879865639198</v>
      </c>
      <c r="T579" s="147">
        <f t="shared" si="526"/>
        <v>2.4855589014028845</v>
      </c>
      <c r="U579" s="148">
        <f t="shared" si="527"/>
        <v>2.8699139740959612</v>
      </c>
      <c r="V579" s="147">
        <f t="shared" si="528"/>
        <v>11.167402900961591</v>
      </c>
      <c r="W579" s="147">
        <f t="shared" si="529"/>
        <v>74.300972217552555</v>
      </c>
      <c r="AC579" s="235">
        <v>161</v>
      </c>
      <c r="AD579" s="235">
        <v>91</v>
      </c>
      <c r="AE579" s="235">
        <v>44</v>
      </c>
      <c r="AF579" s="235">
        <v>15</v>
      </c>
    </row>
    <row r="580" spans="1:32" ht="14.4">
      <c r="A580" s="145" t="s">
        <v>141</v>
      </c>
      <c r="B580" s="1" t="s">
        <v>255</v>
      </c>
      <c r="C580" s="1" t="s">
        <v>352</v>
      </c>
      <c r="D580" s="145" t="s">
        <v>340</v>
      </c>
      <c r="E580" s="147">
        <v>2.5590000000000002</v>
      </c>
      <c r="F580" s="147">
        <v>2.6698718560800598</v>
      </c>
      <c r="G580" s="147">
        <f t="shared" si="519"/>
        <v>4.8000000000000052</v>
      </c>
      <c r="H580" s="147">
        <v>4.5801526717557302</v>
      </c>
      <c r="I580" s="127">
        <v>1249.5999999999999</v>
      </c>
      <c r="J580" s="127">
        <v>748.6</v>
      </c>
      <c r="K580" s="127">
        <v>1246.4000000000001</v>
      </c>
      <c r="L580" s="127">
        <v>63.35</v>
      </c>
      <c r="M580" s="127">
        <v>64.12</v>
      </c>
      <c r="N580" s="127">
        <v>63.67</v>
      </c>
      <c r="O580" s="127">
        <v>63.31</v>
      </c>
      <c r="P580" s="147">
        <f t="shared" si="524"/>
        <v>63.713333333333331</v>
      </c>
      <c r="Q580" s="79">
        <v>9.1199999999999992</v>
      </c>
      <c r="R580" s="79">
        <v>2.25</v>
      </c>
      <c r="S580" s="147">
        <f t="shared" si="525"/>
        <v>2.5102450783447163</v>
      </c>
      <c r="T580" s="147">
        <f t="shared" si="526"/>
        <v>2.5029653676175165</v>
      </c>
      <c r="U580" s="148">
        <f t="shared" si="527"/>
        <v>2.1897081821994346</v>
      </c>
      <c r="V580" s="147">
        <f t="shared" si="528"/>
        <v>10.545304748594461</v>
      </c>
      <c r="W580" s="147">
        <f t="shared" si="529"/>
        <v>79.235230897511116</v>
      </c>
      <c r="AC580" s="235">
        <v>161</v>
      </c>
      <c r="AD580" s="235">
        <v>91</v>
      </c>
      <c r="AE580" s="235">
        <v>44</v>
      </c>
      <c r="AF580" s="235">
        <v>15</v>
      </c>
    </row>
    <row r="581" spans="1:32" ht="14.4">
      <c r="A581" s="145" t="s">
        <v>141</v>
      </c>
      <c r="B581" s="1" t="s">
        <v>255</v>
      </c>
      <c r="C581" s="1" t="s">
        <v>352</v>
      </c>
      <c r="D581" s="145" t="s">
        <v>341</v>
      </c>
      <c r="E581" s="147">
        <v>2.5590000000000002</v>
      </c>
      <c r="F581" s="147">
        <v>2.6698718560800598</v>
      </c>
      <c r="G581" s="147">
        <f t="shared" si="519"/>
        <v>4.8000000000000052</v>
      </c>
      <c r="H581" s="147">
        <v>4.5801526717557302</v>
      </c>
      <c r="I581" s="127">
        <v>1232.5</v>
      </c>
      <c r="J581" s="127">
        <v>742</v>
      </c>
      <c r="K581" s="127">
        <v>1233.5</v>
      </c>
      <c r="L581" s="127">
        <v>64.150000000000006</v>
      </c>
      <c r="M581" s="127">
        <v>63.81</v>
      </c>
      <c r="N581" s="127">
        <v>63.65</v>
      </c>
      <c r="O581" s="127">
        <v>63.63</v>
      </c>
      <c r="P581" s="147">
        <f t="shared" si="524"/>
        <v>63.870000000000005</v>
      </c>
      <c r="Q581" s="79">
        <v>12.88</v>
      </c>
      <c r="R581" s="79">
        <v>2.56</v>
      </c>
      <c r="S581" s="147">
        <f t="shared" si="525"/>
        <v>2.5076297049847405</v>
      </c>
      <c r="T581" s="147">
        <f t="shared" si="526"/>
        <v>2.5003575788402848</v>
      </c>
      <c r="U581" s="148">
        <f t="shared" si="527"/>
        <v>2.2916147385586338</v>
      </c>
      <c r="V581" s="147">
        <f t="shared" si="528"/>
        <v>10.638505778606842</v>
      </c>
      <c r="W581" s="147">
        <f t="shared" si="529"/>
        <v>78.459242432646121</v>
      </c>
      <c r="AC581" s="235">
        <v>161</v>
      </c>
      <c r="AD581" s="235">
        <v>91</v>
      </c>
      <c r="AE581" s="235">
        <v>44</v>
      </c>
      <c r="AF581" s="235">
        <v>15</v>
      </c>
    </row>
    <row r="582" spans="1:32" ht="14.4">
      <c r="A582" s="145" t="s">
        <v>141</v>
      </c>
      <c r="B582" s="1" t="s">
        <v>255</v>
      </c>
      <c r="C582" s="1" t="s">
        <v>353</v>
      </c>
      <c r="D582" s="145" t="s">
        <v>337</v>
      </c>
      <c r="E582" s="147">
        <v>2.5579999999999998</v>
      </c>
      <c r="F582" s="147">
        <v>2.6698718560800598</v>
      </c>
      <c r="G582" s="147">
        <f t="shared" si="519"/>
        <v>4.8000000000000052</v>
      </c>
      <c r="H582" s="147">
        <v>4.5801526717557302</v>
      </c>
      <c r="I582" s="127">
        <v>1259.0999999999999</v>
      </c>
      <c r="J582" s="127">
        <v>754.7</v>
      </c>
      <c r="K582" s="127">
        <v>1260.9000000000001</v>
      </c>
      <c r="L582" s="127">
        <v>63.09</v>
      </c>
      <c r="M582" s="127">
        <v>62.89</v>
      </c>
      <c r="N582" s="127">
        <v>63.14</v>
      </c>
      <c r="O582" s="127">
        <v>63.28</v>
      </c>
      <c r="P582" s="147">
        <f t="shared" si="524"/>
        <v>63.04</v>
      </c>
      <c r="Q582" s="79">
        <v>15.12</v>
      </c>
      <c r="R582" s="79">
        <v>1.42</v>
      </c>
      <c r="S582" s="147">
        <f t="shared" si="525"/>
        <v>2.4873567759778741</v>
      </c>
      <c r="T582" s="147">
        <f t="shared" si="526"/>
        <v>2.4801434413275381</v>
      </c>
      <c r="U582" s="148">
        <f t="shared" si="527"/>
        <v>3.0436496744511987</v>
      </c>
      <c r="V582" s="147">
        <f t="shared" si="528"/>
        <v>11.36094865950615</v>
      </c>
      <c r="W582" s="147">
        <f t="shared" si="529"/>
        <v>73.209546441313606</v>
      </c>
      <c r="X582" s="132">
        <f>AVERAGE(S582:S586)</f>
        <v>2.4924620959286821</v>
      </c>
      <c r="Y582" s="132">
        <f t="shared" ref="Y582" si="538">AVERAGE(T582:T586)</f>
        <v>2.485233955850489</v>
      </c>
      <c r="Z582" s="133">
        <f t="shared" ref="Z582" si="539">AVERAGE(U582:U586)</f>
        <v>2.844645979261569</v>
      </c>
      <c r="AA582" s="132">
        <f t="shared" ref="AA582" si="540">AVERAGE(V582:V586)</f>
        <v>11.179016287922087</v>
      </c>
      <c r="AB582" s="132">
        <f t="shared" ref="AB582" si="541">AVERAGE(W582:W586)</f>
        <v>74.571708969947565</v>
      </c>
      <c r="AC582" s="236">
        <v>258</v>
      </c>
      <c r="AD582" s="235">
        <v>72.2</v>
      </c>
      <c r="AE582" s="235">
        <v>47.6</v>
      </c>
      <c r="AF582" s="235">
        <v>8.1999999999999993</v>
      </c>
    </row>
    <row r="583" spans="1:32" ht="14.4">
      <c r="A583" s="145" t="s">
        <v>141</v>
      </c>
      <c r="B583" s="1" t="s">
        <v>255</v>
      </c>
      <c r="C583" s="1" t="s">
        <v>353</v>
      </c>
      <c r="D583" s="145" t="s">
        <v>339</v>
      </c>
      <c r="E583" s="147">
        <v>2.5579999999999998</v>
      </c>
      <c r="F583" s="147">
        <v>2.6698718560800598</v>
      </c>
      <c r="G583" s="147">
        <f t="shared" si="519"/>
        <v>4.8000000000000052</v>
      </c>
      <c r="H583" s="147">
        <v>4.5801526717557302</v>
      </c>
      <c r="I583" s="127">
        <v>1247.7</v>
      </c>
      <c r="J583" s="127">
        <v>747.7</v>
      </c>
      <c r="K583" s="127">
        <v>1249.5</v>
      </c>
      <c r="L583" s="127">
        <v>62.96</v>
      </c>
      <c r="M583" s="127">
        <v>63.49</v>
      </c>
      <c r="N583" s="127">
        <v>63.45</v>
      </c>
      <c r="O583" s="127">
        <v>63.21</v>
      </c>
      <c r="P583" s="147">
        <f t="shared" si="524"/>
        <v>63.300000000000004</v>
      </c>
      <c r="Q583" s="79">
        <v>13.81</v>
      </c>
      <c r="R583" s="79">
        <v>1.45</v>
      </c>
      <c r="S583" s="147">
        <f t="shared" si="525"/>
        <v>2.4864487843762459</v>
      </c>
      <c r="T583" s="147">
        <f t="shared" si="526"/>
        <v>2.479238082901555</v>
      </c>
      <c r="U583" s="148">
        <f t="shared" si="527"/>
        <v>3.0790428889149624</v>
      </c>
      <c r="V583" s="147">
        <f t="shared" si="528"/>
        <v>11.393305704129048</v>
      </c>
      <c r="W583" s="147">
        <f t="shared" si="529"/>
        <v>72.974982249452964</v>
      </c>
      <c r="AC583" s="236">
        <v>258</v>
      </c>
      <c r="AD583" s="235">
        <v>72.2</v>
      </c>
      <c r="AE583" s="235">
        <v>47.6</v>
      </c>
      <c r="AF583" s="235">
        <v>8.1999999999999993</v>
      </c>
    </row>
    <row r="584" spans="1:32" ht="14.4">
      <c r="A584" s="145" t="s">
        <v>141</v>
      </c>
      <c r="B584" s="1" t="s">
        <v>255</v>
      </c>
      <c r="C584" s="1" t="s">
        <v>353</v>
      </c>
      <c r="D584" s="145" t="s">
        <v>340</v>
      </c>
      <c r="E584" s="147">
        <v>2.5579999999999998</v>
      </c>
      <c r="F584" s="147">
        <v>2.6698718560800598</v>
      </c>
      <c r="G584" s="147">
        <f t="shared" si="519"/>
        <v>4.8000000000000052</v>
      </c>
      <c r="H584" s="147">
        <v>4.5801526717557302</v>
      </c>
      <c r="I584" s="127">
        <v>1260.4000000000001</v>
      </c>
      <c r="J584" s="127">
        <v>757.2</v>
      </c>
      <c r="K584" s="127">
        <v>1262.0999999999999</v>
      </c>
      <c r="L584" s="127">
        <v>63.35</v>
      </c>
      <c r="M584" s="127">
        <v>64.12</v>
      </c>
      <c r="N584" s="127">
        <v>63.67</v>
      </c>
      <c r="O584" s="127">
        <v>63.31</v>
      </c>
      <c r="P584" s="147">
        <f t="shared" si="524"/>
        <v>63.713333333333331</v>
      </c>
      <c r="Q584" s="79">
        <v>13.8</v>
      </c>
      <c r="R584" s="79">
        <v>3.44</v>
      </c>
      <c r="S584" s="147">
        <f t="shared" si="525"/>
        <v>2.4963359081006149</v>
      </c>
      <c r="T584" s="147">
        <f t="shared" si="526"/>
        <v>2.4890965339671229</v>
      </c>
      <c r="U584" s="148">
        <f t="shared" si="527"/>
        <v>2.6936460528880768</v>
      </c>
      <c r="V584" s="147">
        <f t="shared" si="528"/>
        <v>11.040969732113311</v>
      </c>
      <c r="W584" s="147">
        <f t="shared" si="529"/>
        <v>75.603175099253747</v>
      </c>
      <c r="AC584" s="236">
        <v>258</v>
      </c>
      <c r="AD584" s="235">
        <v>72.2</v>
      </c>
      <c r="AE584" s="235">
        <v>47.6</v>
      </c>
      <c r="AF584" s="235">
        <v>8.1999999999999993</v>
      </c>
    </row>
    <row r="585" spans="1:32" ht="14.4">
      <c r="A585" s="145" t="s">
        <v>141</v>
      </c>
      <c r="B585" s="1" t="s">
        <v>255</v>
      </c>
      <c r="C585" s="1" t="s">
        <v>353</v>
      </c>
      <c r="D585" s="145" t="s">
        <v>341</v>
      </c>
      <c r="E585" s="147">
        <v>2.5579999999999998</v>
      </c>
      <c r="F585" s="147">
        <v>2.6698718560800598</v>
      </c>
      <c r="G585" s="147">
        <f t="shared" si="519"/>
        <v>4.8000000000000052</v>
      </c>
      <c r="H585" s="147">
        <v>4.5801526717557302</v>
      </c>
      <c r="I585" s="127">
        <v>1260.0999999999999</v>
      </c>
      <c r="J585" s="127">
        <v>756.9</v>
      </c>
      <c r="K585" s="127">
        <v>1261.5</v>
      </c>
      <c r="L585" s="127">
        <v>64.150000000000006</v>
      </c>
      <c r="M585" s="127">
        <v>63.81</v>
      </c>
      <c r="N585" s="127">
        <v>63.65</v>
      </c>
      <c r="O585" s="127">
        <v>63.63</v>
      </c>
      <c r="P585" s="147">
        <f t="shared" si="524"/>
        <v>63.870000000000005</v>
      </c>
      <c r="Q585" s="79">
        <v>14.08</v>
      </c>
      <c r="R585" s="79">
        <v>1.55</v>
      </c>
      <c r="S585" s="147">
        <f t="shared" si="525"/>
        <v>2.4972255251684499</v>
      </c>
      <c r="T585" s="147">
        <f t="shared" si="526"/>
        <v>2.4899835711454612</v>
      </c>
      <c r="U585" s="148">
        <f t="shared" si="527"/>
        <v>2.6589690717176984</v>
      </c>
      <c r="V585" s="147">
        <f t="shared" si="528"/>
        <v>11.009267479460718</v>
      </c>
      <c r="W585" s="147">
        <f t="shared" si="529"/>
        <v>75.847901990951115</v>
      </c>
      <c r="AC585" s="236">
        <v>258</v>
      </c>
      <c r="AD585" s="235">
        <v>72.2</v>
      </c>
      <c r="AE585" s="235">
        <v>47.6</v>
      </c>
      <c r="AF585" s="235">
        <v>8.1999999999999993</v>
      </c>
    </row>
    <row r="586" spans="1:32" ht="14.4">
      <c r="A586" s="145" t="s">
        <v>141</v>
      </c>
      <c r="B586" s="1" t="s">
        <v>255</v>
      </c>
      <c r="C586" s="1" t="s">
        <v>353</v>
      </c>
      <c r="D586" s="145" t="s">
        <v>342</v>
      </c>
      <c r="E586" s="147">
        <v>2.5579999999999998</v>
      </c>
      <c r="F586" s="147">
        <v>2.6698718560800598</v>
      </c>
      <c r="G586" s="147">
        <f t="shared" si="519"/>
        <v>4.8000000000000052</v>
      </c>
      <c r="H586" s="147">
        <v>4.5801526717557302</v>
      </c>
      <c r="I586" s="127">
        <v>1258.2</v>
      </c>
      <c r="J586" s="127">
        <v>755.6</v>
      </c>
      <c r="K586" s="127">
        <v>1259.9000000000001</v>
      </c>
      <c r="L586" s="127">
        <v>63.35</v>
      </c>
      <c r="M586" s="127">
        <v>64.12</v>
      </c>
      <c r="N586" s="127">
        <v>63.67</v>
      </c>
      <c r="O586" s="127">
        <v>63.31</v>
      </c>
      <c r="P586" s="147">
        <f t="shared" si="524"/>
        <v>63.713333333333331</v>
      </c>
      <c r="Q586" s="79">
        <v>9.1199999999999992</v>
      </c>
      <c r="R586" s="79">
        <v>2.25</v>
      </c>
      <c r="S586" s="147">
        <f t="shared" si="525"/>
        <v>2.494943486020226</v>
      </c>
      <c r="T586" s="147">
        <f t="shared" si="526"/>
        <v>2.4877081499107674</v>
      </c>
      <c r="U586" s="148">
        <f t="shared" si="527"/>
        <v>2.7479222083359067</v>
      </c>
      <c r="V586" s="147">
        <f t="shared" si="528"/>
        <v>11.09058986440121</v>
      </c>
      <c r="W586" s="147">
        <f t="shared" si="529"/>
        <v>75.222939068766394</v>
      </c>
      <c r="AC586" s="236">
        <v>258</v>
      </c>
      <c r="AD586" s="235">
        <v>72.2</v>
      </c>
      <c r="AE586" s="235">
        <v>47.6</v>
      </c>
      <c r="AF586" s="235">
        <v>8.1999999999999993</v>
      </c>
    </row>
    <row r="587" spans="1:32" ht="14.4">
      <c r="A587" s="145" t="s">
        <v>141</v>
      </c>
      <c r="B587" s="1" t="s">
        <v>254</v>
      </c>
      <c r="C587" s="1" t="s">
        <v>338</v>
      </c>
      <c r="D587" s="145" t="s">
        <v>337</v>
      </c>
      <c r="E587" s="147">
        <v>2.5390000000000001</v>
      </c>
      <c r="F587" s="147">
        <v>2.6698718560800598</v>
      </c>
      <c r="G587" s="147">
        <f t="shared" si="519"/>
        <v>4.8000000000000052</v>
      </c>
      <c r="H587" s="147">
        <v>4.5801526717557302</v>
      </c>
      <c r="I587" s="127">
        <v>1213.0999999999999</v>
      </c>
      <c r="J587" s="127">
        <v>716.8</v>
      </c>
      <c r="K587" s="127">
        <v>1216.0999999999999</v>
      </c>
      <c r="L587" s="127">
        <v>64.44</v>
      </c>
      <c r="M587" s="127">
        <v>63.92</v>
      </c>
      <c r="N587" s="127">
        <v>64.430000000000007</v>
      </c>
      <c r="O587" s="127">
        <v>64.2</v>
      </c>
      <c r="P587" s="147">
        <f t="shared" si="524"/>
        <v>64.263333333333335</v>
      </c>
      <c r="Q587" s="79">
        <v>12.39</v>
      </c>
      <c r="R587" s="79">
        <v>1.3</v>
      </c>
      <c r="S587" s="147">
        <f t="shared" si="525"/>
        <v>2.4296014420188263</v>
      </c>
      <c r="T587" s="147">
        <f t="shared" si="526"/>
        <v>2.4225555978369715</v>
      </c>
      <c r="U587" s="148">
        <f t="shared" si="527"/>
        <v>4.5862308847195221</v>
      </c>
      <c r="V587" s="147">
        <f t="shared" si="528"/>
        <v>13.419108575053755</v>
      </c>
      <c r="W587" s="147">
        <f t="shared" si="529"/>
        <v>65.823133041449807</v>
      </c>
      <c r="X587" s="132">
        <f>AVERAGE(S587:S591)</f>
        <v>2.4364206838969786</v>
      </c>
      <c r="Y587" s="132">
        <f t="shared" ref="Y587" si="542">AVERAGE(T587:T591)</f>
        <v>2.4293550639136776</v>
      </c>
      <c r="Z587" s="133">
        <f>AVERAGE(U587:U590)</f>
        <v>4.2638529428959462</v>
      </c>
      <c r="AA587" s="132">
        <f t="shared" ref="AA587" si="543">AVERAGE(V587:V591)</f>
        <v>13.176099153655752</v>
      </c>
      <c r="AB587" s="132">
        <f t="shared" ref="AB587" si="544">AVERAGE(W587:W591)</f>
        <v>67.263252579218786</v>
      </c>
      <c r="AC587" s="235">
        <v>161</v>
      </c>
      <c r="AD587" s="235">
        <v>91</v>
      </c>
      <c r="AE587" s="235">
        <v>44</v>
      </c>
      <c r="AF587" s="235">
        <v>15</v>
      </c>
    </row>
    <row r="588" spans="1:32" ht="14.4">
      <c r="A588" s="145" t="s">
        <v>141</v>
      </c>
      <c r="B588" s="1" t="s">
        <v>254</v>
      </c>
      <c r="C588" s="1" t="s">
        <v>338</v>
      </c>
      <c r="D588" s="145" t="s">
        <v>339</v>
      </c>
      <c r="E588" s="147">
        <v>2.5390000000000001</v>
      </c>
      <c r="F588" s="147">
        <v>2.6698718560800598</v>
      </c>
      <c r="G588" s="147">
        <f t="shared" si="519"/>
        <v>4.8000000000000052</v>
      </c>
      <c r="H588" s="147">
        <v>4.5801526717557302</v>
      </c>
      <c r="I588" s="127">
        <v>1219.9000000000001</v>
      </c>
      <c r="J588" s="127">
        <v>720.1</v>
      </c>
      <c r="K588" s="127">
        <v>1221.8</v>
      </c>
      <c r="L588" s="127">
        <v>63.45</v>
      </c>
      <c r="M588" s="127">
        <v>63.06</v>
      </c>
      <c r="N588" s="127">
        <v>63.36</v>
      </c>
      <c r="O588" s="127">
        <v>63.63</v>
      </c>
      <c r="P588" s="147">
        <f t="shared" si="524"/>
        <v>63.29</v>
      </c>
      <c r="Q588" s="79">
        <v>13.98</v>
      </c>
      <c r="R588" s="79">
        <v>1.25</v>
      </c>
      <c r="S588" s="147">
        <f t="shared" si="525"/>
        <v>2.4315327885190356</v>
      </c>
      <c r="T588" s="147">
        <f t="shared" si="526"/>
        <v>2.4244813434323302</v>
      </c>
      <c r="U588" s="148">
        <f t="shared" si="527"/>
        <v>4.5103842681240565</v>
      </c>
      <c r="V588" s="147">
        <f t="shared" si="528"/>
        <v>13.350283417665139</v>
      </c>
      <c r="W588" s="147">
        <f t="shared" si="529"/>
        <v>66.215067298452254</v>
      </c>
      <c r="AC588" s="235">
        <v>161</v>
      </c>
      <c r="AD588" s="235">
        <v>91</v>
      </c>
      <c r="AE588" s="235">
        <v>44</v>
      </c>
      <c r="AF588" s="235">
        <v>15</v>
      </c>
    </row>
    <row r="589" spans="1:32" ht="14.4">
      <c r="A589" s="145" t="s">
        <v>141</v>
      </c>
      <c r="B589" s="1" t="s">
        <v>254</v>
      </c>
      <c r="C589" s="1" t="s">
        <v>338</v>
      </c>
      <c r="D589" s="145" t="s">
        <v>340</v>
      </c>
      <c r="E589" s="147">
        <v>2.5390000000000001</v>
      </c>
      <c r="F589" s="147">
        <v>2.6698718560800598</v>
      </c>
      <c r="G589" s="147">
        <f t="shared" si="519"/>
        <v>4.8000000000000052</v>
      </c>
      <c r="H589" s="147">
        <v>4.5801526717557302</v>
      </c>
      <c r="I589" s="127">
        <v>1217.3</v>
      </c>
      <c r="J589" s="127">
        <v>722.2</v>
      </c>
      <c r="K589" s="127">
        <v>1218.8</v>
      </c>
      <c r="L589" s="127">
        <v>63.06</v>
      </c>
      <c r="M589" s="127">
        <v>62.47</v>
      </c>
      <c r="N589" s="127">
        <v>62.9</v>
      </c>
      <c r="O589" s="127">
        <v>62.87</v>
      </c>
      <c r="P589" s="147">
        <f t="shared" si="524"/>
        <v>62.81</v>
      </c>
      <c r="Q589" s="79">
        <v>14.48</v>
      </c>
      <c r="R589" s="79">
        <v>1.38</v>
      </c>
      <c r="S589" s="147">
        <f t="shared" si="525"/>
        <v>2.4512686266612973</v>
      </c>
      <c r="T589" s="147">
        <f t="shared" si="526"/>
        <v>2.4441599476439797</v>
      </c>
      <c r="U589" s="148">
        <f t="shared" si="527"/>
        <v>3.7353309317062044</v>
      </c>
      <c r="V589" s="147">
        <f t="shared" si="528"/>
        <v>12.64698022158386</v>
      </c>
      <c r="W589" s="147">
        <f t="shared" si="529"/>
        <v>70.464641627798756</v>
      </c>
      <c r="AC589" s="235">
        <v>161</v>
      </c>
      <c r="AD589" s="235">
        <v>91</v>
      </c>
      <c r="AE589" s="235">
        <v>44</v>
      </c>
      <c r="AF589" s="235">
        <v>15</v>
      </c>
    </row>
    <row r="590" spans="1:32" ht="14.4">
      <c r="A590" s="145" t="s">
        <v>141</v>
      </c>
      <c r="B590" s="1" t="s">
        <v>254</v>
      </c>
      <c r="C590" s="1" t="s">
        <v>338</v>
      </c>
      <c r="D590" s="145" t="s">
        <v>341</v>
      </c>
      <c r="E590" s="147">
        <v>2.5390000000000001</v>
      </c>
      <c r="F590" s="147">
        <v>2.6698718560800598</v>
      </c>
      <c r="G590" s="147">
        <f t="shared" si="519"/>
        <v>4.8000000000000052</v>
      </c>
      <c r="H590" s="147">
        <v>4.5801526717557302</v>
      </c>
      <c r="I590" s="127">
        <v>1218.2</v>
      </c>
      <c r="J590" s="127">
        <v>720.6</v>
      </c>
      <c r="K590" s="127">
        <v>1220.0999999999999</v>
      </c>
      <c r="L590" s="127">
        <v>63.27</v>
      </c>
      <c r="M590" s="127">
        <v>63.57</v>
      </c>
      <c r="N590" s="127">
        <v>63.44</v>
      </c>
      <c r="O590" s="127">
        <v>63.23</v>
      </c>
      <c r="P590" s="147">
        <f t="shared" si="524"/>
        <v>63.426666666666669</v>
      </c>
      <c r="Q590" s="79">
        <v>13.4</v>
      </c>
      <c r="R590" s="79">
        <v>1.1100000000000001</v>
      </c>
      <c r="S590" s="147">
        <f t="shared" si="525"/>
        <v>2.4388388388388393</v>
      </c>
      <c r="T590" s="147">
        <f t="shared" si="526"/>
        <v>2.4317662062062069</v>
      </c>
      <c r="U590" s="148">
        <f t="shared" si="527"/>
        <v>4.2234656870340004</v>
      </c>
      <c r="V590" s="147">
        <f t="shared" si="528"/>
        <v>13.089926167893935</v>
      </c>
      <c r="W590" s="147">
        <f t="shared" si="529"/>
        <v>67.734992292064831</v>
      </c>
      <c r="AC590" s="235">
        <v>161</v>
      </c>
      <c r="AD590" s="235">
        <v>91</v>
      </c>
      <c r="AE590" s="235">
        <v>44</v>
      </c>
      <c r="AF590" s="235">
        <v>15</v>
      </c>
    </row>
    <row r="591" spans="1:32" ht="14.4">
      <c r="A591" s="145" t="s">
        <v>141</v>
      </c>
      <c r="B591" s="1" t="s">
        <v>254</v>
      </c>
      <c r="C591" s="1" t="s">
        <v>354</v>
      </c>
      <c r="D591" s="145" t="s">
        <v>337</v>
      </c>
      <c r="E591" s="147">
        <v>2.5390000000000001</v>
      </c>
      <c r="F591" s="147">
        <v>2.6698718560800598</v>
      </c>
      <c r="G591" s="147">
        <f t="shared" si="519"/>
        <v>4.8000000000000052</v>
      </c>
      <c r="H591" s="147">
        <v>4.5801526717557302</v>
      </c>
      <c r="I591" s="127">
        <v>1213</v>
      </c>
      <c r="J591" s="127">
        <v>715.2</v>
      </c>
      <c r="K591" s="127">
        <v>1214.2</v>
      </c>
      <c r="L591" s="127">
        <v>64.78</v>
      </c>
      <c r="M591" s="127">
        <v>64.989999999999995</v>
      </c>
      <c r="N591" s="127">
        <v>64.599999999999994</v>
      </c>
      <c r="O591" s="127">
        <v>64.59</v>
      </c>
      <c r="P591" s="147">
        <f t="shared" si="524"/>
        <v>64.789999999999992</v>
      </c>
      <c r="Q591" s="79">
        <v>10.6</v>
      </c>
      <c r="R591" s="79">
        <v>1.42</v>
      </c>
      <c r="S591" s="147">
        <f t="shared" si="525"/>
        <v>2.4308617234468937</v>
      </c>
      <c r="T591" s="147">
        <f t="shared" si="526"/>
        <v>2.4238122244488975</v>
      </c>
      <c r="U591" s="148">
        <f t="shared" si="527"/>
        <v>4.5367379106381449</v>
      </c>
      <c r="V591" s="147">
        <f t="shared" si="528"/>
        <v>13.374197386082074</v>
      </c>
      <c r="W591" s="147">
        <f t="shared" si="529"/>
        <v>66.078428636328297</v>
      </c>
      <c r="X591" s="132">
        <f>AVERAGE(S591:S595)</f>
        <v>2.4461265534488925</v>
      </c>
      <c r="Y591" s="132">
        <f t="shared" ref="Y591" si="545">AVERAGE(T591:T595)</f>
        <v>2.439032786443891</v>
      </c>
      <c r="Z591" s="133">
        <f>AVERAGE(U591:U594)</f>
        <v>4.1328418613408973</v>
      </c>
      <c r="AA591" s="132">
        <f t="shared" ref="AA591" si="546">AVERAGE(V591:V595)</f>
        <v>12.944829300199412</v>
      </c>
      <c r="AB591" s="132">
        <f t="shared" ref="AB591" si="547">AVERAGE(W591:W595)</f>
        <v>68.486072824108689</v>
      </c>
      <c r="AC591" s="236">
        <v>258</v>
      </c>
      <c r="AD591" s="235">
        <v>72.2</v>
      </c>
      <c r="AE591" s="235">
        <v>47.6</v>
      </c>
      <c r="AF591" s="235">
        <v>8.1999999999999993</v>
      </c>
    </row>
    <row r="592" spans="1:32" ht="14.4">
      <c r="A592" s="145" t="s">
        <v>141</v>
      </c>
      <c r="B592" s="1" t="s">
        <v>254</v>
      </c>
      <c r="C592" s="1" t="s">
        <v>354</v>
      </c>
      <c r="D592" s="145" t="s">
        <v>339</v>
      </c>
      <c r="E592" s="147">
        <v>2.5390000000000001</v>
      </c>
      <c r="F592" s="147">
        <v>2.6698718560800598</v>
      </c>
      <c r="G592" s="147">
        <f t="shared" si="519"/>
        <v>4.8000000000000052</v>
      </c>
      <c r="H592" s="147">
        <v>4.5801526717557302</v>
      </c>
      <c r="I592" s="127">
        <v>1240.8</v>
      </c>
      <c r="J592" s="127">
        <v>731.6</v>
      </c>
      <c r="K592" s="127">
        <v>1242.3</v>
      </c>
      <c r="L592" s="127">
        <v>65.239999999999995</v>
      </c>
      <c r="M592" s="127">
        <v>65.19</v>
      </c>
      <c r="N592" s="127">
        <v>64.84</v>
      </c>
      <c r="O592" s="127">
        <v>64.95</v>
      </c>
      <c r="P592" s="147">
        <f t="shared" si="524"/>
        <v>65.09</v>
      </c>
      <c r="Q592" s="79">
        <v>12.37</v>
      </c>
      <c r="R592" s="79">
        <v>1.45</v>
      </c>
      <c r="S592" s="147">
        <f t="shared" si="525"/>
        <v>2.4296064225572747</v>
      </c>
      <c r="T592" s="147">
        <f t="shared" si="526"/>
        <v>2.4225605639318584</v>
      </c>
      <c r="U592" s="148">
        <f t="shared" si="527"/>
        <v>4.586035292167856</v>
      </c>
      <c r="V592" s="147">
        <f t="shared" si="528"/>
        <v>13.418931089375988</v>
      </c>
      <c r="W592" s="147">
        <f t="shared" si="529"/>
        <v>65.824138587322324</v>
      </c>
      <c r="AC592" s="236">
        <v>258</v>
      </c>
      <c r="AD592" s="235">
        <v>72.2</v>
      </c>
      <c r="AE592" s="235">
        <v>47.6</v>
      </c>
      <c r="AF592" s="235">
        <v>8.1999999999999993</v>
      </c>
    </row>
    <row r="593" spans="1:32" ht="14.4">
      <c r="A593" s="145" t="s">
        <v>141</v>
      </c>
      <c r="B593" s="1" t="s">
        <v>254</v>
      </c>
      <c r="C593" s="1" t="s">
        <v>354</v>
      </c>
      <c r="D593" s="145" t="s">
        <v>340</v>
      </c>
      <c r="E593" s="147">
        <v>2.5390000000000001</v>
      </c>
      <c r="F593" s="147">
        <v>2.6698718560800598</v>
      </c>
      <c r="G593" s="147">
        <f t="shared" si="519"/>
        <v>4.8000000000000052</v>
      </c>
      <c r="H593" s="147">
        <v>4.5801526717557302</v>
      </c>
      <c r="I593" s="127">
        <v>1227.8</v>
      </c>
      <c r="J593" s="127">
        <v>727.5</v>
      </c>
      <c r="K593" s="127">
        <v>1228.8</v>
      </c>
      <c r="L593" s="127">
        <v>66.72</v>
      </c>
      <c r="M593" s="127">
        <v>65.900000000000006</v>
      </c>
      <c r="N593" s="127">
        <v>66.05</v>
      </c>
      <c r="O593" s="127">
        <v>66.78</v>
      </c>
      <c r="P593" s="147">
        <f t="shared" si="524"/>
        <v>66.223333333333343</v>
      </c>
      <c r="Q593" s="79">
        <v>9.1199999999999992</v>
      </c>
      <c r="R593" s="79">
        <v>3.44</v>
      </c>
      <c r="S593" s="147">
        <f t="shared" si="525"/>
        <v>2.4492319968082987</v>
      </c>
      <c r="T593" s="147">
        <f t="shared" si="526"/>
        <v>2.4421292240175547</v>
      </c>
      <c r="U593" s="148">
        <f t="shared" si="527"/>
        <v>3.8153121694543324</v>
      </c>
      <c r="V593" s="147">
        <f t="shared" si="528"/>
        <v>12.719557239824667</v>
      </c>
      <c r="W593" s="147">
        <f t="shared" si="529"/>
        <v>70.004363379028078</v>
      </c>
      <c r="AC593" s="236">
        <v>258</v>
      </c>
      <c r="AD593" s="235">
        <v>72.2</v>
      </c>
      <c r="AE593" s="235">
        <v>47.6</v>
      </c>
      <c r="AF593" s="235">
        <v>8.1999999999999993</v>
      </c>
    </row>
    <row r="594" spans="1:32" ht="14.4">
      <c r="A594" s="145" t="s">
        <v>141</v>
      </c>
      <c r="B594" s="1" t="s">
        <v>254</v>
      </c>
      <c r="C594" s="1" t="s">
        <v>354</v>
      </c>
      <c r="D594" s="145" t="s">
        <v>341</v>
      </c>
      <c r="E594" s="147">
        <v>2.5390000000000001</v>
      </c>
      <c r="F594" s="147">
        <v>2.6698718560800598</v>
      </c>
      <c r="G594" s="147">
        <f t="shared" si="519"/>
        <v>4.8000000000000052</v>
      </c>
      <c r="H594" s="147">
        <v>4.5801526717557302</v>
      </c>
      <c r="I594" s="127">
        <v>1246.0999999999999</v>
      </c>
      <c r="J594" s="127">
        <v>741.1</v>
      </c>
      <c r="K594" s="127">
        <v>1248.7</v>
      </c>
      <c r="L594" s="127">
        <v>64.75</v>
      </c>
      <c r="M594" s="127">
        <v>65.13</v>
      </c>
      <c r="N594" s="127">
        <v>65.17</v>
      </c>
      <c r="O594" s="127">
        <v>64.7</v>
      </c>
      <c r="P594" s="147">
        <f t="shared" si="524"/>
        <v>65.016666666666666</v>
      </c>
      <c r="Q594" s="79">
        <v>12.88</v>
      </c>
      <c r="R594" s="79">
        <v>2.5499999999999998</v>
      </c>
      <c r="S594" s="147">
        <f t="shared" si="525"/>
        <v>2.4548857368006303</v>
      </c>
      <c r="T594" s="147">
        <f t="shared" si="526"/>
        <v>2.4477665681639085</v>
      </c>
      <c r="U594" s="148">
        <f t="shared" si="527"/>
        <v>3.5932820731032544</v>
      </c>
      <c r="V594" s="147">
        <f t="shared" si="528"/>
        <v>12.518081458671787</v>
      </c>
      <c r="W594" s="147">
        <f t="shared" si="529"/>
        <v>71.295265293116941</v>
      </c>
      <c r="AC594" s="236">
        <v>258</v>
      </c>
      <c r="AD594" s="235">
        <v>72.2</v>
      </c>
      <c r="AE594" s="235">
        <v>47.6</v>
      </c>
      <c r="AF594" s="235">
        <v>8.1999999999999993</v>
      </c>
    </row>
    <row r="595" spans="1:32" ht="14.4">
      <c r="A595" s="1" t="s">
        <v>142</v>
      </c>
      <c r="B595" s="1" t="s">
        <v>218</v>
      </c>
      <c r="C595" s="145" t="s">
        <v>351</v>
      </c>
      <c r="D595" s="1" t="s">
        <v>294</v>
      </c>
      <c r="E595" s="127">
        <v>2.5588433995406001</v>
      </c>
      <c r="F595" s="127">
        <v>2.6873954946687899</v>
      </c>
      <c r="G595" s="127">
        <v>4.8000000000000096</v>
      </c>
      <c r="H595" s="127">
        <v>4.5801526717557302</v>
      </c>
      <c r="I595" s="127">
        <v>1220.2</v>
      </c>
      <c r="J595" s="127">
        <v>728.7</v>
      </c>
      <c r="K595" s="127">
        <v>1223.5</v>
      </c>
      <c r="L595" s="127">
        <v>63.33</v>
      </c>
      <c r="M595" s="127">
        <v>63.28</v>
      </c>
      <c r="N595" s="127">
        <v>63.5</v>
      </c>
      <c r="O595" s="127">
        <v>63.4</v>
      </c>
      <c r="P595" s="127">
        <v>63.377499999999998</v>
      </c>
      <c r="Q595" s="79">
        <v>18.5</v>
      </c>
      <c r="R595" s="79">
        <v>2.3199999999999998</v>
      </c>
      <c r="S595" s="147">
        <f t="shared" si="525"/>
        <v>2.4660468876313666</v>
      </c>
      <c r="T595" s="147">
        <f t="shared" si="526"/>
        <v>2.4588953516572354</v>
      </c>
      <c r="U595" s="148">
        <f t="shared" si="527"/>
        <v>3.9059853331121719</v>
      </c>
      <c r="V595" s="147">
        <f t="shared" si="528"/>
        <v>12.69337932704255</v>
      </c>
      <c r="W595" s="147">
        <f t="shared" si="529"/>
        <v>69.228168224747805</v>
      </c>
      <c r="X595" s="132">
        <f>AVERAGE(S595:S599)</f>
        <v>2.4578412551364517</v>
      </c>
      <c r="Y595" s="132">
        <f t="shared" ref="Y595" si="548">AVERAGE(T595:T599)</f>
        <v>2.4507135154965556</v>
      </c>
      <c r="Z595" s="133">
        <f t="shared" ref="Z595" si="549">AVERAGE(U595:U599)</f>
        <v>4.2257327690884594</v>
      </c>
      <c r="AA595" s="132">
        <f t="shared" ref="AA595" si="550">AVERAGE(V595:V599)</f>
        <v>12.983887203112705</v>
      </c>
      <c r="AB595" s="132">
        <f t="shared" ref="AB595" si="551">AVERAGE(W595:W599)</f>
        <v>67.532995599867917</v>
      </c>
      <c r="AC595" s="235">
        <v>161</v>
      </c>
      <c r="AD595" s="235">
        <v>91</v>
      </c>
      <c r="AE595" s="235">
        <v>44</v>
      </c>
      <c r="AF595" s="235">
        <v>15</v>
      </c>
    </row>
    <row r="596" spans="1:32" ht="14.4">
      <c r="A596" s="1" t="s">
        <v>142</v>
      </c>
      <c r="B596" s="1" t="s">
        <v>218</v>
      </c>
      <c r="C596" s="145" t="s">
        <v>351</v>
      </c>
      <c r="D596" s="1" t="s">
        <v>295</v>
      </c>
      <c r="E596" s="127">
        <v>2.5588433995406001</v>
      </c>
      <c r="F596" s="127">
        <v>2.6873954946687899</v>
      </c>
      <c r="G596" s="127">
        <v>4.8000000000000096</v>
      </c>
      <c r="H596" s="127">
        <v>4.5801526717557302</v>
      </c>
      <c r="I596" s="127">
        <v>1221.5</v>
      </c>
      <c r="J596" s="127">
        <v>730.5</v>
      </c>
      <c r="K596" s="127">
        <v>1224.4000000000001</v>
      </c>
      <c r="L596" s="127">
        <v>63.05</v>
      </c>
      <c r="M596" s="127">
        <v>62.96</v>
      </c>
      <c r="N596" s="127">
        <v>62.6</v>
      </c>
      <c r="O596" s="127">
        <v>62.76</v>
      </c>
      <c r="P596" s="127">
        <v>62.842500000000001</v>
      </c>
      <c r="Q596" s="79">
        <v>17.850000000000001</v>
      </c>
      <c r="R596" s="79">
        <v>2.86</v>
      </c>
      <c r="S596" s="147">
        <f t="shared" si="525"/>
        <v>2.4731727070257135</v>
      </c>
      <c r="T596" s="147">
        <f t="shared" si="526"/>
        <v>2.4660005061753387</v>
      </c>
      <c r="U596" s="148">
        <f t="shared" si="527"/>
        <v>3.6283147840125651</v>
      </c>
      <c r="V596" s="147">
        <f t="shared" si="528"/>
        <v>12.441100583290108</v>
      </c>
      <c r="W596" s="147">
        <f t="shared" si="529"/>
        <v>70.836062615828155</v>
      </c>
      <c r="AC596" s="235">
        <v>161</v>
      </c>
      <c r="AD596" s="235">
        <v>91</v>
      </c>
      <c r="AE596" s="235">
        <v>44</v>
      </c>
      <c r="AF596" s="235">
        <v>15</v>
      </c>
    </row>
    <row r="597" spans="1:32" ht="14.4">
      <c r="A597" s="1" t="s">
        <v>142</v>
      </c>
      <c r="B597" s="1" t="s">
        <v>218</v>
      </c>
      <c r="C597" s="145" t="s">
        <v>351</v>
      </c>
      <c r="D597" s="1" t="s">
        <v>296</v>
      </c>
      <c r="E597" s="127">
        <v>2.5588433995406001</v>
      </c>
      <c r="F597" s="127">
        <v>2.6873954946687899</v>
      </c>
      <c r="G597" s="127">
        <v>4.8000000000000096</v>
      </c>
      <c r="H597" s="127">
        <v>4.5801526717557302</v>
      </c>
      <c r="I597" s="127">
        <v>1220.2</v>
      </c>
      <c r="J597" s="127">
        <v>727.6</v>
      </c>
      <c r="K597" s="127">
        <v>1223.5</v>
      </c>
      <c r="L597" s="127">
        <v>63.44</v>
      </c>
      <c r="M597" s="127">
        <v>63.27</v>
      </c>
      <c r="N597" s="127">
        <v>63.19</v>
      </c>
      <c r="O597" s="127">
        <v>63.11</v>
      </c>
      <c r="P597" s="127">
        <v>63.252499999999998</v>
      </c>
      <c r="Q597" s="79">
        <v>18.87</v>
      </c>
      <c r="R597" s="79">
        <v>2.86</v>
      </c>
      <c r="S597" s="147">
        <f t="shared" si="525"/>
        <v>2.4605767291792704</v>
      </c>
      <c r="T597" s="147">
        <f t="shared" si="526"/>
        <v>2.4534410566646505</v>
      </c>
      <c r="U597" s="148">
        <f t="shared" si="527"/>
        <v>4.1191400339259943</v>
      </c>
      <c r="V597" s="147">
        <f t="shared" si="528"/>
        <v>12.887041925833117</v>
      </c>
      <c r="W597" s="147">
        <f t="shared" si="529"/>
        <v>68.036574586842576</v>
      </c>
      <c r="AC597" s="235">
        <v>161</v>
      </c>
      <c r="AD597" s="235">
        <v>91</v>
      </c>
      <c r="AE597" s="235">
        <v>44</v>
      </c>
      <c r="AF597" s="235">
        <v>15</v>
      </c>
    </row>
    <row r="598" spans="1:32" ht="14.4">
      <c r="A598" s="1" t="s">
        <v>142</v>
      </c>
      <c r="B598" s="1" t="s">
        <v>218</v>
      </c>
      <c r="C598" s="145" t="s">
        <v>351</v>
      </c>
      <c r="D598" s="1" t="s">
        <v>297</v>
      </c>
      <c r="E598" s="127">
        <v>2.5588433995406001</v>
      </c>
      <c r="F598" s="127">
        <v>2.6873954946687899</v>
      </c>
      <c r="G598" s="127">
        <v>4.8000000000000096</v>
      </c>
      <c r="H598" s="127">
        <v>4.5801526717557302</v>
      </c>
      <c r="I598" s="127">
        <v>1224.4000000000001</v>
      </c>
      <c r="J598" s="127">
        <v>728.6</v>
      </c>
      <c r="K598" s="127">
        <v>1228.5999999999999</v>
      </c>
      <c r="L598" s="127">
        <v>63.57</v>
      </c>
      <c r="M598" s="127">
        <v>63.85</v>
      </c>
      <c r="N598" s="127">
        <v>63.79</v>
      </c>
      <c r="O598" s="127">
        <v>63.86</v>
      </c>
      <c r="P598" s="127">
        <v>63.767499999999998</v>
      </c>
      <c r="Q598" s="79">
        <v>14.46</v>
      </c>
      <c r="R598" s="79">
        <v>2.59</v>
      </c>
      <c r="S598" s="147">
        <f t="shared" si="525"/>
        <v>2.4488000000000008</v>
      </c>
      <c r="T598" s="147">
        <f t="shared" si="526"/>
        <v>2.4416984800000008</v>
      </c>
      <c r="U598" s="148">
        <f t="shared" si="527"/>
        <v>4.5780417653394023</v>
      </c>
      <c r="V598" s="147">
        <f t="shared" si="528"/>
        <v>13.303979021546738</v>
      </c>
      <c r="W598" s="147">
        <f t="shared" si="529"/>
        <v>65.588928260297621</v>
      </c>
      <c r="AC598" s="235">
        <v>161</v>
      </c>
      <c r="AD598" s="235">
        <v>91</v>
      </c>
      <c r="AE598" s="235">
        <v>44</v>
      </c>
      <c r="AF598" s="235">
        <v>15</v>
      </c>
    </row>
    <row r="599" spans="1:32" ht="14.4">
      <c r="A599" s="1" t="s">
        <v>142</v>
      </c>
      <c r="B599" s="1" t="s">
        <v>218</v>
      </c>
      <c r="C599" s="145" t="s">
        <v>351</v>
      </c>
      <c r="D599" s="1" t="s">
        <v>298</v>
      </c>
      <c r="E599" s="127">
        <v>2.5588433995406001</v>
      </c>
      <c r="F599" s="127">
        <v>2.6873954946687899</v>
      </c>
      <c r="G599" s="127">
        <v>4.8000000000000096</v>
      </c>
      <c r="H599" s="127">
        <v>4.5801526717557302</v>
      </c>
      <c r="I599" s="127">
        <v>1216.4000000000001</v>
      </c>
      <c r="J599" s="127">
        <v>725.1</v>
      </c>
      <c r="K599" s="127">
        <v>1223.5</v>
      </c>
      <c r="L599" s="127">
        <v>63.92</v>
      </c>
      <c r="M599" s="127">
        <v>64.28</v>
      </c>
      <c r="N599" s="127">
        <v>63.81</v>
      </c>
      <c r="O599" s="127">
        <v>64.010000000000005</v>
      </c>
      <c r="P599" s="127">
        <v>64.004999999999995</v>
      </c>
      <c r="Q599" s="79">
        <v>12.63</v>
      </c>
      <c r="R599" s="79">
        <v>3.72</v>
      </c>
      <c r="S599" s="147">
        <f t="shared" si="525"/>
        <v>2.4406099518459072</v>
      </c>
      <c r="T599" s="147">
        <f t="shared" si="526"/>
        <v>2.4335321829855538</v>
      </c>
      <c r="U599" s="148">
        <f t="shared" si="527"/>
        <v>4.897181929052163</v>
      </c>
      <c r="V599" s="147">
        <f t="shared" si="528"/>
        <v>13.593935157851007</v>
      </c>
      <c r="W599" s="147">
        <f t="shared" si="529"/>
        <v>63.975244311623364</v>
      </c>
      <c r="AC599" s="235">
        <v>161</v>
      </c>
      <c r="AD599" s="235">
        <v>91</v>
      </c>
      <c r="AE599" s="235">
        <v>44</v>
      </c>
      <c r="AF599" s="235">
        <v>15</v>
      </c>
    </row>
    <row r="600" spans="1:32" ht="14.4">
      <c r="A600" s="1" t="s">
        <v>143</v>
      </c>
      <c r="B600" s="1" t="s">
        <v>218</v>
      </c>
      <c r="C600" s="145" t="s">
        <v>351</v>
      </c>
      <c r="D600" s="1" t="s">
        <v>294</v>
      </c>
      <c r="E600" s="127">
        <v>2.5390000000000001</v>
      </c>
      <c r="F600" s="127">
        <v>2.6873954946687899</v>
      </c>
      <c r="G600" s="127">
        <v>4.8000000000000096</v>
      </c>
      <c r="H600" s="127">
        <v>4.5801526717557302</v>
      </c>
      <c r="I600" s="127">
        <v>1216.7</v>
      </c>
      <c r="J600" s="127">
        <v>725.1</v>
      </c>
      <c r="K600" s="127">
        <v>1218.3</v>
      </c>
      <c r="L600" s="127">
        <v>62.59</v>
      </c>
      <c r="M600" s="127">
        <v>62.03</v>
      </c>
      <c r="N600" s="127">
        <v>62.36</v>
      </c>
      <c r="O600" s="127">
        <v>62.37</v>
      </c>
      <c r="P600" s="127">
        <v>62.337499999999999</v>
      </c>
      <c r="Q600" s="79">
        <v>14.9</v>
      </c>
      <c r="R600" s="79">
        <v>1.95</v>
      </c>
      <c r="S600" s="147">
        <f t="shared" si="525"/>
        <v>2.4669505271695056</v>
      </c>
      <c r="T600" s="147">
        <f t="shared" si="526"/>
        <v>2.459796370640714</v>
      </c>
      <c r="U600" s="148">
        <f t="shared" si="527"/>
        <v>3.1194812666122895</v>
      </c>
      <c r="V600" s="147">
        <f t="shared" si="528"/>
        <v>12.661387350419105</v>
      </c>
      <c r="W600" s="147">
        <f t="shared" si="529"/>
        <v>75.362247593593821</v>
      </c>
      <c r="X600" s="132">
        <f>AVERAGE(S600:S604)</f>
        <v>2.4546374478289876</v>
      </c>
      <c r="Y600" s="132">
        <f t="shared" ref="Y600" si="552">AVERAGE(T600:T604)</f>
        <v>2.4475189992302839</v>
      </c>
      <c r="Z600" s="133">
        <f t="shared" ref="Z600" si="553">AVERAGE(U600:U604)</f>
        <v>3.6030327203511687</v>
      </c>
      <c r="AA600" s="132">
        <f t="shared" ref="AA600" si="554">AVERAGE(V600:V604)</f>
        <v>13.097313103773752</v>
      </c>
      <c r="AB600" s="132">
        <f t="shared" ref="AB600" si="555">AVERAGE(W600:W604)</f>
        <v>72.530162264218234</v>
      </c>
      <c r="AC600" s="235">
        <v>161</v>
      </c>
      <c r="AD600" s="235">
        <v>91</v>
      </c>
      <c r="AE600" s="235">
        <v>44</v>
      </c>
      <c r="AF600" s="235">
        <v>15</v>
      </c>
    </row>
    <row r="601" spans="1:32" ht="14.4">
      <c r="A601" s="1" t="s">
        <v>143</v>
      </c>
      <c r="B601" s="1" t="s">
        <v>218</v>
      </c>
      <c r="C601" s="145" t="s">
        <v>351</v>
      </c>
      <c r="D601" s="1" t="s">
        <v>295</v>
      </c>
      <c r="E601" s="127">
        <v>2.5390000000000001</v>
      </c>
      <c r="F601" s="127">
        <v>2.6873954946687899</v>
      </c>
      <c r="G601" s="127">
        <v>4.8000000000000096</v>
      </c>
      <c r="H601" s="127">
        <v>4.5801526717557302</v>
      </c>
      <c r="I601" s="127">
        <v>1231.5</v>
      </c>
      <c r="J601" s="127">
        <v>732</v>
      </c>
      <c r="K601" s="127">
        <v>1232.9000000000001</v>
      </c>
      <c r="L601" s="127">
        <v>63.31</v>
      </c>
      <c r="M601" s="127">
        <v>62.89</v>
      </c>
      <c r="N601" s="127">
        <v>63.28</v>
      </c>
      <c r="O601" s="127">
        <v>63.36</v>
      </c>
      <c r="P601" s="127">
        <v>63.21</v>
      </c>
      <c r="Q601" s="79">
        <v>15.27</v>
      </c>
      <c r="R601" s="79">
        <v>1.51</v>
      </c>
      <c r="S601" s="147">
        <f t="shared" si="525"/>
        <v>2.4585745657815927</v>
      </c>
      <c r="T601" s="147">
        <f t="shared" si="526"/>
        <v>2.4514446995408261</v>
      </c>
      <c r="U601" s="148">
        <f t="shared" si="527"/>
        <v>3.448416717572822</v>
      </c>
      <c r="V601" s="147">
        <f t="shared" si="528"/>
        <v>12.957925460596002</v>
      </c>
      <c r="W601" s="147">
        <f t="shared" si="529"/>
        <v>73.387586399850989</v>
      </c>
      <c r="AC601" s="235">
        <v>161</v>
      </c>
      <c r="AD601" s="235">
        <v>91</v>
      </c>
      <c r="AE601" s="235">
        <v>44</v>
      </c>
      <c r="AF601" s="235">
        <v>15</v>
      </c>
    </row>
    <row r="602" spans="1:32" ht="14.4">
      <c r="A602" s="1" t="s">
        <v>143</v>
      </c>
      <c r="B602" s="1" t="s">
        <v>218</v>
      </c>
      <c r="C602" s="145" t="s">
        <v>351</v>
      </c>
      <c r="D602" s="1" t="s">
        <v>296</v>
      </c>
      <c r="E602" s="127">
        <v>2.5390000000000001</v>
      </c>
      <c r="F602" s="127">
        <v>2.6873954946687899</v>
      </c>
      <c r="G602" s="127">
        <v>4.8000000000000096</v>
      </c>
      <c r="H602" s="127">
        <v>4.5801526717557302</v>
      </c>
      <c r="I602" s="127">
        <v>1230.8</v>
      </c>
      <c r="J602" s="127">
        <v>730.8</v>
      </c>
      <c r="K602" s="127">
        <v>1232.5</v>
      </c>
      <c r="L602" s="127">
        <v>63.95</v>
      </c>
      <c r="M602" s="127">
        <v>63.54</v>
      </c>
      <c r="N602" s="127">
        <v>63.38</v>
      </c>
      <c r="O602" s="127">
        <v>63.83</v>
      </c>
      <c r="P602" s="127">
        <v>63.674999999999997</v>
      </c>
      <c r="Q602" s="79">
        <v>15.96</v>
      </c>
      <c r="R602" s="79">
        <v>2.0499999999999998</v>
      </c>
      <c r="S602" s="147">
        <f t="shared" si="525"/>
        <v>2.4532589196731109</v>
      </c>
      <c r="T602" s="147">
        <f t="shared" si="526"/>
        <v>2.4461444688060587</v>
      </c>
      <c r="U602" s="148">
        <f t="shared" si="527"/>
        <v>3.6571694050390513</v>
      </c>
      <c r="V602" s="147">
        <f t="shared" si="528"/>
        <v>13.146117786034992</v>
      </c>
      <c r="W602" s="147">
        <f t="shared" si="529"/>
        <v>72.180612827582976</v>
      </c>
      <c r="AC602" s="235">
        <v>161</v>
      </c>
      <c r="AD602" s="235">
        <v>91</v>
      </c>
      <c r="AE602" s="235">
        <v>44</v>
      </c>
      <c r="AF602" s="235">
        <v>15</v>
      </c>
    </row>
    <row r="603" spans="1:32" ht="14.4">
      <c r="A603" s="1" t="s">
        <v>143</v>
      </c>
      <c r="B603" s="1" t="s">
        <v>218</v>
      </c>
      <c r="C603" s="145" t="s">
        <v>351</v>
      </c>
      <c r="D603" s="1" t="s">
        <v>297</v>
      </c>
      <c r="E603" s="127">
        <v>2.5390000000000001</v>
      </c>
      <c r="F603" s="127">
        <v>2.6873954946687899</v>
      </c>
      <c r="G603" s="127">
        <v>4.8000000000000096</v>
      </c>
      <c r="H603" s="127">
        <v>4.5801526717557302</v>
      </c>
      <c r="I603" s="127">
        <v>1232.4000000000001</v>
      </c>
      <c r="J603" s="127">
        <v>731.6</v>
      </c>
      <c r="K603" s="127">
        <v>1234.2</v>
      </c>
      <c r="L603" s="127">
        <v>63.72</v>
      </c>
      <c r="M603" s="127">
        <v>63.98</v>
      </c>
      <c r="N603" s="127">
        <v>63.64</v>
      </c>
      <c r="O603" s="127">
        <v>63.78</v>
      </c>
      <c r="P603" s="127">
        <v>63.78</v>
      </c>
      <c r="Q603" s="79">
        <v>15.94</v>
      </c>
      <c r="R603" s="79">
        <v>1.94</v>
      </c>
      <c r="S603" s="147">
        <f t="shared" si="525"/>
        <v>2.4520493434142461</v>
      </c>
      <c r="T603" s="147">
        <f t="shared" si="526"/>
        <v>2.4449384003183448</v>
      </c>
      <c r="U603" s="148">
        <f t="shared" si="527"/>
        <v>3.7046711178280956</v>
      </c>
      <c r="V603" s="147">
        <f t="shared" si="528"/>
        <v>13.188940984627592</v>
      </c>
      <c r="W603" s="147">
        <f t="shared" si="529"/>
        <v>71.910776444097479</v>
      </c>
      <c r="AC603" s="235">
        <v>161</v>
      </c>
      <c r="AD603" s="235">
        <v>91</v>
      </c>
      <c r="AE603" s="235">
        <v>44</v>
      </c>
      <c r="AF603" s="235">
        <v>15</v>
      </c>
    </row>
    <row r="604" spans="1:32" ht="14.4">
      <c r="A604" s="1" t="s">
        <v>143</v>
      </c>
      <c r="B604" s="1" t="s">
        <v>218</v>
      </c>
      <c r="C604" s="145" t="s">
        <v>351</v>
      </c>
      <c r="D604" s="1" t="s">
        <v>298</v>
      </c>
      <c r="E604" s="127">
        <v>2.5390000000000001</v>
      </c>
      <c r="F604" s="127">
        <v>2.6873954946687899</v>
      </c>
      <c r="G604" s="127">
        <v>4.8000000000000096</v>
      </c>
      <c r="H604" s="127">
        <v>4.5801526717557302</v>
      </c>
      <c r="I604" s="127">
        <v>1220.2</v>
      </c>
      <c r="J604" s="127">
        <v>722.6</v>
      </c>
      <c r="K604" s="127">
        <v>1222.2</v>
      </c>
      <c r="L604" s="127">
        <v>63.71</v>
      </c>
      <c r="M604" s="127">
        <v>63.34</v>
      </c>
      <c r="N604" s="127">
        <v>63.63</v>
      </c>
      <c r="O604" s="127">
        <v>63.77</v>
      </c>
      <c r="P604" s="127">
        <v>63.612499999999997</v>
      </c>
      <c r="Q604" s="79">
        <v>14.4</v>
      </c>
      <c r="R604" s="79">
        <v>1.57</v>
      </c>
      <c r="S604" s="147">
        <f t="shared" si="525"/>
        <v>2.442353883106485</v>
      </c>
      <c r="T604" s="147">
        <f t="shared" si="526"/>
        <v>2.4352710568454761</v>
      </c>
      <c r="U604" s="148">
        <f t="shared" si="527"/>
        <v>4.0854250947035879</v>
      </c>
      <c r="V604" s="147">
        <f t="shared" si="528"/>
        <v>13.532193937191067</v>
      </c>
      <c r="W604" s="147">
        <f t="shared" si="529"/>
        <v>69.809588055965918</v>
      </c>
      <c r="AC604" s="235">
        <v>161</v>
      </c>
      <c r="AD604" s="235">
        <v>91</v>
      </c>
      <c r="AE604" s="235">
        <v>44</v>
      </c>
      <c r="AF604" s="235">
        <v>15</v>
      </c>
    </row>
    <row r="605" spans="1:32" ht="14.4">
      <c r="A605" s="1" t="s">
        <v>144</v>
      </c>
      <c r="B605" s="1" t="s">
        <v>197</v>
      </c>
      <c r="C605" s="145" t="s">
        <v>355</v>
      </c>
      <c r="D605" s="1" t="s">
        <v>294</v>
      </c>
      <c r="E605" s="127">
        <v>2.57170123425372</v>
      </c>
      <c r="F605" s="127">
        <v>2.6602733045952598</v>
      </c>
      <c r="G605" s="149">
        <v>4.2</v>
      </c>
      <c r="H605" s="136">
        <f>100*G605/(100+G605)</f>
        <v>4.0307101727447217</v>
      </c>
      <c r="I605" s="127">
        <v>1202</v>
      </c>
      <c r="J605" s="127">
        <v>720.3</v>
      </c>
      <c r="K605" s="127">
        <v>1203.5999999999999</v>
      </c>
      <c r="L605" s="127">
        <v>59.83</v>
      </c>
      <c r="M605" s="127">
        <v>59.72</v>
      </c>
      <c r="N605" s="127">
        <v>60.08</v>
      </c>
      <c r="O605" s="127">
        <v>60.09</v>
      </c>
      <c r="P605" s="127">
        <v>59.876666666666701</v>
      </c>
      <c r="Q605" s="79">
        <v>13.48</v>
      </c>
      <c r="R605" s="79">
        <v>3.06</v>
      </c>
      <c r="S605" s="147">
        <f t="shared" si="525"/>
        <v>2.4870680736602528</v>
      </c>
      <c r="T605" s="147">
        <f t="shared" si="526"/>
        <v>2.4798555762466381</v>
      </c>
      <c r="U605" s="148">
        <f t="shared" si="527"/>
        <v>3.5713968941549545</v>
      </c>
      <c r="V605" s="147">
        <f t="shared" si="528"/>
        <v>10.539275000258996</v>
      </c>
      <c r="W605" s="147">
        <f t="shared" si="529"/>
        <v>66.113448087584871</v>
      </c>
      <c r="X605" s="132">
        <f>AVERAGE(S605:S609)</f>
        <v>2.4752568230964074</v>
      </c>
      <c r="Y605" s="132">
        <f t="shared" ref="Y605" si="556">AVERAGE(T605:T609)</f>
        <v>2.4680785783094272</v>
      </c>
      <c r="Z605" s="133">
        <f t="shared" ref="Z605" si="557">AVERAGE(U605:U609)</f>
        <v>4.0293426998475841</v>
      </c>
      <c r="AA605" s="132">
        <f t="shared" ref="AA605" si="558">AVERAGE(V605:V609)</f>
        <v>10.964129892566053</v>
      </c>
      <c r="AB605" s="132">
        <f t="shared" ref="AB605" si="559">AVERAGE(W605:W609)</f>
        <v>63.291763455686272</v>
      </c>
      <c r="AC605" s="235">
        <v>161</v>
      </c>
      <c r="AD605" s="235">
        <v>91</v>
      </c>
      <c r="AE605" s="235">
        <v>44</v>
      </c>
      <c r="AF605" s="235">
        <v>15</v>
      </c>
    </row>
    <row r="606" spans="1:32" ht="14.4">
      <c r="A606" s="1" t="s">
        <v>144</v>
      </c>
      <c r="B606" s="1" t="s">
        <v>197</v>
      </c>
      <c r="C606" s="145" t="s">
        <v>355</v>
      </c>
      <c r="D606" s="1" t="s">
        <v>295</v>
      </c>
      <c r="E606" s="127">
        <v>2.57170123425372</v>
      </c>
      <c r="F606" s="127">
        <v>2.6602733045952598</v>
      </c>
      <c r="G606" s="149">
        <v>4.2</v>
      </c>
      <c r="H606" s="136">
        <f>100*G606/(100+G606)</f>
        <v>4.0307101727447217</v>
      </c>
      <c r="I606" s="127">
        <v>1211.5999999999999</v>
      </c>
      <c r="J606" s="127">
        <v>724.3</v>
      </c>
      <c r="K606" s="127">
        <v>1213.4000000000001</v>
      </c>
      <c r="L606" s="127">
        <v>61.55</v>
      </c>
      <c r="M606" s="127">
        <v>61.57</v>
      </c>
      <c r="N606" s="127">
        <v>61.95</v>
      </c>
      <c r="O606" s="127">
        <v>61.91</v>
      </c>
      <c r="P606" s="127">
        <v>61.69</v>
      </c>
      <c r="Q606" s="79">
        <v>15.25</v>
      </c>
      <c r="R606" s="79">
        <v>3.98</v>
      </c>
      <c r="S606" s="147">
        <f t="shared" si="525"/>
        <v>2.4772030259660593</v>
      </c>
      <c r="T606" s="147">
        <f t="shared" si="526"/>
        <v>2.4700191371907576</v>
      </c>
      <c r="U606" s="148">
        <f t="shared" si="527"/>
        <v>3.9538845223780261</v>
      </c>
      <c r="V606" s="147">
        <f t="shared" si="528"/>
        <v>10.894124281718661</v>
      </c>
      <c r="W606" s="147">
        <f t="shared" si="529"/>
        <v>63.706265688440823</v>
      </c>
      <c r="AC606" s="235">
        <v>161</v>
      </c>
      <c r="AD606" s="235">
        <v>91</v>
      </c>
      <c r="AE606" s="235">
        <v>44</v>
      </c>
      <c r="AF606" s="235">
        <v>15</v>
      </c>
    </row>
    <row r="607" spans="1:32" ht="14.4">
      <c r="A607" s="1" t="s">
        <v>144</v>
      </c>
      <c r="B607" s="1" t="s">
        <v>197</v>
      </c>
      <c r="C607" s="145" t="s">
        <v>355</v>
      </c>
      <c r="D607" s="1" t="s">
        <v>296</v>
      </c>
      <c r="E607" s="127">
        <v>2.57170123425372</v>
      </c>
      <c r="F607" s="127">
        <v>2.6602733045952598</v>
      </c>
      <c r="G607" s="149">
        <v>4.2</v>
      </c>
      <c r="H607" s="136">
        <f>100*G607/(100+G607)</f>
        <v>4.0307101727447217</v>
      </c>
      <c r="I607" s="127">
        <v>1219.7</v>
      </c>
      <c r="J607" s="127">
        <v>729.3</v>
      </c>
      <c r="K607" s="127">
        <v>1222.3</v>
      </c>
      <c r="L607" s="127">
        <v>64.14</v>
      </c>
      <c r="M607" s="127">
        <v>64.430000000000007</v>
      </c>
      <c r="N607" s="127">
        <v>64.38</v>
      </c>
      <c r="O607" s="127">
        <v>64.16</v>
      </c>
      <c r="P607" s="127">
        <v>64.316666666666706</v>
      </c>
      <c r="Q607" s="79">
        <v>13.5</v>
      </c>
      <c r="R607" s="79">
        <v>1.63</v>
      </c>
      <c r="S607" s="147">
        <f t="shared" si="525"/>
        <v>2.4740365111561866</v>
      </c>
      <c r="T607" s="147">
        <f t="shared" si="526"/>
        <v>2.4668618052738336</v>
      </c>
      <c r="U607" s="148">
        <f t="shared" si="527"/>
        <v>4.076656634273057</v>
      </c>
      <c r="V607" s="147">
        <f t="shared" si="528"/>
        <v>11.008024947974519</v>
      </c>
      <c r="W607" s="147">
        <f t="shared" si="529"/>
        <v>62.966502587522172</v>
      </c>
      <c r="AC607" s="235">
        <v>161</v>
      </c>
      <c r="AD607" s="235">
        <v>91</v>
      </c>
      <c r="AE607" s="235">
        <v>44</v>
      </c>
      <c r="AF607" s="235">
        <v>15</v>
      </c>
    </row>
    <row r="608" spans="1:32" ht="14.4">
      <c r="A608" s="1" t="s">
        <v>144</v>
      </c>
      <c r="B608" s="1" t="s">
        <v>197</v>
      </c>
      <c r="C608" s="145" t="s">
        <v>355</v>
      </c>
      <c r="D608" s="1" t="s">
        <v>297</v>
      </c>
      <c r="E608" s="127">
        <v>2.57170123425372</v>
      </c>
      <c r="F608" s="127">
        <v>2.6602733045952598</v>
      </c>
      <c r="G608" s="149">
        <v>4.2</v>
      </c>
      <c r="H608" s="136">
        <f>100*G608/(100+G608)</f>
        <v>4.0307101727447217</v>
      </c>
      <c r="I608" s="127">
        <v>1217.7</v>
      </c>
      <c r="J608" s="127">
        <v>728.6</v>
      </c>
      <c r="K608" s="127">
        <v>1222.8</v>
      </c>
      <c r="L608" s="127">
        <v>64.650000000000006</v>
      </c>
      <c r="M608" s="127">
        <v>64.62</v>
      </c>
      <c r="N608" s="127">
        <v>64.33</v>
      </c>
      <c r="O608" s="127">
        <v>64.760000000000005</v>
      </c>
      <c r="P608" s="127">
        <v>64.533333333333303</v>
      </c>
      <c r="Q608" s="79">
        <v>12.9</v>
      </c>
      <c r="R608" s="79">
        <v>1.77</v>
      </c>
      <c r="S608" s="147">
        <f t="shared" si="525"/>
        <v>2.4639821934439503</v>
      </c>
      <c r="T608" s="147">
        <f t="shared" si="526"/>
        <v>2.4568366450829626</v>
      </c>
      <c r="U608" s="148">
        <f t="shared" si="527"/>
        <v>4.4664826396169532</v>
      </c>
      <c r="V608" s="147">
        <f t="shared" si="528"/>
        <v>11.369682339438953</v>
      </c>
      <c r="W608" s="147">
        <f t="shared" si="529"/>
        <v>60.715853739170029</v>
      </c>
      <c r="AC608" s="235">
        <v>161</v>
      </c>
      <c r="AD608" s="235">
        <v>91</v>
      </c>
      <c r="AE608" s="235">
        <v>44</v>
      </c>
      <c r="AF608" s="235">
        <v>15</v>
      </c>
    </row>
    <row r="609" spans="1:56" ht="14.4">
      <c r="A609" s="1" t="s">
        <v>144</v>
      </c>
      <c r="B609" s="1" t="s">
        <v>197</v>
      </c>
      <c r="C609" s="145" t="s">
        <v>355</v>
      </c>
      <c r="D609" s="1" t="s">
        <v>298</v>
      </c>
      <c r="E609" s="127">
        <v>2.57170123425372</v>
      </c>
      <c r="F609" s="127">
        <v>2.6602733045952598</v>
      </c>
      <c r="G609" s="149">
        <v>4.2</v>
      </c>
      <c r="H609" s="136">
        <f>100*G609/(100+G609)</f>
        <v>4.0307101727447217</v>
      </c>
      <c r="I609" s="127">
        <v>1217.7</v>
      </c>
      <c r="J609" s="127">
        <v>728.8</v>
      </c>
      <c r="K609" s="127">
        <v>1221</v>
      </c>
      <c r="L609" s="127">
        <v>64.569999999999993</v>
      </c>
      <c r="M609" s="127">
        <v>64.319999999999993</v>
      </c>
      <c r="N609" s="127">
        <v>64.56</v>
      </c>
      <c r="O609" s="127">
        <v>64.930000000000007</v>
      </c>
      <c r="P609" s="127">
        <v>64.483333333333306</v>
      </c>
      <c r="Q609" s="79">
        <v>14.04</v>
      </c>
      <c r="R609" s="79">
        <v>1.91</v>
      </c>
      <c r="S609" s="147">
        <f t="shared" si="525"/>
        <v>2.4739943112555869</v>
      </c>
      <c r="T609" s="147">
        <f t="shared" si="526"/>
        <v>2.4668197277529456</v>
      </c>
      <c r="U609" s="148">
        <f t="shared" si="527"/>
        <v>4.0782928088149317</v>
      </c>
      <c r="V609" s="147">
        <f t="shared" si="528"/>
        <v>11.009542893439132</v>
      </c>
      <c r="W609" s="147">
        <f t="shared" si="529"/>
        <v>62.956747175713438</v>
      </c>
      <c r="AC609" s="235">
        <v>161</v>
      </c>
      <c r="AD609" s="235">
        <v>91</v>
      </c>
      <c r="AE609" s="235">
        <v>44</v>
      </c>
      <c r="AF609" s="235">
        <v>15</v>
      </c>
    </row>
    <row r="610" spans="1:56" s="126" customFormat="1" ht="14.4">
      <c r="A610" s="1" t="s">
        <v>145</v>
      </c>
      <c r="B610" s="1" t="s">
        <v>94</v>
      </c>
      <c r="C610" s="1" t="s">
        <v>356</v>
      </c>
      <c r="D610" s="1" t="s">
        <v>294</v>
      </c>
      <c r="E610" s="1">
        <v>2.5390000000000001</v>
      </c>
      <c r="F610" s="1">
        <v>2.6873954946687899</v>
      </c>
      <c r="G610" s="1">
        <v>5</v>
      </c>
      <c r="H610" s="1">
        <v>4.76</v>
      </c>
      <c r="I610" s="1">
        <v>1207.3</v>
      </c>
      <c r="J610" s="1">
        <v>720.3</v>
      </c>
      <c r="K610" s="1">
        <v>1208</v>
      </c>
      <c r="L610" s="1">
        <v>59.83</v>
      </c>
      <c r="M610" s="1">
        <v>59.72</v>
      </c>
      <c r="N610" s="1">
        <v>60.08</v>
      </c>
      <c r="O610" s="1">
        <v>60.09</v>
      </c>
      <c r="P610" s="1">
        <v>59.93</v>
      </c>
      <c r="Q610" s="1">
        <v>11.5</v>
      </c>
      <c r="R610" s="1">
        <v>3.06</v>
      </c>
      <c r="S610" s="127">
        <f t="shared" si="525"/>
        <v>2.4754972319048592</v>
      </c>
      <c r="T610" s="127">
        <f t="shared" si="526"/>
        <v>2.468318289932335</v>
      </c>
      <c r="U610" s="148">
        <f t="shared" si="527"/>
        <v>2.7838404910462855</v>
      </c>
      <c r="V610" s="127">
        <f t="shared" si="528"/>
        <v>12.523990458602555</v>
      </c>
      <c r="W610" s="127">
        <f t="shared" si="529"/>
        <v>77.771936985674529</v>
      </c>
      <c r="X610" s="169">
        <f>AVERAGE(S610:S614)</f>
        <v>2.4704996662823087</v>
      </c>
      <c r="Y610" s="169">
        <f t="shared" ref="Y610" si="560">AVERAGE(T610:T614)</f>
        <v>2.4633352172500897</v>
      </c>
      <c r="Z610" s="233">
        <f t="shared" ref="Z610" si="561">AVERAGE(U610:U614)</f>
        <v>2.9801017231158156</v>
      </c>
      <c r="AA610" s="169">
        <f t="shared" ref="AA610" si="562">AVERAGE(V610:V614)</f>
        <v>12.700588150754129</v>
      </c>
      <c r="AB610" s="169">
        <f t="shared" ref="AB610" si="563">AVERAGE(W610:W614)</f>
        <v>76.544204098258888</v>
      </c>
      <c r="AC610" s="235">
        <v>161</v>
      </c>
      <c r="AD610" s="235">
        <v>91</v>
      </c>
      <c r="AE610" s="235">
        <v>44</v>
      </c>
      <c r="AF610" s="235">
        <v>15</v>
      </c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  <c r="AY610" s="1"/>
      <c r="AZ610" s="1"/>
      <c r="BA610" s="1"/>
      <c r="BB610" s="1"/>
      <c r="BC610" s="1"/>
      <c r="BD610" s="1"/>
    </row>
    <row r="611" spans="1:56" s="126" customFormat="1" ht="14.4">
      <c r="A611" s="1" t="s">
        <v>145</v>
      </c>
      <c r="B611" s="1" t="s">
        <v>94</v>
      </c>
      <c r="C611" s="1" t="s">
        <v>357</v>
      </c>
      <c r="D611" s="1" t="s">
        <v>295</v>
      </c>
      <c r="E611" s="1">
        <v>2.5390000000000001</v>
      </c>
      <c r="F611" s="1">
        <v>2.6873954946687899</v>
      </c>
      <c r="G611" s="1">
        <v>5</v>
      </c>
      <c r="H611" s="1">
        <v>4.76</v>
      </c>
      <c r="I611" s="1">
        <v>1241.0999999999999</v>
      </c>
      <c r="J611" s="1">
        <v>740.1</v>
      </c>
      <c r="K611" s="1">
        <v>1242.5999999999999</v>
      </c>
      <c r="L611" s="1">
        <v>61.55</v>
      </c>
      <c r="M611" s="1">
        <v>61.57</v>
      </c>
      <c r="N611" s="1">
        <v>61.95</v>
      </c>
      <c r="O611" s="1">
        <v>61.91</v>
      </c>
      <c r="P611" s="1">
        <v>61.744999999999997</v>
      </c>
      <c r="Q611" s="1">
        <v>24.68</v>
      </c>
      <c r="R611" s="1">
        <v>4.4000000000000004</v>
      </c>
      <c r="S611" s="127">
        <f t="shared" si="525"/>
        <v>2.4698507462686572</v>
      </c>
      <c r="T611" s="127">
        <f t="shared" si="526"/>
        <v>2.4626881791044779</v>
      </c>
      <c r="U611" s="148">
        <f t="shared" si="527"/>
        <v>3.0055856989177676</v>
      </c>
      <c r="V611" s="127">
        <f t="shared" si="528"/>
        <v>12.723518870519896</v>
      </c>
      <c r="W611" s="127">
        <f t="shared" si="529"/>
        <v>76.377716498840257</v>
      </c>
      <c r="X611" s="127"/>
      <c r="Y611" s="127"/>
      <c r="Z611" s="133"/>
      <c r="AA611" s="127"/>
      <c r="AB611" s="127"/>
      <c r="AC611" s="235">
        <v>161</v>
      </c>
      <c r="AD611" s="235">
        <v>91</v>
      </c>
      <c r="AE611" s="235">
        <v>44</v>
      </c>
      <c r="AF611" s="235">
        <v>15</v>
      </c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  <c r="AY611" s="1"/>
      <c r="AZ611" s="1"/>
      <c r="BA611" s="1"/>
      <c r="BB611" s="1"/>
      <c r="BC611" s="1"/>
      <c r="BD611" s="1"/>
    </row>
    <row r="612" spans="1:56" s="126" customFormat="1" ht="14.4">
      <c r="A612" s="1" t="s">
        <v>145</v>
      </c>
      <c r="B612" s="1" t="s">
        <v>94</v>
      </c>
      <c r="C612" s="1" t="s">
        <v>357</v>
      </c>
      <c r="D612" s="1" t="s">
        <v>296</v>
      </c>
      <c r="E612" s="1">
        <v>2.5390000000000001</v>
      </c>
      <c r="F612" s="1">
        <v>2.6873954946687899</v>
      </c>
      <c r="G612" s="1">
        <v>5</v>
      </c>
      <c r="H612" s="1">
        <v>4.76</v>
      </c>
      <c r="I612" s="1">
        <v>1257.5</v>
      </c>
      <c r="J612" s="1">
        <v>749.6</v>
      </c>
      <c r="K612" s="1">
        <v>1258.3</v>
      </c>
      <c r="L612" s="1">
        <v>64.14</v>
      </c>
      <c r="M612" s="1">
        <v>64.430000000000007</v>
      </c>
      <c r="N612" s="1">
        <v>64.38</v>
      </c>
      <c r="O612" s="1">
        <v>64.16</v>
      </c>
      <c r="P612" s="1">
        <v>64.277500000000003</v>
      </c>
      <c r="Q612" s="1">
        <v>21.7</v>
      </c>
      <c r="R612" s="1">
        <v>4.3899999999999997</v>
      </c>
      <c r="S612" s="127">
        <f t="shared" si="525"/>
        <v>2.4719874189109499</v>
      </c>
      <c r="T612" s="127">
        <f t="shared" si="526"/>
        <v>2.4648186553961082</v>
      </c>
      <c r="U612" s="148">
        <f t="shared" si="527"/>
        <v>2.9216756441076019</v>
      </c>
      <c r="V612" s="127">
        <f t="shared" si="528"/>
        <v>12.648015818431958</v>
      </c>
      <c r="W612" s="127">
        <f t="shared" si="529"/>
        <v>76.90012658072547</v>
      </c>
      <c r="X612" s="127"/>
      <c r="Y612" s="127"/>
      <c r="Z612" s="133"/>
      <c r="AA612" s="127"/>
      <c r="AB612" s="127"/>
      <c r="AC612" s="235">
        <v>161</v>
      </c>
      <c r="AD612" s="235">
        <v>91</v>
      </c>
      <c r="AE612" s="235">
        <v>44</v>
      </c>
      <c r="AF612" s="235">
        <v>15</v>
      </c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  <c r="AY612" s="1"/>
      <c r="AZ612" s="1"/>
      <c r="BA612" s="1"/>
      <c r="BB612" s="1"/>
      <c r="BC612" s="1"/>
      <c r="BD612" s="1"/>
    </row>
    <row r="613" spans="1:56" s="126" customFormat="1" ht="14.4">
      <c r="A613" s="1" t="s">
        <v>145</v>
      </c>
      <c r="B613" s="1" t="s">
        <v>94</v>
      </c>
      <c r="C613" s="1" t="s">
        <v>357</v>
      </c>
      <c r="D613" s="1" t="s">
        <v>297</v>
      </c>
      <c r="E613" s="1">
        <v>2.5390000000000001</v>
      </c>
      <c r="F613" s="1">
        <v>2.6873954946687899</v>
      </c>
      <c r="G613" s="1">
        <v>5</v>
      </c>
      <c r="H613" s="1">
        <v>4.76</v>
      </c>
      <c r="I613" s="1">
        <v>1251.5999999999999</v>
      </c>
      <c r="J613" s="1">
        <v>745.9</v>
      </c>
      <c r="K613" s="1">
        <v>1252.5</v>
      </c>
      <c r="L613" s="1">
        <v>64.650000000000006</v>
      </c>
      <c r="M613" s="1">
        <v>64.62</v>
      </c>
      <c r="N613" s="1">
        <v>64.33</v>
      </c>
      <c r="O613" s="1">
        <v>64.760000000000005</v>
      </c>
      <c r="P613" s="1">
        <v>64.59</v>
      </c>
      <c r="Q613" s="1">
        <v>20.7</v>
      </c>
      <c r="R613" s="1">
        <v>3.74</v>
      </c>
      <c r="S613" s="127">
        <f t="shared" si="525"/>
        <v>2.4705882352941173</v>
      </c>
      <c r="T613" s="127">
        <f t="shared" si="526"/>
        <v>2.4634235294117643</v>
      </c>
      <c r="U613" s="148">
        <f t="shared" si="527"/>
        <v>2.9766234969765937</v>
      </c>
      <c r="V613" s="127">
        <f t="shared" si="528"/>
        <v>12.697458410343913</v>
      </c>
      <c r="W613" s="127">
        <f t="shared" si="529"/>
        <v>76.557328240179913</v>
      </c>
      <c r="X613" s="127"/>
      <c r="Y613" s="127"/>
      <c r="Z613" s="133"/>
      <c r="AA613" s="127"/>
      <c r="AB613" s="127"/>
      <c r="AC613" s="235">
        <v>161</v>
      </c>
      <c r="AD613" s="235">
        <v>91</v>
      </c>
      <c r="AE613" s="235">
        <v>44</v>
      </c>
      <c r="AF613" s="235">
        <v>15</v>
      </c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  <c r="AY613" s="1"/>
      <c r="AZ613" s="1"/>
      <c r="BA613" s="1"/>
      <c r="BB613" s="1"/>
      <c r="BC613" s="1"/>
      <c r="BD613" s="1"/>
    </row>
    <row r="614" spans="1:56" s="126" customFormat="1" ht="14.4">
      <c r="A614" s="1" t="s">
        <v>145</v>
      </c>
      <c r="B614" s="1" t="s">
        <v>94</v>
      </c>
      <c r="C614" s="1" t="s">
        <v>357</v>
      </c>
      <c r="D614" s="1" t="s">
        <v>298</v>
      </c>
      <c r="E614" s="1">
        <v>2.5390000000000001</v>
      </c>
      <c r="F614" s="1">
        <v>2.6873954946687899</v>
      </c>
      <c r="G614" s="1">
        <v>5</v>
      </c>
      <c r="H614" s="1">
        <v>4.76</v>
      </c>
      <c r="I614" s="1">
        <v>1248.8</v>
      </c>
      <c r="J614" s="1">
        <v>743.2</v>
      </c>
      <c r="K614" s="1">
        <v>1249.9000000000001</v>
      </c>
      <c r="L614" s="1">
        <v>64.569999999999993</v>
      </c>
      <c r="M614" s="1">
        <v>64.319999999999993</v>
      </c>
      <c r="N614" s="1">
        <v>64.56</v>
      </c>
      <c r="O614" s="1">
        <v>64.930000000000007</v>
      </c>
      <c r="P614" s="1">
        <v>64.594999999999999</v>
      </c>
      <c r="Q614" s="1">
        <v>20.99</v>
      </c>
      <c r="R614" s="1">
        <v>3.45</v>
      </c>
      <c r="S614" s="127">
        <f t="shared" si="525"/>
        <v>2.464574699032958</v>
      </c>
      <c r="T614" s="127">
        <f t="shared" si="526"/>
        <v>2.4574274324057623</v>
      </c>
      <c r="U614" s="148">
        <f t="shared" si="527"/>
        <v>3.2127832845308291</v>
      </c>
      <c r="V614" s="127">
        <f t="shared" si="528"/>
        <v>12.909957195872323</v>
      </c>
      <c r="W614" s="127">
        <f t="shared" si="529"/>
        <v>75.113912185874284</v>
      </c>
      <c r="X614" s="127"/>
      <c r="Y614" s="127"/>
      <c r="Z614" s="133"/>
      <c r="AA614" s="127"/>
      <c r="AB614" s="127"/>
      <c r="AC614" s="235">
        <v>161</v>
      </c>
      <c r="AD614" s="235">
        <v>91</v>
      </c>
      <c r="AE614" s="235">
        <v>44</v>
      </c>
      <c r="AF614" s="235">
        <v>15</v>
      </c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  <c r="AY614" s="1"/>
      <c r="AZ614" s="1"/>
      <c r="BA614" s="1"/>
      <c r="BB614" s="1"/>
      <c r="BC614" s="1"/>
      <c r="BD614" s="1"/>
    </row>
    <row r="615" spans="1:56" ht="14.4">
      <c r="A615" s="1" t="s">
        <v>146</v>
      </c>
      <c r="B615" s="1" t="s">
        <v>254</v>
      </c>
      <c r="C615" s="145" t="s">
        <v>358</v>
      </c>
      <c r="D615" s="1" t="s">
        <v>294</v>
      </c>
      <c r="E615" s="127">
        <v>2.5608457758771701</v>
      </c>
      <c r="F615" s="127">
        <v>2.6873954946687899</v>
      </c>
      <c r="G615" s="127">
        <v>4.8000000000000096</v>
      </c>
      <c r="H615" s="127">
        <v>4.5801526717557302</v>
      </c>
      <c r="I615" s="127">
        <v>1233.2</v>
      </c>
      <c r="J615" s="127">
        <v>732.1</v>
      </c>
      <c r="K615" s="127">
        <v>1234.5999999999999</v>
      </c>
      <c r="L615" s="127">
        <v>65.2</v>
      </c>
      <c r="M615" s="127">
        <v>65.34</v>
      </c>
      <c r="N615" s="127">
        <v>65.650000000000006</v>
      </c>
      <c r="O615" s="127">
        <v>65.73</v>
      </c>
      <c r="P615" s="127">
        <v>65.48</v>
      </c>
      <c r="Q615" s="79">
        <v>14.3</v>
      </c>
      <c r="R615" s="79">
        <v>1.72</v>
      </c>
      <c r="S615" s="147">
        <f t="shared" si="525"/>
        <v>2.4541293532338315</v>
      </c>
      <c r="T615" s="147">
        <f t="shared" si="526"/>
        <v>2.4470123781094535</v>
      </c>
      <c r="U615" s="148">
        <f t="shared" si="527"/>
        <v>4.445148506794605</v>
      </c>
      <c r="V615" s="147">
        <f t="shared" si="528"/>
        <v>13.1153014162863</v>
      </c>
      <c r="W615" s="147">
        <f t="shared" si="529"/>
        <v>66.107157085427588</v>
      </c>
      <c r="X615" s="132">
        <f>AVERAGE(S615:S619)</f>
        <v>2.4618809606375707</v>
      </c>
      <c r="Y615" s="132">
        <f t="shared" ref="Y615" si="564">AVERAGE(T615:T619)</f>
        <v>2.4547415058517217</v>
      </c>
      <c r="Z615" s="133">
        <f t="shared" ref="Z615" si="565">AVERAGE(U615:U619)</f>
        <v>4.143329169797596</v>
      </c>
      <c r="AA615" s="132">
        <f t="shared" ref="AA615" si="566">AVERAGE(V615:V619)</f>
        <v>12.840867604586157</v>
      </c>
      <c r="AB615" s="132">
        <f t="shared" ref="AB615" si="567">AVERAGE(W615:W619)</f>
        <v>67.804974678039358</v>
      </c>
      <c r="AC615" s="235">
        <v>161</v>
      </c>
      <c r="AD615" s="235">
        <v>91</v>
      </c>
      <c r="AE615" s="235">
        <v>44</v>
      </c>
      <c r="AF615" s="235">
        <v>15</v>
      </c>
    </row>
    <row r="616" spans="1:56" ht="14.4">
      <c r="A616" s="1" t="s">
        <v>146</v>
      </c>
      <c r="B616" s="1" t="s">
        <v>254</v>
      </c>
      <c r="C616" s="145" t="s">
        <v>358</v>
      </c>
      <c r="D616" s="1" t="s">
        <v>295</v>
      </c>
      <c r="E616" s="127">
        <v>2.5608457758771701</v>
      </c>
      <c r="F616" s="127">
        <v>2.6873954946687899</v>
      </c>
      <c r="G616" s="127">
        <v>4.8000000000000096</v>
      </c>
      <c r="H616" s="127">
        <v>4.5801526717557302</v>
      </c>
      <c r="I616" s="127">
        <v>1213.0999999999999</v>
      </c>
      <c r="J616" s="127">
        <v>725.2</v>
      </c>
      <c r="K616" s="127">
        <v>1215</v>
      </c>
      <c r="L616" s="127">
        <v>63.02</v>
      </c>
      <c r="M616" s="127">
        <v>62.87</v>
      </c>
      <c r="N616" s="127">
        <v>63.1</v>
      </c>
      <c r="O616" s="127">
        <v>63.29</v>
      </c>
      <c r="P616" s="127">
        <v>63.07</v>
      </c>
      <c r="Q616" s="79">
        <v>15.98</v>
      </c>
      <c r="R616" s="79">
        <v>1.1299999999999999</v>
      </c>
      <c r="S616" s="147">
        <f t="shared" si="525"/>
        <v>2.476725193956717</v>
      </c>
      <c r="T616" s="147">
        <f t="shared" si="526"/>
        <v>2.4695426908942424</v>
      </c>
      <c r="U616" s="148">
        <f t="shared" si="527"/>
        <v>3.5653488329125738</v>
      </c>
      <c r="V616" s="147">
        <f t="shared" si="528"/>
        <v>12.315330213518806</v>
      </c>
      <c r="W616" s="147">
        <f t="shared" si="529"/>
        <v>71.04950682525093</v>
      </c>
      <c r="AC616" s="235">
        <v>161</v>
      </c>
      <c r="AD616" s="235">
        <v>91</v>
      </c>
      <c r="AE616" s="235">
        <v>44</v>
      </c>
      <c r="AF616" s="235">
        <v>15</v>
      </c>
    </row>
    <row r="617" spans="1:56" ht="14.4">
      <c r="A617" s="1" t="s">
        <v>146</v>
      </c>
      <c r="B617" s="1" t="s">
        <v>254</v>
      </c>
      <c r="C617" s="145" t="s">
        <v>358</v>
      </c>
      <c r="D617" s="1" t="s">
        <v>296</v>
      </c>
      <c r="E617" s="127">
        <v>2.5608457758771701</v>
      </c>
      <c r="F617" s="127">
        <v>2.6873954946687899</v>
      </c>
      <c r="G617" s="127">
        <v>4.8000000000000096</v>
      </c>
      <c r="H617" s="127">
        <v>4.5801526717557302</v>
      </c>
      <c r="I617" s="127">
        <v>1217.5</v>
      </c>
      <c r="J617" s="127">
        <v>726.7</v>
      </c>
      <c r="K617" s="127">
        <v>1219.0999999999999</v>
      </c>
      <c r="L617" s="127">
        <v>62.89</v>
      </c>
      <c r="M617" s="127">
        <v>63.08</v>
      </c>
      <c r="N617" s="127">
        <v>64.5</v>
      </c>
      <c r="O617" s="127">
        <v>63.39</v>
      </c>
      <c r="P617" s="127">
        <v>63.465000000000003</v>
      </c>
      <c r="Q617" s="79">
        <v>14.34</v>
      </c>
      <c r="R617" s="79">
        <v>1.77</v>
      </c>
      <c r="S617" s="147">
        <f t="shared" si="525"/>
        <v>2.4725832656376938</v>
      </c>
      <c r="T617" s="147">
        <f t="shared" si="526"/>
        <v>2.4654127741673446</v>
      </c>
      <c r="U617" s="148">
        <f t="shared" si="527"/>
        <v>3.7266204239549183</v>
      </c>
      <c r="V617" s="147">
        <f t="shared" si="528"/>
        <v>12.461968854664363</v>
      </c>
      <c r="W617" s="147">
        <f t="shared" si="529"/>
        <v>70.096054103360331</v>
      </c>
      <c r="AC617" s="235">
        <v>161</v>
      </c>
      <c r="AD617" s="235">
        <v>91</v>
      </c>
      <c r="AE617" s="235">
        <v>44</v>
      </c>
      <c r="AF617" s="235">
        <v>15</v>
      </c>
    </row>
    <row r="618" spans="1:56" ht="14.4">
      <c r="A618" s="1" t="s">
        <v>146</v>
      </c>
      <c r="B618" s="1" t="s">
        <v>254</v>
      </c>
      <c r="C618" s="145" t="s">
        <v>358</v>
      </c>
      <c r="D618" s="1" t="s">
        <v>297</v>
      </c>
      <c r="E618" s="127">
        <v>2.5608457758771701</v>
      </c>
      <c r="F618" s="127">
        <v>2.6873954946687899</v>
      </c>
      <c r="G618" s="127">
        <v>4.8000000000000096</v>
      </c>
      <c r="H618" s="127">
        <v>4.5801526717557302</v>
      </c>
      <c r="I618" s="127">
        <v>1221.5999999999999</v>
      </c>
      <c r="J618" s="127">
        <v>726.9</v>
      </c>
      <c r="K618" s="127">
        <v>1223.9000000000001</v>
      </c>
      <c r="L618" s="127">
        <v>64.319999999999993</v>
      </c>
      <c r="M618" s="127">
        <v>64.28</v>
      </c>
      <c r="N618" s="127">
        <v>63.86</v>
      </c>
      <c r="O618" s="127">
        <v>64.39</v>
      </c>
      <c r="P618" s="127">
        <v>64.212500000000006</v>
      </c>
      <c r="Q618" s="79">
        <v>14.33</v>
      </c>
      <c r="R618" s="79">
        <v>1.66</v>
      </c>
      <c r="S618" s="147">
        <f t="shared" si="525"/>
        <v>2.4579476861166993</v>
      </c>
      <c r="T618" s="147">
        <f t="shared" si="526"/>
        <v>2.4508196378269607</v>
      </c>
      <c r="U618" s="148">
        <f t="shared" si="527"/>
        <v>4.2964765425017486</v>
      </c>
      <c r="V618" s="147">
        <f t="shared" si="528"/>
        <v>12.980119176938118</v>
      </c>
      <c r="W618" s="147">
        <f t="shared" si="529"/>
        <v>66.899560135508366</v>
      </c>
      <c r="AC618" s="235">
        <v>161</v>
      </c>
      <c r="AD618" s="235">
        <v>91</v>
      </c>
      <c r="AE618" s="235">
        <v>44</v>
      </c>
      <c r="AF618" s="235">
        <v>15</v>
      </c>
    </row>
    <row r="619" spans="1:56" ht="14.4">
      <c r="A619" s="1" t="s">
        <v>146</v>
      </c>
      <c r="B619" s="1" t="s">
        <v>254</v>
      </c>
      <c r="C619" s="145" t="s">
        <v>358</v>
      </c>
      <c r="D619" s="1" t="s">
        <v>298</v>
      </c>
      <c r="E619" s="127">
        <v>2.5608457758771701</v>
      </c>
      <c r="F619" s="127">
        <v>2.6873954946687899</v>
      </c>
      <c r="G619" s="127">
        <v>4.8000000000000096</v>
      </c>
      <c r="H619" s="127">
        <v>4.5801526717557302</v>
      </c>
      <c r="I619" s="127">
        <v>1217.4000000000001</v>
      </c>
      <c r="J619" s="127">
        <v>723.2</v>
      </c>
      <c r="K619" s="127">
        <v>1220.5</v>
      </c>
      <c r="L619" s="127">
        <v>64.5</v>
      </c>
      <c r="M619" s="127">
        <v>64.73</v>
      </c>
      <c r="N619" s="127">
        <v>64.86</v>
      </c>
      <c r="O619" s="127">
        <v>64.86</v>
      </c>
      <c r="P619" s="127">
        <v>64.737499999999997</v>
      </c>
      <c r="Q619" s="79">
        <v>12.34</v>
      </c>
      <c r="R619" s="79">
        <v>1.27</v>
      </c>
      <c r="S619" s="147">
        <f t="shared" si="525"/>
        <v>2.4480193042429121</v>
      </c>
      <c r="T619" s="147">
        <f t="shared" si="526"/>
        <v>2.4409200482606077</v>
      </c>
      <c r="U619" s="148">
        <f t="shared" si="527"/>
        <v>4.6830515428241348</v>
      </c>
      <c r="V619" s="147">
        <f t="shared" si="528"/>
        <v>13.331618361523198</v>
      </c>
      <c r="W619" s="147">
        <f t="shared" si="529"/>
        <v>64.872595240649574</v>
      </c>
      <c r="AC619" s="235">
        <v>161</v>
      </c>
      <c r="AD619" s="235">
        <v>91</v>
      </c>
      <c r="AE619" s="235">
        <v>44</v>
      </c>
      <c r="AF619" s="235">
        <v>15</v>
      </c>
    </row>
    <row r="620" spans="1:56" ht="14.4">
      <c r="A620" s="1" t="s">
        <v>146</v>
      </c>
      <c r="B620" s="1" t="s">
        <v>255</v>
      </c>
      <c r="C620" s="1" t="s">
        <v>343</v>
      </c>
      <c r="D620" s="1" t="s">
        <v>294</v>
      </c>
      <c r="E620" s="127">
        <v>2.6082122358870601</v>
      </c>
      <c r="F620" s="127">
        <v>2.6873954946687899</v>
      </c>
      <c r="G620" s="127">
        <v>4.8000000000000096</v>
      </c>
      <c r="H620" s="127">
        <v>4.5801526717557302</v>
      </c>
      <c r="I620" s="127">
        <v>1235.9000000000001</v>
      </c>
      <c r="J620" s="127">
        <v>748</v>
      </c>
      <c r="K620" s="127">
        <v>1238.5999999999999</v>
      </c>
      <c r="L620" s="127">
        <v>62.32</v>
      </c>
      <c r="M620" s="127">
        <v>62.97</v>
      </c>
      <c r="N620" s="127">
        <v>62.76</v>
      </c>
      <c r="O620" s="127">
        <v>62.7</v>
      </c>
      <c r="P620" s="127">
        <v>62.6875</v>
      </c>
      <c r="Q620" s="79">
        <v>15.79</v>
      </c>
      <c r="R620" s="79">
        <v>1.86</v>
      </c>
      <c r="S620" s="147">
        <f t="shared" si="525"/>
        <v>2.5191602119853247</v>
      </c>
      <c r="T620" s="147">
        <f t="shared" si="526"/>
        <v>2.5118546473705674</v>
      </c>
      <c r="U620" s="148">
        <f t="shared" si="527"/>
        <v>3.6943921660470669</v>
      </c>
      <c r="V620" s="147">
        <f t="shared" si="528"/>
        <v>10.812983262673797</v>
      </c>
      <c r="W620" s="147">
        <f t="shared" si="529"/>
        <v>65.833738235774078</v>
      </c>
      <c r="X620" s="132">
        <f>AVERAGE(S620:S624)</f>
        <v>2.5171014552775719</v>
      </c>
      <c r="Y620" s="132">
        <f t="shared" ref="Y620" si="568">AVERAGE(T620:T624)</f>
        <v>2.5098018610572672</v>
      </c>
      <c r="Z620" s="133">
        <f t="shared" ref="Z620" si="569">AVERAGE(U620:U624)</f>
        <v>3.7730968927965014</v>
      </c>
      <c r="AA620" s="132">
        <f t="shared" ref="AA620" si="570">AVERAGE(V620:V624)</f>
        <v>10.8858703970763</v>
      </c>
      <c r="AB620" s="132">
        <f t="shared" ref="AB620" si="571">AVERAGE(W620:W624)</f>
        <v>65.380112275936114</v>
      </c>
      <c r="AC620" s="235">
        <v>144</v>
      </c>
      <c r="AD620" s="235">
        <v>107.8</v>
      </c>
      <c r="AE620" s="235">
        <v>43.95</v>
      </c>
      <c r="AF620" s="235">
        <v>60.3</v>
      </c>
    </row>
    <row r="621" spans="1:56" ht="14.4">
      <c r="A621" s="1" t="s">
        <v>146</v>
      </c>
      <c r="B621" s="1" t="s">
        <v>255</v>
      </c>
      <c r="C621" s="1" t="s">
        <v>343</v>
      </c>
      <c r="D621" s="1" t="s">
        <v>295</v>
      </c>
      <c r="E621" s="127">
        <v>2.6082122358870601</v>
      </c>
      <c r="F621" s="127">
        <v>2.6873954946687899</v>
      </c>
      <c r="G621" s="127">
        <v>4.8000000000000096</v>
      </c>
      <c r="H621" s="127">
        <v>4.5801526717557302</v>
      </c>
      <c r="I621" s="127">
        <v>1239.2</v>
      </c>
      <c r="J621" s="127">
        <v>750.7</v>
      </c>
      <c r="K621" s="127">
        <v>1241.0999999999999</v>
      </c>
      <c r="L621" s="127">
        <v>62.21</v>
      </c>
      <c r="M621" s="127">
        <v>62.26</v>
      </c>
      <c r="N621" s="127">
        <v>62.16</v>
      </c>
      <c r="O621" s="127">
        <v>62.15</v>
      </c>
      <c r="P621" s="127">
        <v>62.195</v>
      </c>
      <c r="Q621" s="79">
        <v>15.78</v>
      </c>
      <c r="R621" s="79">
        <v>2.15</v>
      </c>
      <c r="S621" s="147">
        <f t="shared" si="525"/>
        <v>2.5269168026101152</v>
      </c>
      <c r="T621" s="147">
        <f t="shared" si="526"/>
        <v>2.5195887438825459</v>
      </c>
      <c r="U621" s="148">
        <f t="shared" si="527"/>
        <v>3.3978635168227855</v>
      </c>
      <c r="V621" s="147">
        <f t="shared" si="528"/>
        <v>10.538373027649257</v>
      </c>
      <c r="W621" s="147">
        <f t="shared" si="529"/>
        <v>67.757228673649166</v>
      </c>
      <c r="AC621" s="235">
        <v>144</v>
      </c>
      <c r="AD621" s="235">
        <v>107.8</v>
      </c>
      <c r="AE621" s="235">
        <v>43.95</v>
      </c>
      <c r="AF621" s="235">
        <v>60.3</v>
      </c>
    </row>
    <row r="622" spans="1:56" ht="14.4">
      <c r="A622" s="1" t="s">
        <v>146</v>
      </c>
      <c r="B622" s="1" t="s">
        <v>255</v>
      </c>
      <c r="C622" s="1" t="s">
        <v>343</v>
      </c>
      <c r="D622" s="1" t="s">
        <v>296</v>
      </c>
      <c r="E622" s="127">
        <v>2.6082122358870601</v>
      </c>
      <c r="F622" s="127">
        <v>2.6873954946687899</v>
      </c>
      <c r="G622" s="127">
        <v>4.8000000000000096</v>
      </c>
      <c r="H622" s="127">
        <v>4.5801526717557302</v>
      </c>
      <c r="I622" s="127">
        <v>1217.5</v>
      </c>
      <c r="J622" s="127">
        <v>735.7</v>
      </c>
      <c r="K622" s="127">
        <v>1220.2</v>
      </c>
      <c r="L622" s="127">
        <v>61.02</v>
      </c>
      <c r="M622" s="127">
        <v>60.95</v>
      </c>
      <c r="N622" s="127">
        <v>61.09</v>
      </c>
      <c r="O622" s="127">
        <v>60.82</v>
      </c>
      <c r="P622" s="127">
        <v>60.97</v>
      </c>
      <c r="Q622" s="79">
        <v>13.83</v>
      </c>
      <c r="R622" s="79">
        <v>1.88</v>
      </c>
      <c r="S622" s="147">
        <f t="shared" si="525"/>
        <v>2.5128998968008256</v>
      </c>
      <c r="T622" s="147">
        <f t="shared" si="526"/>
        <v>2.5056124871001031</v>
      </c>
      <c r="U622" s="148">
        <f t="shared" si="527"/>
        <v>3.9337193260295611</v>
      </c>
      <c r="V622" s="147">
        <f t="shared" si="528"/>
        <v>11.034620152810632</v>
      </c>
      <c r="W622" s="147">
        <f t="shared" si="529"/>
        <v>64.351112484577897</v>
      </c>
      <c r="AC622" s="235">
        <v>144</v>
      </c>
      <c r="AD622" s="235">
        <v>107.8</v>
      </c>
      <c r="AE622" s="235">
        <v>43.95</v>
      </c>
      <c r="AF622" s="235">
        <v>60.3</v>
      </c>
    </row>
    <row r="623" spans="1:56" ht="14.4">
      <c r="A623" s="1" t="s">
        <v>146</v>
      </c>
      <c r="B623" s="1" t="s">
        <v>255</v>
      </c>
      <c r="C623" s="1" t="s">
        <v>343</v>
      </c>
      <c r="D623" s="1" t="s">
        <v>297</v>
      </c>
      <c r="E623" s="127">
        <v>2.6082122358870601</v>
      </c>
      <c r="F623" s="127">
        <v>2.6873954946687899</v>
      </c>
      <c r="G623" s="127">
        <v>4.8000000000000096</v>
      </c>
      <c r="H623" s="127">
        <v>4.5801526717557302</v>
      </c>
      <c r="I623" s="127">
        <v>1238</v>
      </c>
      <c r="J623" s="127">
        <v>749.1</v>
      </c>
      <c r="K623" s="127">
        <v>1240.2</v>
      </c>
      <c r="L623" s="127">
        <v>63.17</v>
      </c>
      <c r="M623" s="127">
        <v>63.26</v>
      </c>
      <c r="N623" s="127">
        <v>63.02</v>
      </c>
      <c r="O623" s="127">
        <v>62.93</v>
      </c>
      <c r="P623" s="127">
        <v>63.094999999999999</v>
      </c>
      <c r="Q623" s="79">
        <v>14.46</v>
      </c>
      <c r="R623" s="79">
        <v>2.27</v>
      </c>
      <c r="S623" s="147">
        <f t="shared" si="525"/>
        <v>2.5208715129301567</v>
      </c>
      <c r="T623" s="147">
        <f t="shared" si="526"/>
        <v>2.5135609855426591</v>
      </c>
      <c r="U623" s="148">
        <f t="shared" si="527"/>
        <v>3.6289704128395051</v>
      </c>
      <c r="V623" s="147">
        <f t="shared" si="528"/>
        <v>10.752397268467007</v>
      </c>
      <c r="W623" s="147">
        <f t="shared" si="529"/>
        <v>66.249662077851255</v>
      </c>
      <c r="AC623" s="235">
        <v>144</v>
      </c>
      <c r="AD623" s="235">
        <v>107.8</v>
      </c>
      <c r="AE623" s="235">
        <v>43.95</v>
      </c>
      <c r="AF623" s="235">
        <v>60.3</v>
      </c>
    </row>
    <row r="624" spans="1:56" ht="14.4">
      <c r="A624" s="1" t="s">
        <v>146</v>
      </c>
      <c r="B624" s="1" t="s">
        <v>255</v>
      </c>
      <c r="C624" s="1" t="s">
        <v>343</v>
      </c>
      <c r="D624" s="1" t="s">
        <v>298</v>
      </c>
      <c r="E624" s="127">
        <v>2.6082122358870601</v>
      </c>
      <c r="F624" s="127">
        <v>2.6873954946687899</v>
      </c>
      <c r="G624" s="127">
        <v>4.8000000000000096</v>
      </c>
      <c r="H624" s="127">
        <v>4.5801526717557302</v>
      </c>
      <c r="I624" s="127">
        <v>1239.8</v>
      </c>
      <c r="J624" s="127">
        <v>748.3</v>
      </c>
      <c r="K624" s="127">
        <v>1243.0999999999999</v>
      </c>
      <c r="L624" s="127">
        <v>63.81</v>
      </c>
      <c r="M624" s="127">
        <v>63.44</v>
      </c>
      <c r="N624" s="127">
        <v>63.57</v>
      </c>
      <c r="O624" s="127">
        <v>63.4</v>
      </c>
      <c r="P624" s="127">
        <v>63.555</v>
      </c>
      <c r="Q624" s="79">
        <v>12.99</v>
      </c>
      <c r="R624" s="79">
        <v>1.45</v>
      </c>
      <c r="S624" s="147">
        <f t="shared" si="525"/>
        <v>2.5056588520614391</v>
      </c>
      <c r="T624" s="147">
        <f t="shared" si="526"/>
        <v>2.498392441390461</v>
      </c>
      <c r="U624" s="148">
        <f t="shared" si="527"/>
        <v>4.2105390422435889</v>
      </c>
      <c r="V624" s="147">
        <f t="shared" si="528"/>
        <v>11.290978273780809</v>
      </c>
      <c r="W624" s="147">
        <f t="shared" si="529"/>
        <v>62.708819907828229</v>
      </c>
      <c r="AC624" s="235">
        <v>144</v>
      </c>
      <c r="AD624" s="235">
        <v>107.8</v>
      </c>
      <c r="AE624" s="235">
        <v>43.95</v>
      </c>
      <c r="AF624" s="235">
        <v>60.3</v>
      </c>
    </row>
    <row r="625" spans="1:32" ht="14.4">
      <c r="A625" s="1" t="s">
        <v>147</v>
      </c>
      <c r="B625" s="1" t="s">
        <v>218</v>
      </c>
      <c r="C625" s="145" t="s">
        <v>351</v>
      </c>
      <c r="D625" s="1" t="s">
        <v>294</v>
      </c>
      <c r="E625" s="127">
        <v>2.55989375830013</v>
      </c>
      <c r="F625" s="127">
        <v>2.65675512685082</v>
      </c>
      <c r="G625" s="127">
        <v>4.8000000000000096</v>
      </c>
      <c r="H625" s="127">
        <v>4.5801526717557302</v>
      </c>
      <c r="I625" s="127">
        <v>1218</v>
      </c>
      <c r="J625" s="127">
        <v>726.2</v>
      </c>
      <c r="K625" s="127">
        <v>1220.2</v>
      </c>
      <c r="L625" s="127">
        <v>63.82</v>
      </c>
      <c r="M625" s="127">
        <v>63.56</v>
      </c>
      <c r="N625" s="127">
        <v>63.07</v>
      </c>
      <c r="O625" s="127">
        <v>63.29</v>
      </c>
      <c r="P625" s="127">
        <v>63.483333333333299</v>
      </c>
      <c r="Q625" s="79">
        <v>13.35</v>
      </c>
      <c r="R625" s="79">
        <v>1.24</v>
      </c>
      <c r="S625" s="147">
        <f t="shared" si="525"/>
        <v>2.4655870445344128</v>
      </c>
      <c r="T625" s="147">
        <f t="shared" si="526"/>
        <v>2.4584368421052631</v>
      </c>
      <c r="U625" s="148">
        <f t="shared" si="527"/>
        <v>3.9633252694923682</v>
      </c>
      <c r="V625" s="147">
        <f t="shared" si="528"/>
        <v>11.702939511072472</v>
      </c>
      <c r="W625" s="147">
        <f t="shared" si="529"/>
        <v>66.133933566497902</v>
      </c>
      <c r="X625" s="132">
        <f>AVERAGE(S625:S629)</f>
        <v>2.4515276998191253</v>
      </c>
      <c r="Y625" s="132">
        <f t="shared" ref="Y625" si="572">AVERAGE(T625:T629)</f>
        <v>2.4444182694896499</v>
      </c>
      <c r="Z625" s="133">
        <f t="shared" ref="Z625" si="573">AVERAGE(U625:U629)</f>
        <v>4.5109484890170064</v>
      </c>
      <c r="AA625" s="132">
        <f t="shared" ref="AA625" si="574">AVERAGE(V625:V629)</f>
        <v>12.20642966913131</v>
      </c>
      <c r="AB625" s="132">
        <f t="shared" ref="AB625" si="575">AVERAGE(W625:W629)</f>
        <v>63.086688312054648</v>
      </c>
      <c r="AC625" s="235">
        <v>161</v>
      </c>
      <c r="AD625" s="235">
        <v>91</v>
      </c>
      <c r="AE625" s="235">
        <v>44</v>
      </c>
      <c r="AF625" s="235">
        <v>15</v>
      </c>
    </row>
    <row r="626" spans="1:32" ht="14.4">
      <c r="A626" s="1" t="s">
        <v>147</v>
      </c>
      <c r="B626" s="1" t="s">
        <v>218</v>
      </c>
      <c r="C626" s="145" t="s">
        <v>351</v>
      </c>
      <c r="D626" s="1" t="s">
        <v>295</v>
      </c>
      <c r="E626" s="127">
        <v>2.55989375830013</v>
      </c>
      <c r="F626" s="127">
        <v>2.65675512685082</v>
      </c>
      <c r="G626" s="127">
        <v>4.8000000000000096</v>
      </c>
      <c r="H626" s="127">
        <v>4.5801526717557302</v>
      </c>
      <c r="I626" s="127">
        <v>1219.9000000000001</v>
      </c>
      <c r="J626" s="127">
        <v>724.3</v>
      </c>
      <c r="K626" s="127">
        <v>1222</v>
      </c>
      <c r="L626" s="127">
        <v>64.180000000000007</v>
      </c>
      <c r="M626" s="127">
        <v>62.96</v>
      </c>
      <c r="N626" s="127">
        <v>64.19</v>
      </c>
      <c r="O626" s="127">
        <v>63.86</v>
      </c>
      <c r="P626" s="127">
        <v>63.776666666666699</v>
      </c>
      <c r="Q626" s="79">
        <v>12.6</v>
      </c>
      <c r="R626" s="79">
        <v>1.28</v>
      </c>
      <c r="S626" s="147">
        <f t="shared" si="525"/>
        <v>2.4510749447458307</v>
      </c>
      <c r="T626" s="147">
        <f t="shared" si="526"/>
        <v>2.4439668274060677</v>
      </c>
      <c r="U626" s="148">
        <f t="shared" si="527"/>
        <v>4.5285836772789416</v>
      </c>
      <c r="V626" s="147">
        <f t="shared" si="528"/>
        <v>12.222643634151112</v>
      </c>
      <c r="W626" s="147">
        <f t="shared" si="529"/>
        <v>62.949229210727445</v>
      </c>
      <c r="AC626" s="235">
        <v>161</v>
      </c>
      <c r="AD626" s="235">
        <v>91</v>
      </c>
      <c r="AE626" s="235">
        <v>44</v>
      </c>
      <c r="AF626" s="235">
        <v>15</v>
      </c>
    </row>
    <row r="627" spans="1:32" ht="14.4">
      <c r="A627" s="1" t="s">
        <v>147</v>
      </c>
      <c r="B627" s="1" t="s">
        <v>218</v>
      </c>
      <c r="C627" s="145" t="s">
        <v>351</v>
      </c>
      <c r="D627" s="1" t="s">
        <v>296</v>
      </c>
      <c r="E627" s="127">
        <v>2.55989375830013</v>
      </c>
      <c r="F627" s="127">
        <v>2.65675512685082</v>
      </c>
      <c r="G627" s="127">
        <v>4.8000000000000096</v>
      </c>
      <c r="H627" s="127">
        <v>4.5801526717557302</v>
      </c>
      <c r="I627" s="127">
        <v>1216</v>
      </c>
      <c r="J627" s="127">
        <v>721</v>
      </c>
      <c r="K627" s="127">
        <v>1218.3</v>
      </c>
      <c r="L627" s="127">
        <v>63.73</v>
      </c>
      <c r="M627" s="127">
        <v>64.16</v>
      </c>
      <c r="N627" s="127">
        <v>64.349999999999994</v>
      </c>
      <c r="O627" s="127">
        <v>64.25</v>
      </c>
      <c r="P627" s="127">
        <v>64.08</v>
      </c>
      <c r="Q627" s="79">
        <v>12.17</v>
      </c>
      <c r="R627" s="79">
        <v>1.44</v>
      </c>
      <c r="S627" s="147">
        <f t="shared" si="525"/>
        <v>2.4452041021516191</v>
      </c>
      <c r="T627" s="147">
        <f t="shared" si="526"/>
        <v>2.4381130102553792</v>
      </c>
      <c r="U627" s="148">
        <f t="shared" si="527"/>
        <v>4.7572578998598019</v>
      </c>
      <c r="V627" s="147">
        <f t="shared" si="528"/>
        <v>12.432888956785817</v>
      </c>
      <c r="W627" s="147">
        <f t="shared" si="529"/>
        <v>61.73650455340622</v>
      </c>
      <c r="AC627" s="235">
        <v>161</v>
      </c>
      <c r="AD627" s="235">
        <v>91</v>
      </c>
      <c r="AE627" s="235">
        <v>44</v>
      </c>
      <c r="AF627" s="235">
        <v>15</v>
      </c>
    </row>
    <row r="628" spans="1:32" ht="14.4">
      <c r="A628" s="1" t="s">
        <v>147</v>
      </c>
      <c r="B628" s="1" t="s">
        <v>218</v>
      </c>
      <c r="C628" s="145" t="s">
        <v>351</v>
      </c>
      <c r="D628" s="1" t="s">
        <v>297</v>
      </c>
      <c r="E628" s="127">
        <v>2.55989375830013</v>
      </c>
      <c r="F628" s="127">
        <v>2.65675512685082</v>
      </c>
      <c r="G628" s="127">
        <v>4.8000000000000096</v>
      </c>
      <c r="H628" s="127">
        <v>4.5801526717557302</v>
      </c>
      <c r="I628" s="127">
        <v>1214.5999999999999</v>
      </c>
      <c r="J628" s="127">
        <v>720.4</v>
      </c>
      <c r="K628" s="127">
        <v>1217.8</v>
      </c>
      <c r="L628" s="127">
        <v>64.42</v>
      </c>
      <c r="M628" s="127">
        <v>64</v>
      </c>
      <c r="N628" s="127">
        <v>63.88</v>
      </c>
      <c r="O628" s="127">
        <v>64.03</v>
      </c>
      <c r="P628" s="127">
        <v>64.099999999999994</v>
      </c>
      <c r="Q628" s="79">
        <v>12.12</v>
      </c>
      <c r="R628" s="79">
        <v>1.38</v>
      </c>
      <c r="S628" s="147">
        <f t="shared" si="525"/>
        <v>2.4418978689183755</v>
      </c>
      <c r="T628" s="147">
        <f t="shared" si="526"/>
        <v>2.434816365098512</v>
      </c>
      <c r="U628" s="148">
        <f t="shared" si="527"/>
        <v>4.8860384457780963</v>
      </c>
      <c r="V628" s="147">
        <f t="shared" si="528"/>
        <v>12.551291053533262</v>
      </c>
      <c r="W628" s="147">
        <f t="shared" si="529"/>
        <v>61.071427433732822</v>
      </c>
      <c r="AC628" s="235">
        <v>161</v>
      </c>
      <c r="AD628" s="235">
        <v>91</v>
      </c>
      <c r="AE628" s="235">
        <v>44</v>
      </c>
      <c r="AF628" s="235">
        <v>15</v>
      </c>
    </row>
    <row r="629" spans="1:32" ht="14.4">
      <c r="A629" s="1" t="s">
        <v>147</v>
      </c>
      <c r="B629" s="1" t="s">
        <v>218</v>
      </c>
      <c r="C629" s="145" t="s">
        <v>351</v>
      </c>
      <c r="D629" s="1" t="s">
        <v>298</v>
      </c>
      <c r="E629" s="127">
        <v>2.55989375830013</v>
      </c>
      <c r="F629" s="127">
        <v>2.65675512685082</v>
      </c>
      <c r="G629" s="127">
        <v>4.8000000000000096</v>
      </c>
      <c r="H629" s="127">
        <v>4.5801526717557302</v>
      </c>
      <c r="I629" s="127">
        <v>1197</v>
      </c>
      <c r="J629" s="127">
        <v>712.7</v>
      </c>
      <c r="K629" s="127">
        <v>1200.5</v>
      </c>
      <c r="L629" s="127">
        <v>63.1</v>
      </c>
      <c r="M629" s="127">
        <v>63.07</v>
      </c>
      <c r="N629" s="127">
        <v>63.39</v>
      </c>
      <c r="O629" s="127">
        <v>63.3</v>
      </c>
      <c r="P629" s="127">
        <v>63.186666666666703</v>
      </c>
      <c r="Q629" s="79">
        <v>11.89</v>
      </c>
      <c r="R629" s="79">
        <v>1.38</v>
      </c>
      <c r="S629" s="147">
        <f t="shared" si="525"/>
        <v>2.4538745387453877</v>
      </c>
      <c r="T629" s="147">
        <f t="shared" si="526"/>
        <v>2.4467583025830262</v>
      </c>
      <c r="U629" s="148">
        <f t="shared" si="527"/>
        <v>4.4195371526758231</v>
      </c>
      <c r="V629" s="147">
        <f t="shared" si="528"/>
        <v>12.122385190113889</v>
      </c>
      <c r="W629" s="147">
        <f t="shared" si="529"/>
        <v>63.542346795908877</v>
      </c>
      <c r="AC629" s="235">
        <v>161</v>
      </c>
      <c r="AD629" s="235">
        <v>91</v>
      </c>
      <c r="AE629" s="235">
        <v>44</v>
      </c>
      <c r="AF629" s="235">
        <v>15</v>
      </c>
    </row>
    <row r="630" spans="1:32" ht="14.4">
      <c r="A630" s="1" t="s">
        <v>148</v>
      </c>
      <c r="B630" s="1" t="s">
        <v>218</v>
      </c>
      <c r="C630" s="145" t="s">
        <v>351</v>
      </c>
      <c r="D630" s="1" t="s">
        <v>294</v>
      </c>
      <c r="E630" s="127">
        <v>2.528</v>
      </c>
      <c r="F630" s="127">
        <v>2.65675512685082</v>
      </c>
      <c r="G630" s="127">
        <v>4.8000000000000096</v>
      </c>
      <c r="H630" s="127">
        <v>4.5801526717557302</v>
      </c>
      <c r="I630" s="127">
        <v>1221.7</v>
      </c>
      <c r="J630" s="127">
        <v>722</v>
      </c>
      <c r="K630" s="127">
        <v>1224.4000000000001</v>
      </c>
      <c r="L630" s="127">
        <v>64.42</v>
      </c>
      <c r="M630" s="127">
        <v>64.010000000000005</v>
      </c>
      <c r="N630" s="127">
        <v>64.58</v>
      </c>
      <c r="O630" s="127">
        <v>64.61</v>
      </c>
      <c r="P630" s="127">
        <v>64.405000000000001</v>
      </c>
      <c r="Q630" s="79">
        <v>13.66</v>
      </c>
      <c r="R630" s="79">
        <v>2.2200000000000002</v>
      </c>
      <c r="S630" s="147">
        <f t="shared" si="525"/>
        <v>2.431727707006369</v>
      </c>
      <c r="T630" s="147">
        <f t="shared" si="526"/>
        <v>2.4246756966560503</v>
      </c>
      <c r="U630" s="148">
        <f t="shared" si="527"/>
        <v>4.0871955436688978</v>
      </c>
      <c r="V630" s="147">
        <f t="shared" si="528"/>
        <v>12.915502653167209</v>
      </c>
      <c r="W630" s="147">
        <f t="shared" si="529"/>
        <v>68.354343973855222</v>
      </c>
      <c r="X630" s="132">
        <f>AVERAGE(S630:S634)</f>
        <v>2.4141790031498709</v>
      </c>
      <c r="Y630" s="132">
        <f t="shared" ref="Y630" si="576">AVERAGE(T630:T634)</f>
        <v>2.4071778840407361</v>
      </c>
      <c r="Z630" s="133">
        <f t="shared" ref="Z630" si="577">AVERAGE(U630:U634)</f>
        <v>4.7793558528189868</v>
      </c>
      <c r="AA630" s="132">
        <f t="shared" ref="AA630" si="578">AVERAGE(V630:V634)</f>
        <v>13.543952972678071</v>
      </c>
      <c r="AB630" s="132">
        <f t="shared" ref="AB630" si="579">AVERAGE(W630:W634)</f>
        <v>64.818702495209209</v>
      </c>
      <c r="AC630" s="235">
        <v>161</v>
      </c>
      <c r="AD630" s="235">
        <v>91</v>
      </c>
      <c r="AE630" s="235">
        <v>44</v>
      </c>
      <c r="AF630" s="235">
        <v>15</v>
      </c>
    </row>
    <row r="631" spans="1:32" ht="14.4">
      <c r="A631" s="1" t="s">
        <v>148</v>
      </c>
      <c r="B631" s="1" t="s">
        <v>218</v>
      </c>
      <c r="C631" s="145" t="s">
        <v>351</v>
      </c>
      <c r="D631" s="1" t="s">
        <v>295</v>
      </c>
      <c r="E631" s="127">
        <v>2.528</v>
      </c>
      <c r="F631" s="127">
        <v>2.65675512685082</v>
      </c>
      <c r="G631" s="127">
        <v>4.8000000000000096</v>
      </c>
      <c r="H631" s="127">
        <v>4.5801526717557302</v>
      </c>
      <c r="I631" s="127">
        <v>1209.4000000000001</v>
      </c>
      <c r="J631" s="127">
        <v>713.7</v>
      </c>
      <c r="K631" s="127">
        <v>1211.5</v>
      </c>
      <c r="L631" s="127">
        <v>64.010000000000005</v>
      </c>
      <c r="M631" s="127">
        <v>63.98</v>
      </c>
      <c r="N631" s="127">
        <v>63.83</v>
      </c>
      <c r="O631" s="127">
        <v>63.4</v>
      </c>
      <c r="P631" s="127">
        <v>63.805</v>
      </c>
      <c r="Q631" s="79">
        <v>13.92</v>
      </c>
      <c r="R631" s="79">
        <v>2.11</v>
      </c>
      <c r="S631" s="147">
        <f t="shared" si="525"/>
        <v>2.4294897549216556</v>
      </c>
      <c r="T631" s="147">
        <f t="shared" si="526"/>
        <v>2.4224442346323829</v>
      </c>
      <c r="U631" s="148">
        <f t="shared" si="527"/>
        <v>4.1754654022000404</v>
      </c>
      <c r="V631" s="147">
        <f t="shared" si="528"/>
        <v>12.995647700584328</v>
      </c>
      <c r="W631" s="147">
        <f t="shared" si="529"/>
        <v>67.870278585558324</v>
      </c>
      <c r="AC631" s="235">
        <v>161</v>
      </c>
      <c r="AD631" s="235">
        <v>91</v>
      </c>
      <c r="AE631" s="235">
        <v>44</v>
      </c>
      <c r="AF631" s="235">
        <v>15</v>
      </c>
    </row>
    <row r="632" spans="1:32" ht="14.4">
      <c r="A632" s="1" t="s">
        <v>148</v>
      </c>
      <c r="B632" s="1" t="s">
        <v>218</v>
      </c>
      <c r="C632" s="145" t="s">
        <v>351</v>
      </c>
      <c r="D632" s="1" t="s">
        <v>296</v>
      </c>
      <c r="E632" s="127">
        <v>2.528</v>
      </c>
      <c r="F632" s="127">
        <v>2.65675512685082</v>
      </c>
      <c r="G632" s="127">
        <v>4.8000000000000096</v>
      </c>
      <c r="H632" s="127">
        <v>4.5801526717557302</v>
      </c>
      <c r="I632" s="127">
        <v>1207.2</v>
      </c>
      <c r="J632" s="127">
        <v>710</v>
      </c>
      <c r="K632" s="127">
        <v>1211</v>
      </c>
      <c r="L632" s="127">
        <v>63.58</v>
      </c>
      <c r="M632" s="127">
        <v>64.03</v>
      </c>
      <c r="N632" s="127">
        <v>64.16</v>
      </c>
      <c r="O632" s="127">
        <v>63.89</v>
      </c>
      <c r="P632" s="127">
        <v>63.914999999999999</v>
      </c>
      <c r="Q632" s="79">
        <v>13.68</v>
      </c>
      <c r="R632" s="79">
        <v>1.62</v>
      </c>
      <c r="S632" s="147">
        <f t="shared" si="525"/>
        <v>2.4095808383233535</v>
      </c>
      <c r="T632" s="147">
        <f t="shared" si="526"/>
        <v>2.4025930538922156</v>
      </c>
      <c r="U632" s="148">
        <f t="shared" si="527"/>
        <v>4.9607178048965412</v>
      </c>
      <c r="V632" s="147">
        <f t="shared" si="528"/>
        <v>13.708621439250791</v>
      </c>
      <c r="W632" s="147">
        <f t="shared" si="529"/>
        <v>63.813153445955422</v>
      </c>
      <c r="AC632" s="235">
        <v>161</v>
      </c>
      <c r="AD632" s="235">
        <v>91</v>
      </c>
      <c r="AE632" s="235">
        <v>44</v>
      </c>
      <c r="AF632" s="235">
        <v>15</v>
      </c>
    </row>
    <row r="633" spans="1:32" ht="14.4">
      <c r="A633" s="1" t="s">
        <v>148</v>
      </c>
      <c r="B633" s="1" t="s">
        <v>218</v>
      </c>
      <c r="C633" s="145" t="s">
        <v>351</v>
      </c>
      <c r="D633" s="1" t="s">
        <v>297</v>
      </c>
      <c r="E633" s="127">
        <v>2.528</v>
      </c>
      <c r="F633" s="127">
        <v>2.65675512685082</v>
      </c>
      <c r="G633" s="127">
        <v>4.8000000000000096</v>
      </c>
      <c r="H633" s="127">
        <v>4.5801526717557302</v>
      </c>
      <c r="I633" s="127">
        <v>1211.4000000000001</v>
      </c>
      <c r="J633" s="127">
        <v>712.3</v>
      </c>
      <c r="K633" s="127">
        <v>1216</v>
      </c>
      <c r="L633" s="127">
        <v>64.06</v>
      </c>
      <c r="M633" s="127">
        <v>63.95</v>
      </c>
      <c r="N633" s="127">
        <v>63.91</v>
      </c>
      <c r="O633" s="127">
        <v>64.08</v>
      </c>
      <c r="P633" s="127">
        <v>64</v>
      </c>
      <c r="Q633" s="79">
        <v>12.74</v>
      </c>
      <c r="R633" s="79">
        <v>1.27</v>
      </c>
      <c r="S633" s="147">
        <f t="shared" si="525"/>
        <v>2.4050029779630733</v>
      </c>
      <c r="T633" s="147">
        <f t="shared" si="526"/>
        <v>2.3980284693269804</v>
      </c>
      <c r="U633" s="148">
        <f t="shared" si="527"/>
        <v>5.1412789032048938</v>
      </c>
      <c r="V633" s="147">
        <f t="shared" si="528"/>
        <v>13.87256276674826</v>
      </c>
      <c r="W633" s="147">
        <f t="shared" si="529"/>
        <v>62.939227670836381</v>
      </c>
      <c r="AC633" s="235">
        <v>161</v>
      </c>
      <c r="AD633" s="235">
        <v>91</v>
      </c>
      <c r="AE633" s="235">
        <v>44</v>
      </c>
      <c r="AF633" s="235">
        <v>15</v>
      </c>
    </row>
    <row r="634" spans="1:32" ht="14.4">
      <c r="A634" s="1" t="s">
        <v>148</v>
      </c>
      <c r="B634" s="1" t="s">
        <v>218</v>
      </c>
      <c r="C634" s="145" t="s">
        <v>351</v>
      </c>
      <c r="D634" s="1" t="s">
        <v>298</v>
      </c>
      <c r="E634" s="127">
        <v>2.528</v>
      </c>
      <c r="F634" s="127">
        <v>2.65675512685082</v>
      </c>
      <c r="G634" s="127">
        <v>4.8000000000000096</v>
      </c>
      <c r="H634" s="127">
        <v>4.5801526717557302</v>
      </c>
      <c r="I634" s="127">
        <v>1200.9000000000001</v>
      </c>
      <c r="J634" s="127">
        <v>704.8</v>
      </c>
      <c r="K634" s="127">
        <v>1206.2</v>
      </c>
      <c r="L634" s="127">
        <v>66.010000000000005</v>
      </c>
      <c r="M634" s="127">
        <v>65.58</v>
      </c>
      <c r="N634" s="127">
        <v>65.38</v>
      </c>
      <c r="O634" s="127">
        <v>65.52</v>
      </c>
      <c r="P634" s="127">
        <v>65.622500000000002</v>
      </c>
      <c r="Q634" s="79">
        <v>13.48</v>
      </c>
      <c r="R634" s="79">
        <v>2.23</v>
      </c>
      <c r="S634" s="147">
        <f t="shared" si="525"/>
        <v>2.3950937375349022</v>
      </c>
      <c r="T634" s="147">
        <f t="shared" si="526"/>
        <v>2.3881479656960511</v>
      </c>
      <c r="U634" s="148">
        <f t="shared" si="527"/>
        <v>5.5321216101245625</v>
      </c>
      <c r="V634" s="147">
        <f t="shared" si="528"/>
        <v>14.227430303639764</v>
      </c>
      <c r="W634" s="147">
        <f t="shared" si="529"/>
        <v>61.116508799840716</v>
      </c>
      <c r="AC634" s="235">
        <v>161</v>
      </c>
      <c r="AD634" s="235">
        <v>91</v>
      </c>
      <c r="AE634" s="235">
        <v>44</v>
      </c>
      <c r="AF634" s="235">
        <v>15</v>
      </c>
    </row>
    <row r="635" spans="1:32" ht="14.4">
      <c r="A635" s="1" t="s">
        <v>148</v>
      </c>
      <c r="B635" s="1" t="s">
        <v>218</v>
      </c>
      <c r="C635" s="145" t="s">
        <v>359</v>
      </c>
      <c r="D635" s="1" t="s">
        <v>294</v>
      </c>
      <c r="E635" s="127">
        <v>2.5219999999999998</v>
      </c>
      <c r="F635" s="127">
        <v>2.65675512685082</v>
      </c>
      <c r="G635" s="127">
        <v>4.8000000000000096</v>
      </c>
      <c r="H635" s="127">
        <v>4.5801526717557302</v>
      </c>
      <c r="I635" s="127">
        <v>1221.7</v>
      </c>
      <c r="J635" s="127">
        <v>722</v>
      </c>
      <c r="K635" s="127">
        <v>1224.4000000000001</v>
      </c>
      <c r="L635" s="127">
        <v>64.42</v>
      </c>
      <c r="M635" s="127">
        <v>64.010000000000005</v>
      </c>
      <c r="N635" s="127">
        <v>64.58</v>
      </c>
      <c r="O635" s="127">
        <v>64.61</v>
      </c>
      <c r="P635" s="127">
        <v>64.405000000000001</v>
      </c>
      <c r="Q635" s="79">
        <v>8.2799999999999994</v>
      </c>
      <c r="R635" s="79">
        <v>2.52</v>
      </c>
      <c r="S635" s="147">
        <f t="shared" si="525"/>
        <v>2.431727707006369</v>
      </c>
      <c r="T635" s="147">
        <f t="shared" si="526"/>
        <v>2.4246756966560503</v>
      </c>
      <c r="U635" s="148">
        <f t="shared" si="527"/>
        <v>3.8590128209337604</v>
      </c>
      <c r="V635" s="147">
        <f t="shared" si="528"/>
        <v>12.915502653167209</v>
      </c>
      <c r="W635" s="147">
        <f t="shared" si="529"/>
        <v>70.121079104982158</v>
      </c>
      <c r="X635" s="132">
        <f>AVERAGE(S635:S639)</f>
        <v>2.4141790031498709</v>
      </c>
      <c r="Y635" s="132">
        <f t="shared" ref="Y635" si="580">AVERAGE(T635:T639)</f>
        <v>2.4071778840407361</v>
      </c>
      <c r="Z635" s="133">
        <f t="shared" ref="Z635" si="581">AVERAGE(U635:U639)</f>
        <v>4.5528198239200535</v>
      </c>
      <c r="AA635" s="132">
        <f t="shared" ref="AA635" si="582">AVERAGE(V635:V639)</f>
        <v>13.543952972678071</v>
      </c>
      <c r="AB635" s="132">
        <f t="shared" ref="AB635" si="583">AVERAGE(W635:W639)</f>
        <v>66.494052914725373</v>
      </c>
      <c r="AC635" s="236">
        <v>258</v>
      </c>
      <c r="AD635" s="235">
        <v>72.2</v>
      </c>
      <c r="AE635" s="235">
        <v>47.6</v>
      </c>
      <c r="AF635" s="235">
        <v>8.1999999999999993</v>
      </c>
    </row>
    <row r="636" spans="1:32" ht="14.4">
      <c r="A636" s="1" t="s">
        <v>148</v>
      </c>
      <c r="B636" s="1" t="s">
        <v>218</v>
      </c>
      <c r="C636" s="145" t="s">
        <v>359</v>
      </c>
      <c r="D636" s="1" t="s">
        <v>295</v>
      </c>
      <c r="E636" s="127">
        <v>2.5219999999999998</v>
      </c>
      <c r="F636" s="127">
        <v>2.65675512685082</v>
      </c>
      <c r="G636" s="127">
        <v>4.8000000000000096</v>
      </c>
      <c r="H636" s="127">
        <v>4.5801526717557302</v>
      </c>
      <c r="I636" s="127">
        <v>1209.4000000000001</v>
      </c>
      <c r="J636" s="127">
        <v>713.7</v>
      </c>
      <c r="K636" s="127">
        <v>1211.5</v>
      </c>
      <c r="L636" s="127">
        <v>64.010000000000005</v>
      </c>
      <c r="M636" s="127">
        <v>63.98</v>
      </c>
      <c r="N636" s="127">
        <v>63.83</v>
      </c>
      <c r="O636" s="127">
        <v>63.4</v>
      </c>
      <c r="P636" s="127">
        <v>63.805</v>
      </c>
      <c r="Q636" s="79">
        <v>11.34</v>
      </c>
      <c r="R636" s="79">
        <v>1.87</v>
      </c>
      <c r="S636" s="147">
        <f t="shared" si="525"/>
        <v>2.4294897549216556</v>
      </c>
      <c r="T636" s="147">
        <f t="shared" si="526"/>
        <v>2.4224442346323829</v>
      </c>
      <c r="U636" s="148">
        <f t="shared" si="527"/>
        <v>3.9474926791283504</v>
      </c>
      <c r="V636" s="147">
        <f t="shared" si="528"/>
        <v>12.995647700584328</v>
      </c>
      <c r="W636" s="147">
        <f t="shared" si="529"/>
        <v>69.624502217378065</v>
      </c>
      <c r="AC636" s="236">
        <v>258</v>
      </c>
      <c r="AD636" s="235">
        <v>72.2</v>
      </c>
      <c r="AE636" s="235">
        <v>47.6</v>
      </c>
      <c r="AF636" s="235">
        <v>8.1999999999999993</v>
      </c>
    </row>
    <row r="637" spans="1:32" ht="14.4">
      <c r="A637" s="1" t="s">
        <v>148</v>
      </c>
      <c r="B637" s="1" t="s">
        <v>218</v>
      </c>
      <c r="C637" s="145" t="s">
        <v>359</v>
      </c>
      <c r="D637" s="1" t="s">
        <v>296</v>
      </c>
      <c r="E637" s="127">
        <v>2.5219999999999998</v>
      </c>
      <c r="F637" s="127">
        <v>2.65675512685082</v>
      </c>
      <c r="G637" s="127">
        <v>4.8000000000000096</v>
      </c>
      <c r="H637" s="127">
        <v>4.5801526717557302</v>
      </c>
      <c r="I637" s="127">
        <v>1207.2</v>
      </c>
      <c r="J637" s="127">
        <v>710</v>
      </c>
      <c r="K637" s="127">
        <v>1211</v>
      </c>
      <c r="L637" s="127">
        <v>63.58</v>
      </c>
      <c r="M637" s="127">
        <v>64.03</v>
      </c>
      <c r="N637" s="127">
        <v>64.16</v>
      </c>
      <c r="O637" s="127">
        <v>63.89</v>
      </c>
      <c r="P637" s="127">
        <v>63.914999999999999</v>
      </c>
      <c r="Q637" s="79">
        <v>11.23</v>
      </c>
      <c r="R637" s="79">
        <v>2.04</v>
      </c>
      <c r="S637" s="147">
        <f t="shared" ref="S637:S644" si="584">I637/(K637-J637)</f>
        <v>2.4095808383233535</v>
      </c>
      <c r="T637" s="147">
        <f t="shared" ref="T637:T644" si="585">0.9971*S637</f>
        <v>2.4025930538922156</v>
      </c>
      <c r="U637" s="148">
        <f t="shared" ref="U637:U644" si="586">100*(1-T637/E637)</f>
        <v>4.7346132477313336</v>
      </c>
      <c r="V637" s="147">
        <f t="shared" ref="V637:V644" si="587">100-T637*(100-H637)/F637</f>
        <v>13.708621439250791</v>
      </c>
      <c r="W637" s="147">
        <f t="shared" ref="W637:W644" si="588">100*(V637-U637)/V637</f>
        <v>65.462513727491981</v>
      </c>
      <c r="AC637" s="236">
        <v>258</v>
      </c>
      <c r="AD637" s="235">
        <v>72.2</v>
      </c>
      <c r="AE637" s="235">
        <v>47.6</v>
      </c>
      <c r="AF637" s="235">
        <v>8.1999999999999993</v>
      </c>
    </row>
    <row r="638" spans="1:32" ht="14.4">
      <c r="A638" s="1" t="s">
        <v>148</v>
      </c>
      <c r="B638" s="1" t="s">
        <v>218</v>
      </c>
      <c r="C638" s="145" t="s">
        <v>359</v>
      </c>
      <c r="D638" s="1" t="s">
        <v>297</v>
      </c>
      <c r="E638" s="127">
        <v>2.5219999999999998</v>
      </c>
      <c r="F638" s="127">
        <v>2.65675512685082</v>
      </c>
      <c r="G638" s="127">
        <v>4.8000000000000096</v>
      </c>
      <c r="H638" s="127">
        <v>4.5801526717557302</v>
      </c>
      <c r="I638" s="127">
        <v>1211.4000000000001</v>
      </c>
      <c r="J638" s="127">
        <v>712.3</v>
      </c>
      <c r="K638" s="127">
        <v>1216</v>
      </c>
      <c r="L638" s="127">
        <v>64.06</v>
      </c>
      <c r="M638" s="127">
        <v>63.95</v>
      </c>
      <c r="N638" s="127">
        <v>63.91</v>
      </c>
      <c r="O638" s="127">
        <v>64.08</v>
      </c>
      <c r="P638" s="127">
        <v>64</v>
      </c>
      <c r="Q638" s="79">
        <v>9.5299999999999994</v>
      </c>
      <c r="R638" s="79">
        <v>3.16</v>
      </c>
      <c r="S638" s="147">
        <f t="shared" si="584"/>
        <v>2.4050029779630733</v>
      </c>
      <c r="T638" s="147">
        <f t="shared" si="585"/>
        <v>2.3980284693269804</v>
      </c>
      <c r="U638" s="148">
        <f t="shared" si="586"/>
        <v>4.9156039124908517</v>
      </c>
      <c r="V638" s="147">
        <f t="shared" si="587"/>
        <v>13.87256276674826</v>
      </c>
      <c r="W638" s="147">
        <f t="shared" si="588"/>
        <v>64.565999843422773</v>
      </c>
      <c r="AC638" s="236">
        <v>258</v>
      </c>
      <c r="AD638" s="235">
        <v>72.2</v>
      </c>
      <c r="AE638" s="235">
        <v>47.6</v>
      </c>
      <c r="AF638" s="235">
        <v>8.1999999999999993</v>
      </c>
    </row>
    <row r="639" spans="1:32" ht="14.4">
      <c r="A639" s="1" t="s">
        <v>148</v>
      </c>
      <c r="B639" s="1" t="s">
        <v>218</v>
      </c>
      <c r="C639" s="145" t="s">
        <v>359</v>
      </c>
      <c r="D639" s="1" t="s">
        <v>298</v>
      </c>
      <c r="E639" s="127">
        <v>2.5219999999999998</v>
      </c>
      <c r="F639" s="127">
        <v>2.65675512685082</v>
      </c>
      <c r="G639" s="127">
        <v>4.8000000000000096</v>
      </c>
      <c r="H639" s="127">
        <v>4.5801526717557302</v>
      </c>
      <c r="I639" s="127">
        <v>1200.9000000000001</v>
      </c>
      <c r="J639" s="127">
        <v>704.8</v>
      </c>
      <c r="K639" s="127">
        <v>1206.2</v>
      </c>
      <c r="L639" s="127">
        <v>66.010000000000005</v>
      </c>
      <c r="M639" s="127">
        <v>65.58</v>
      </c>
      <c r="N639" s="127">
        <v>65.38</v>
      </c>
      <c r="O639" s="127">
        <v>65.52</v>
      </c>
      <c r="P639" s="127">
        <v>65.622500000000002</v>
      </c>
      <c r="Q639" s="79">
        <v>10.29</v>
      </c>
      <c r="R639" s="79">
        <v>1.62</v>
      </c>
      <c r="S639" s="147">
        <f t="shared" si="584"/>
        <v>2.3950937375349022</v>
      </c>
      <c r="T639" s="147">
        <f t="shared" si="585"/>
        <v>2.3881479656960511</v>
      </c>
      <c r="U639" s="148">
        <f t="shared" si="586"/>
        <v>5.3073764593159716</v>
      </c>
      <c r="V639" s="147">
        <f t="shared" si="587"/>
        <v>14.227430303639764</v>
      </c>
      <c r="W639" s="147">
        <f t="shared" si="588"/>
        <v>62.696169680351908</v>
      </c>
      <c r="AC639" s="236">
        <v>258</v>
      </c>
      <c r="AD639" s="235">
        <v>72.2</v>
      </c>
      <c r="AE639" s="235">
        <v>47.6</v>
      </c>
      <c r="AF639" s="235">
        <v>8.1999999999999993</v>
      </c>
    </row>
    <row r="640" spans="1:32" ht="14.4">
      <c r="A640" s="1" t="s">
        <v>149</v>
      </c>
      <c r="B640" s="1" t="s">
        <v>218</v>
      </c>
      <c r="C640" s="1" t="s">
        <v>349</v>
      </c>
      <c r="D640" s="1" t="s">
        <v>294</v>
      </c>
      <c r="E640" s="127">
        <v>2.61</v>
      </c>
      <c r="F640" s="127">
        <v>2.65675512685082</v>
      </c>
      <c r="G640" s="127">
        <v>4.8000000000000096</v>
      </c>
      <c r="H640" s="127">
        <v>4.5801526717557302</v>
      </c>
      <c r="I640" s="127">
        <v>1271.8</v>
      </c>
      <c r="J640" s="127">
        <v>770.4</v>
      </c>
      <c r="K640" s="127">
        <v>1274.9000000000001</v>
      </c>
      <c r="L640" s="127">
        <v>59.83</v>
      </c>
      <c r="M640" s="127">
        <v>59.72</v>
      </c>
      <c r="N640" s="127">
        <v>60.08</v>
      </c>
      <c r="O640" s="127">
        <v>60.09</v>
      </c>
      <c r="P640" s="127">
        <v>59.93</v>
      </c>
      <c r="Q640" s="79">
        <v>21.34</v>
      </c>
      <c r="R640" s="79">
        <v>2.57</v>
      </c>
      <c r="S640" s="147">
        <f t="shared" si="584"/>
        <v>2.5209117938553018</v>
      </c>
      <c r="T640" s="147">
        <f t="shared" si="585"/>
        <v>2.5136011496531214</v>
      </c>
      <c r="U640" s="148">
        <f t="shared" si="586"/>
        <v>3.6934425420259931</v>
      </c>
      <c r="V640" s="147">
        <f t="shared" si="587"/>
        <v>9.7216617670357692</v>
      </c>
      <c r="W640" s="147">
        <f t="shared" si="588"/>
        <v>62.00811517070337</v>
      </c>
      <c r="X640" s="132">
        <f>AVERAGE(S640:S644)</f>
        <v>2.5196278428244789</v>
      </c>
      <c r="Y640" s="132">
        <f t="shared" ref="Y640" si="589">AVERAGE(T640:T644)</f>
        <v>2.5123209220802885</v>
      </c>
      <c r="Z640" s="133">
        <f t="shared" ref="Z640" si="590">AVERAGE(U640:U644)</f>
        <v>3.7424934068855102</v>
      </c>
      <c r="AA640" s="132">
        <f t="shared" ref="AA640" si="591">AVERAGE(V640:V644)</f>
        <v>9.7676423387153104</v>
      </c>
      <c r="AB640" s="132">
        <f t="shared" ref="AB640" si="592">AVERAGE(W640:W644)</f>
        <v>61.686298797797733</v>
      </c>
      <c r="AC640" s="235">
        <v>161</v>
      </c>
      <c r="AD640" s="235">
        <v>91</v>
      </c>
      <c r="AE640" s="235">
        <v>44</v>
      </c>
      <c r="AF640" s="235">
        <v>15</v>
      </c>
    </row>
    <row r="641" spans="1:32" ht="14.4">
      <c r="A641" s="1" t="s">
        <v>149</v>
      </c>
      <c r="B641" s="1" t="s">
        <v>218</v>
      </c>
      <c r="C641" s="1" t="s">
        <v>349</v>
      </c>
      <c r="D641" s="1" t="s">
        <v>295</v>
      </c>
      <c r="E641" s="127">
        <v>2.61</v>
      </c>
      <c r="F641" s="127">
        <v>2.65675512685082</v>
      </c>
      <c r="G641" s="127">
        <v>4.8000000000000096</v>
      </c>
      <c r="H641" s="127">
        <v>4.5801526717557302</v>
      </c>
      <c r="I641" s="127">
        <v>1251.0999999999999</v>
      </c>
      <c r="J641" s="127">
        <v>757.5</v>
      </c>
      <c r="K641" s="127">
        <v>1254.4000000000001</v>
      </c>
      <c r="L641" s="127">
        <v>61.55</v>
      </c>
      <c r="M641" s="127">
        <v>61.57</v>
      </c>
      <c r="N641" s="127">
        <v>61.95</v>
      </c>
      <c r="O641" s="127">
        <v>61.91</v>
      </c>
      <c r="P641" s="127">
        <v>61.744999999999997</v>
      </c>
      <c r="Q641" s="79">
        <v>17.350000000000001</v>
      </c>
      <c r="R641" s="79">
        <v>2.36</v>
      </c>
      <c r="S641" s="147">
        <f t="shared" si="584"/>
        <v>2.5178104246327222</v>
      </c>
      <c r="T641" s="147">
        <f t="shared" si="585"/>
        <v>2.5105087744012873</v>
      </c>
      <c r="U641" s="148">
        <f t="shared" si="586"/>
        <v>3.8119243524410984</v>
      </c>
      <c r="V641" s="147">
        <f t="shared" si="587"/>
        <v>9.8327273189300541</v>
      </c>
      <c r="W641" s="147">
        <f t="shared" si="588"/>
        <v>61.232278402530824</v>
      </c>
      <c r="AC641" s="235">
        <v>161</v>
      </c>
      <c r="AD641" s="235">
        <v>91</v>
      </c>
      <c r="AE641" s="235">
        <v>44</v>
      </c>
      <c r="AF641" s="235">
        <v>15</v>
      </c>
    </row>
    <row r="642" spans="1:32" ht="14.4">
      <c r="A642" s="1" t="s">
        <v>149</v>
      </c>
      <c r="B642" s="1" t="s">
        <v>218</v>
      </c>
      <c r="C642" s="1" t="s">
        <v>349</v>
      </c>
      <c r="D642" s="1" t="s">
        <v>296</v>
      </c>
      <c r="E642" s="127">
        <v>2.61</v>
      </c>
      <c r="F642" s="127">
        <v>2.65675512685082</v>
      </c>
      <c r="G642" s="127">
        <v>4.8000000000000096</v>
      </c>
      <c r="H642" s="127">
        <v>4.5801526717557302</v>
      </c>
      <c r="I642" s="127">
        <v>1268.7</v>
      </c>
      <c r="J642" s="127">
        <v>768.8</v>
      </c>
      <c r="K642" s="127">
        <v>1272</v>
      </c>
      <c r="L642" s="127">
        <v>64.14</v>
      </c>
      <c r="M642" s="127">
        <v>64.430000000000007</v>
      </c>
      <c r="N642" s="127">
        <v>64.38</v>
      </c>
      <c r="O642" s="127">
        <v>64.16</v>
      </c>
      <c r="P642" s="127">
        <v>64.277500000000003</v>
      </c>
      <c r="Q642" s="79">
        <v>17.07</v>
      </c>
      <c r="R642" s="79">
        <v>2.41</v>
      </c>
      <c r="S642" s="147">
        <f t="shared" si="584"/>
        <v>2.5212639109697932</v>
      </c>
      <c r="T642" s="147">
        <f t="shared" si="585"/>
        <v>2.5139522456279808</v>
      </c>
      <c r="U642" s="148">
        <f t="shared" si="586"/>
        <v>3.6799905889662532</v>
      </c>
      <c r="V642" s="147">
        <f t="shared" si="587"/>
        <v>9.7090518264431722</v>
      </c>
      <c r="W642" s="147">
        <f t="shared" si="588"/>
        <v>62.09732263511475</v>
      </c>
      <c r="AC642" s="235">
        <v>161</v>
      </c>
      <c r="AD642" s="235">
        <v>91</v>
      </c>
      <c r="AE642" s="235">
        <v>44</v>
      </c>
      <c r="AF642" s="235">
        <v>15</v>
      </c>
    </row>
    <row r="643" spans="1:32" ht="14.4">
      <c r="A643" s="1" t="s">
        <v>149</v>
      </c>
      <c r="B643" s="1" t="s">
        <v>218</v>
      </c>
      <c r="C643" s="1" t="s">
        <v>349</v>
      </c>
      <c r="D643" s="1" t="s">
        <v>297</v>
      </c>
      <c r="E643" s="127">
        <v>2.61</v>
      </c>
      <c r="F643" s="127">
        <v>2.65675512685082</v>
      </c>
      <c r="G643" s="127">
        <v>4.8000000000000096</v>
      </c>
      <c r="H643" s="127">
        <v>4.5801526717557302</v>
      </c>
      <c r="I643" s="127">
        <v>1273.0999999999999</v>
      </c>
      <c r="J643" s="127">
        <v>770.8</v>
      </c>
      <c r="K643" s="127">
        <v>1276.2</v>
      </c>
      <c r="L643" s="127">
        <v>64.650000000000006</v>
      </c>
      <c r="M643" s="127">
        <v>64.62</v>
      </c>
      <c r="N643" s="127">
        <v>64.33</v>
      </c>
      <c r="O643" s="127">
        <v>64.760000000000005</v>
      </c>
      <c r="P643" s="127">
        <v>64.59</v>
      </c>
      <c r="Q643" s="79">
        <v>17.600000000000001</v>
      </c>
      <c r="R643" s="79">
        <v>1.51</v>
      </c>
      <c r="S643" s="147">
        <f t="shared" si="584"/>
        <v>2.518994855559952</v>
      </c>
      <c r="T643" s="147">
        <f t="shared" si="585"/>
        <v>2.5116897704788279</v>
      </c>
      <c r="U643" s="148">
        <f t="shared" si="586"/>
        <v>3.7666754605813035</v>
      </c>
      <c r="V643" s="147">
        <f t="shared" si="587"/>
        <v>9.7903107392930053</v>
      </c>
      <c r="W643" s="147">
        <f t="shared" si="588"/>
        <v>61.526497361683241</v>
      </c>
      <c r="AC643" s="235">
        <v>161</v>
      </c>
      <c r="AD643" s="235">
        <v>91</v>
      </c>
      <c r="AE643" s="235">
        <v>44</v>
      </c>
      <c r="AF643" s="235">
        <v>15</v>
      </c>
    </row>
    <row r="644" spans="1:32" ht="14.4">
      <c r="A644" s="1" t="s">
        <v>149</v>
      </c>
      <c r="B644" s="1" t="s">
        <v>218</v>
      </c>
      <c r="C644" s="1" t="s">
        <v>349</v>
      </c>
      <c r="D644" s="1" t="s">
        <v>298</v>
      </c>
      <c r="E644" s="127">
        <v>2.61</v>
      </c>
      <c r="F644" s="127">
        <v>2.65675512685082</v>
      </c>
      <c r="G644" s="127">
        <v>4.8000000000000096</v>
      </c>
      <c r="H644" s="127">
        <v>4.5801526717557302</v>
      </c>
      <c r="I644" s="127">
        <v>1268.9000000000001</v>
      </c>
      <c r="J644" s="127">
        <v>768.9</v>
      </c>
      <c r="K644" s="127">
        <v>1272.5999999999999</v>
      </c>
      <c r="L644" s="127">
        <v>64.569999999999993</v>
      </c>
      <c r="M644" s="127">
        <v>64.319999999999993</v>
      </c>
      <c r="N644" s="127">
        <v>64.56</v>
      </c>
      <c r="O644" s="127">
        <v>64.930000000000007</v>
      </c>
      <c r="P644" s="127">
        <v>64.594999999999999</v>
      </c>
      <c r="Q644" s="79">
        <v>17.41</v>
      </c>
      <c r="R644" s="79">
        <v>3.25</v>
      </c>
      <c r="S644" s="147">
        <f t="shared" si="584"/>
        <v>2.5191582291046264</v>
      </c>
      <c r="T644" s="147">
        <f t="shared" si="585"/>
        <v>2.5118526702402231</v>
      </c>
      <c r="U644" s="148">
        <f t="shared" si="586"/>
        <v>3.7604340904129008</v>
      </c>
      <c r="V644" s="147">
        <f t="shared" si="587"/>
        <v>9.7844600418745529</v>
      </c>
      <c r="W644" s="147">
        <f t="shared" si="588"/>
        <v>61.567280418956479</v>
      </c>
      <c r="AC644" s="235">
        <v>161</v>
      </c>
      <c r="AD644" s="235">
        <v>91</v>
      </c>
      <c r="AE644" s="235">
        <v>44</v>
      </c>
      <c r="AF644" s="235">
        <v>15</v>
      </c>
    </row>
  </sheetData>
  <sheetProtection formatCells="0" insertHyperlinks="0" autoFilter="0"/>
  <mergeCells count="60">
    <mergeCell ref="I1:R1"/>
    <mergeCell ref="S1:W1"/>
    <mergeCell ref="X1:AB1"/>
    <mergeCell ref="A1:A2"/>
    <mergeCell ref="B1:B2"/>
    <mergeCell ref="C1:C2"/>
    <mergeCell ref="D1:D2"/>
    <mergeCell ref="E1:E2"/>
    <mergeCell ref="F1:F2"/>
    <mergeCell ref="G1:G2"/>
    <mergeCell ref="H1:H2"/>
    <mergeCell ref="B3:B13"/>
    <mergeCell ref="B14:B19"/>
    <mergeCell ref="B20:B54"/>
    <mergeCell ref="B55:B64"/>
    <mergeCell ref="B65:B94"/>
    <mergeCell ref="B95:B129"/>
    <mergeCell ref="B130:B139"/>
    <mergeCell ref="B140:B144"/>
    <mergeCell ref="B145:B149"/>
    <mergeCell ref="B150:B154"/>
    <mergeCell ref="B155:B159"/>
    <mergeCell ref="B160:B162"/>
    <mergeCell ref="B163:B182"/>
    <mergeCell ref="B183:B197"/>
    <mergeCell ref="B198:B212"/>
    <mergeCell ref="B298:B302"/>
    <mergeCell ref="B303:B306"/>
    <mergeCell ref="B307:B316"/>
    <mergeCell ref="B317:B331"/>
    <mergeCell ref="B213:B217"/>
    <mergeCell ref="B218:B237"/>
    <mergeCell ref="B238:B247"/>
    <mergeCell ref="B248:B267"/>
    <mergeCell ref="B268:B277"/>
    <mergeCell ref="B474:B478"/>
    <mergeCell ref="B479:B483"/>
    <mergeCell ref="B484:B488"/>
    <mergeCell ref="B489:B493"/>
    <mergeCell ref="B429:B433"/>
    <mergeCell ref="B434:B443"/>
    <mergeCell ref="B444:B448"/>
    <mergeCell ref="B449:B458"/>
    <mergeCell ref="B459:B468"/>
    <mergeCell ref="AC1:AC2"/>
    <mergeCell ref="AD1:AD2"/>
    <mergeCell ref="AE1:AE2"/>
    <mergeCell ref="AF1:AF2"/>
    <mergeCell ref="B469:B473"/>
    <mergeCell ref="B377:B386"/>
    <mergeCell ref="B387:B401"/>
    <mergeCell ref="B402:B406"/>
    <mergeCell ref="B407:B416"/>
    <mergeCell ref="B417:B428"/>
    <mergeCell ref="B332:B341"/>
    <mergeCell ref="B342:B346"/>
    <mergeCell ref="B347:B351"/>
    <mergeCell ref="B352:B356"/>
    <mergeCell ref="B357:B376"/>
    <mergeCell ref="B278:B297"/>
  </mergeCells>
  <phoneticPr fontId="34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U413"/>
  <sheetViews>
    <sheetView workbookViewId="0">
      <selection activeCell="Q3" sqref="Q3"/>
    </sheetView>
  </sheetViews>
  <sheetFormatPr defaultColWidth="9" defaultRowHeight="13.8"/>
  <cols>
    <col min="1" max="1" width="8.88671875" style="25"/>
    <col min="2" max="2" width="13.88671875" style="25" customWidth="1"/>
    <col min="3" max="3" width="25.109375" style="25" customWidth="1"/>
    <col min="4" max="4" width="14.6640625" style="26" customWidth="1"/>
    <col min="5" max="5" width="9.21875" style="25" customWidth="1"/>
    <col min="6" max="6" width="9.6640625" style="27" customWidth="1"/>
    <col min="7" max="9" width="8.88671875" style="28"/>
    <col min="10" max="16" width="8.88671875" style="27"/>
    <col min="17" max="17" width="14.6640625" style="27" customWidth="1"/>
    <col min="18" max="18" width="13.6640625" style="29" hidden="1" customWidth="1"/>
    <col min="19" max="19" width="13.21875" style="29" hidden="1" customWidth="1"/>
    <col min="20" max="21" width="14.6640625" style="29" hidden="1" customWidth="1"/>
    <col min="22" max="22" width="9" customWidth="1"/>
  </cols>
  <sheetData>
    <row r="1" spans="1:21" ht="14.4">
      <c r="A1" s="294" t="s">
        <v>269</v>
      </c>
      <c r="B1" s="291" t="s">
        <v>166</v>
      </c>
      <c r="C1" s="294" t="s">
        <v>270</v>
      </c>
      <c r="D1" s="295" t="s">
        <v>271</v>
      </c>
      <c r="E1" s="296" t="s">
        <v>274</v>
      </c>
      <c r="F1" s="299" t="s">
        <v>49</v>
      </c>
      <c r="G1" s="299" t="s">
        <v>275</v>
      </c>
      <c r="H1" s="299"/>
      <c r="I1" s="299"/>
      <c r="J1" s="299"/>
      <c r="K1" s="299"/>
      <c r="L1" s="299"/>
      <c r="M1" s="299"/>
      <c r="N1" s="299"/>
      <c r="O1" s="299"/>
      <c r="P1" s="299"/>
      <c r="Q1" s="39" t="s">
        <v>276</v>
      </c>
      <c r="R1" s="301" t="s">
        <v>360</v>
      </c>
      <c r="S1" s="301" t="s">
        <v>361</v>
      </c>
      <c r="T1" s="301" t="s">
        <v>362</v>
      </c>
      <c r="U1" s="301" t="s">
        <v>363</v>
      </c>
    </row>
    <row r="2" spans="1:21" ht="14.4">
      <c r="A2" s="294"/>
      <c r="B2" s="293"/>
      <c r="C2" s="294"/>
      <c r="D2" s="295"/>
      <c r="E2" s="294"/>
      <c r="F2" s="299"/>
      <c r="G2" s="44" t="s">
        <v>39</v>
      </c>
      <c r="H2" s="44" t="s">
        <v>40</v>
      </c>
      <c r="I2" s="44" t="s">
        <v>41</v>
      </c>
      <c r="J2" s="39" t="s">
        <v>282</v>
      </c>
      <c r="K2" s="39" t="s">
        <v>283</v>
      </c>
      <c r="L2" s="39" t="s">
        <v>284</v>
      </c>
      <c r="M2" s="39" t="s">
        <v>285</v>
      </c>
      <c r="N2" s="39" t="s">
        <v>286</v>
      </c>
      <c r="O2" s="39" t="s">
        <v>287</v>
      </c>
      <c r="P2" s="39" t="s">
        <v>288</v>
      </c>
      <c r="Q2" s="39" t="s">
        <v>368</v>
      </c>
      <c r="R2" s="302"/>
      <c r="S2" s="302"/>
      <c r="T2" s="302"/>
      <c r="U2" s="302"/>
    </row>
    <row r="3" spans="1:21" ht="14.4">
      <c r="A3" s="25" t="s">
        <v>60</v>
      </c>
      <c r="B3" s="300" t="s">
        <v>518</v>
      </c>
      <c r="C3" s="25" t="s">
        <v>520</v>
      </c>
      <c r="D3" s="38" t="s">
        <v>377</v>
      </c>
      <c r="E3" s="46">
        <f>100*F3/(100-F3)</f>
        <v>4.4999999999999991</v>
      </c>
      <c r="F3" s="27">
        <v>4.3062200956937797</v>
      </c>
      <c r="G3" s="44" t="s">
        <v>73</v>
      </c>
      <c r="H3" s="44" t="s">
        <v>73</v>
      </c>
      <c r="I3" s="44" t="s">
        <v>73</v>
      </c>
      <c r="J3" s="39">
        <v>63.5</v>
      </c>
      <c r="K3" s="39">
        <v>63.6</v>
      </c>
      <c r="L3" s="39">
        <v>63.9</v>
      </c>
      <c r="M3" s="39" t="s">
        <v>73</v>
      </c>
      <c r="N3" s="39">
        <f t="shared" ref="N3:N11" si="0">AVERAGE(J3:L3)</f>
        <v>63.666666666666664</v>
      </c>
      <c r="O3" s="39">
        <v>13.52</v>
      </c>
      <c r="P3" s="39">
        <v>4.24</v>
      </c>
      <c r="Q3" s="27">
        <f>100*AVERAGE(O3,O5,O7)/AVERAGEA(O4,O6)</f>
        <v>79.296128707893416</v>
      </c>
      <c r="R3" s="27">
        <v>161</v>
      </c>
      <c r="S3" s="27">
        <v>91</v>
      </c>
      <c r="T3" s="27">
        <v>44</v>
      </c>
      <c r="U3" s="27">
        <v>15</v>
      </c>
    </row>
    <row r="4" spans="1:21" ht="14.4">
      <c r="A4" s="25" t="s">
        <v>60</v>
      </c>
      <c r="B4" s="292"/>
      <c r="C4" s="25" t="s">
        <v>520</v>
      </c>
      <c r="D4" s="38" t="s">
        <v>295</v>
      </c>
      <c r="E4" s="46">
        <f t="shared" ref="E4:E67" si="1">100*F4/(100-F4)</f>
        <v>4.4999999999999991</v>
      </c>
      <c r="F4" s="27">
        <v>4.3062200956937797</v>
      </c>
      <c r="G4" s="44" t="s">
        <v>73</v>
      </c>
      <c r="H4" s="44" t="s">
        <v>73</v>
      </c>
      <c r="I4" s="44" t="s">
        <v>73</v>
      </c>
      <c r="J4" s="39">
        <v>63.2</v>
      </c>
      <c r="K4" s="39">
        <v>63.2</v>
      </c>
      <c r="L4" s="39">
        <v>63</v>
      </c>
      <c r="M4" s="39" t="s">
        <v>73</v>
      </c>
      <c r="N4" s="39">
        <f t="shared" si="0"/>
        <v>63.133333333333333</v>
      </c>
      <c r="O4" s="39">
        <v>17.7</v>
      </c>
      <c r="P4" s="39">
        <v>6.21</v>
      </c>
      <c r="Q4" s="39"/>
      <c r="R4" s="27">
        <v>161</v>
      </c>
      <c r="S4" s="27">
        <v>91</v>
      </c>
      <c r="T4" s="27">
        <v>44</v>
      </c>
      <c r="U4" s="27">
        <v>15</v>
      </c>
    </row>
    <row r="5" spans="1:21" ht="14.4">
      <c r="A5" s="25" t="s">
        <v>60</v>
      </c>
      <c r="B5" s="292"/>
      <c r="C5" s="25" t="s">
        <v>520</v>
      </c>
      <c r="D5" s="38" t="s">
        <v>379</v>
      </c>
      <c r="E5" s="46">
        <f t="shared" si="1"/>
        <v>4.4999999999999991</v>
      </c>
      <c r="F5" s="27">
        <v>4.3062200956937797</v>
      </c>
      <c r="G5" s="44" t="s">
        <v>73</v>
      </c>
      <c r="H5" s="44" t="s">
        <v>73</v>
      </c>
      <c r="I5" s="44" t="s">
        <v>73</v>
      </c>
      <c r="J5" s="39">
        <v>63.1</v>
      </c>
      <c r="K5" s="39">
        <v>63</v>
      </c>
      <c r="L5" s="39">
        <v>63.1</v>
      </c>
      <c r="M5" s="39" t="s">
        <v>73</v>
      </c>
      <c r="N5" s="39">
        <f t="shared" si="0"/>
        <v>63.066666666666663</v>
      </c>
      <c r="O5" s="39">
        <v>13.39</v>
      </c>
      <c r="P5" s="39">
        <v>3.3</v>
      </c>
      <c r="Q5" s="39"/>
      <c r="R5" s="27">
        <v>161</v>
      </c>
      <c r="S5" s="27">
        <v>91</v>
      </c>
      <c r="T5" s="27">
        <v>44</v>
      </c>
      <c r="U5" s="27">
        <v>15</v>
      </c>
    </row>
    <row r="6" spans="1:21" ht="14.4">
      <c r="A6" s="25" t="s">
        <v>60</v>
      </c>
      <c r="B6" s="293"/>
      <c r="C6" s="25" t="s">
        <v>520</v>
      </c>
      <c r="D6" s="38" t="s">
        <v>297</v>
      </c>
      <c r="E6" s="46">
        <f t="shared" si="1"/>
        <v>4.4999999999999991</v>
      </c>
      <c r="F6" s="27">
        <v>4.3062200956937797</v>
      </c>
      <c r="G6" s="44" t="s">
        <v>73</v>
      </c>
      <c r="H6" s="44" t="s">
        <v>73</v>
      </c>
      <c r="I6" s="44" t="s">
        <v>73</v>
      </c>
      <c r="J6" s="39">
        <v>63.3</v>
      </c>
      <c r="K6" s="39">
        <v>63.1</v>
      </c>
      <c r="L6" s="39">
        <v>63.3</v>
      </c>
      <c r="M6" s="39" t="s">
        <v>73</v>
      </c>
      <c r="N6" s="39">
        <f t="shared" si="0"/>
        <v>63.233333333333327</v>
      </c>
      <c r="O6" s="39">
        <v>15.45</v>
      </c>
      <c r="P6" s="39">
        <v>3.65</v>
      </c>
      <c r="Q6" s="39"/>
      <c r="R6" s="27">
        <v>161</v>
      </c>
      <c r="S6" s="27">
        <v>91</v>
      </c>
      <c r="T6" s="27">
        <v>44</v>
      </c>
      <c r="U6" s="27">
        <v>15</v>
      </c>
    </row>
    <row r="7" spans="1:21" ht="14.4">
      <c r="A7" s="25" t="s">
        <v>60</v>
      </c>
      <c r="B7" s="300" t="s">
        <v>521</v>
      </c>
      <c r="C7" s="25" t="s">
        <v>522</v>
      </c>
      <c r="D7" s="38" t="s">
        <v>377</v>
      </c>
      <c r="E7" s="46">
        <f t="shared" si="1"/>
        <v>4.4999999999999991</v>
      </c>
      <c r="F7" s="27">
        <v>4.3062200956937797</v>
      </c>
      <c r="G7" s="44" t="s">
        <v>73</v>
      </c>
      <c r="H7" s="44" t="s">
        <v>73</v>
      </c>
      <c r="I7" s="44" t="s">
        <v>73</v>
      </c>
      <c r="J7" s="39">
        <v>61.8</v>
      </c>
      <c r="K7" s="39">
        <v>61.8</v>
      </c>
      <c r="L7" s="39">
        <v>62.2</v>
      </c>
      <c r="M7" s="39" t="s">
        <v>73</v>
      </c>
      <c r="N7" s="39">
        <f t="shared" si="0"/>
        <v>61.933333333333337</v>
      </c>
      <c r="O7" s="39">
        <v>12.52</v>
      </c>
      <c r="P7" s="39">
        <v>4.0999999999999996</v>
      </c>
      <c r="Q7" s="27">
        <f>100*AVERAGE(O7,O9,O8)/AVERAGEA(O11,O10)</f>
        <v>86.436933951844466</v>
      </c>
      <c r="R7" s="27">
        <v>161</v>
      </c>
      <c r="S7" s="27">
        <v>91</v>
      </c>
      <c r="T7" s="27">
        <v>44</v>
      </c>
      <c r="U7" s="27">
        <v>15</v>
      </c>
    </row>
    <row r="8" spans="1:21" ht="14.4">
      <c r="A8" s="25" t="s">
        <v>60</v>
      </c>
      <c r="B8" s="292"/>
      <c r="C8" s="25" t="s">
        <v>522</v>
      </c>
      <c r="D8" s="38" t="s">
        <v>386</v>
      </c>
      <c r="E8" s="46">
        <f t="shared" si="1"/>
        <v>4.4999999999999991</v>
      </c>
      <c r="F8" s="27">
        <v>4.3062200956937797</v>
      </c>
      <c r="G8" s="44" t="s">
        <v>73</v>
      </c>
      <c r="H8" s="44" t="s">
        <v>73</v>
      </c>
      <c r="I8" s="44" t="s">
        <v>73</v>
      </c>
      <c r="J8" s="39">
        <v>61</v>
      </c>
      <c r="K8" s="39">
        <v>61.6</v>
      </c>
      <c r="L8" s="39">
        <v>60.9</v>
      </c>
      <c r="M8" s="39" t="s">
        <v>73</v>
      </c>
      <c r="N8" s="39">
        <f t="shared" si="0"/>
        <v>61.166666666666664</v>
      </c>
      <c r="O8" s="39">
        <v>13</v>
      </c>
      <c r="P8" s="39">
        <v>5.74</v>
      </c>
      <c r="Q8" s="39"/>
      <c r="R8" s="27">
        <v>161</v>
      </c>
      <c r="S8" s="27">
        <v>91</v>
      </c>
      <c r="T8" s="27">
        <v>44</v>
      </c>
      <c r="U8" s="27">
        <v>15</v>
      </c>
    </row>
    <row r="9" spans="1:21" ht="14.4">
      <c r="A9" s="25" t="s">
        <v>60</v>
      </c>
      <c r="B9" s="292"/>
      <c r="C9" s="25" t="s">
        <v>522</v>
      </c>
      <c r="D9" s="38" t="s">
        <v>379</v>
      </c>
      <c r="E9" s="46">
        <f t="shared" si="1"/>
        <v>4.4999999999999991</v>
      </c>
      <c r="F9" s="27">
        <v>4.3062200956937797</v>
      </c>
      <c r="G9" s="44" t="s">
        <v>73</v>
      </c>
      <c r="H9" s="44" t="s">
        <v>73</v>
      </c>
      <c r="I9" s="44" t="s">
        <v>73</v>
      </c>
      <c r="J9" s="39">
        <v>63.4</v>
      </c>
      <c r="K9" s="39">
        <v>63.4</v>
      </c>
      <c r="L9" s="39">
        <v>63.2</v>
      </c>
      <c r="M9" s="39" t="s">
        <v>73</v>
      </c>
      <c r="N9" s="39">
        <f t="shared" si="0"/>
        <v>63.333333333333336</v>
      </c>
      <c r="O9" s="39">
        <v>13.61</v>
      </c>
      <c r="P9" s="39">
        <v>4.08</v>
      </c>
      <c r="Q9" s="39"/>
      <c r="R9" s="27">
        <v>161</v>
      </c>
      <c r="S9" s="27">
        <v>91</v>
      </c>
      <c r="T9" s="27">
        <v>44</v>
      </c>
      <c r="U9" s="27">
        <v>15</v>
      </c>
    </row>
    <row r="10" spans="1:21" ht="14.4">
      <c r="A10" s="25" t="s">
        <v>60</v>
      </c>
      <c r="B10" s="292"/>
      <c r="C10" s="25" t="s">
        <v>522</v>
      </c>
      <c r="D10" s="38" t="s">
        <v>297</v>
      </c>
      <c r="E10" s="46">
        <f t="shared" si="1"/>
        <v>4.4999999999999991</v>
      </c>
      <c r="F10" s="27">
        <v>4.3062200956937797</v>
      </c>
      <c r="G10" s="44" t="s">
        <v>73</v>
      </c>
      <c r="H10" s="44" t="s">
        <v>73</v>
      </c>
      <c r="I10" s="44" t="s">
        <v>73</v>
      </c>
      <c r="J10" s="39">
        <v>61.4</v>
      </c>
      <c r="K10" s="39">
        <v>61.6</v>
      </c>
      <c r="L10" s="39">
        <v>61.5</v>
      </c>
      <c r="M10" s="39" t="s">
        <v>73</v>
      </c>
      <c r="N10" s="39">
        <f t="shared" si="0"/>
        <v>61.5</v>
      </c>
      <c r="O10" s="39">
        <v>16.02</v>
      </c>
      <c r="P10" s="39">
        <v>5.0199999999999996</v>
      </c>
      <c r="Q10" s="39"/>
      <c r="R10" s="27">
        <v>161</v>
      </c>
      <c r="S10" s="27">
        <v>91</v>
      </c>
      <c r="T10" s="27">
        <v>44</v>
      </c>
      <c r="U10" s="27">
        <v>15</v>
      </c>
    </row>
    <row r="11" spans="1:21" ht="14.4">
      <c r="A11" s="25" t="s">
        <v>60</v>
      </c>
      <c r="B11" s="293"/>
      <c r="C11" s="25" t="s">
        <v>522</v>
      </c>
      <c r="D11" s="38" t="s">
        <v>298</v>
      </c>
      <c r="E11" s="46">
        <f t="shared" si="1"/>
        <v>4.4999999999999991</v>
      </c>
      <c r="F11" s="27">
        <v>4.3062200956937797</v>
      </c>
      <c r="G11" s="44" t="s">
        <v>73</v>
      </c>
      <c r="H11" s="44" t="s">
        <v>73</v>
      </c>
      <c r="I11" s="44" t="s">
        <v>73</v>
      </c>
      <c r="J11" s="39">
        <v>61.5</v>
      </c>
      <c r="K11" s="39">
        <v>62</v>
      </c>
      <c r="L11" s="39">
        <v>61.8</v>
      </c>
      <c r="M11" s="39" t="s">
        <v>73</v>
      </c>
      <c r="N11" s="39">
        <f t="shared" si="0"/>
        <v>61.766666666666673</v>
      </c>
      <c r="O11" s="39">
        <v>14.16</v>
      </c>
      <c r="P11" s="39">
        <v>5.4</v>
      </c>
      <c r="Q11" s="39"/>
      <c r="R11" s="27">
        <v>161</v>
      </c>
      <c r="S11" s="27">
        <v>91</v>
      </c>
      <c r="T11" s="27">
        <v>44</v>
      </c>
      <c r="U11" s="27">
        <v>15</v>
      </c>
    </row>
    <row r="12" spans="1:21" ht="14.4">
      <c r="A12" s="25" t="s">
        <v>69</v>
      </c>
      <c r="B12" s="291" t="s">
        <v>197</v>
      </c>
      <c r="C12" s="25" t="s">
        <v>391</v>
      </c>
      <c r="D12" s="38" t="s">
        <v>377</v>
      </c>
      <c r="E12" s="46">
        <f t="shared" si="1"/>
        <v>4.1999999999999984</v>
      </c>
      <c r="F12" s="27">
        <v>4.0307101727447199</v>
      </c>
      <c r="G12" s="28">
        <v>1215.8</v>
      </c>
      <c r="H12" s="28">
        <v>718.3</v>
      </c>
      <c r="I12" s="28">
        <v>1219</v>
      </c>
      <c r="J12" s="27">
        <v>64.42</v>
      </c>
      <c r="K12" s="27">
        <v>64.430000000000007</v>
      </c>
      <c r="L12" s="27">
        <v>64.180000000000007</v>
      </c>
      <c r="M12" s="27">
        <v>64.38</v>
      </c>
      <c r="N12" s="27">
        <v>64.352500000000006</v>
      </c>
      <c r="O12" s="27">
        <v>13.36</v>
      </c>
      <c r="P12" s="27">
        <v>2.2599999999999998</v>
      </c>
      <c r="Q12" s="27">
        <f>100*AVERAGE(O12,O14,O16)/AVERAGEA(O13,O15)</f>
        <v>92.473814922794503</v>
      </c>
      <c r="R12" s="27">
        <v>161</v>
      </c>
      <c r="S12" s="27">
        <v>91</v>
      </c>
      <c r="T12" s="27">
        <v>44</v>
      </c>
      <c r="U12" s="27">
        <v>15</v>
      </c>
    </row>
    <row r="13" spans="1:21" ht="14.4">
      <c r="A13" s="25" t="s">
        <v>69</v>
      </c>
      <c r="B13" s="292"/>
      <c r="C13" s="25" t="s">
        <v>391</v>
      </c>
      <c r="D13" s="38" t="s">
        <v>295</v>
      </c>
      <c r="E13" s="46">
        <f t="shared" si="1"/>
        <v>4.1999999999999984</v>
      </c>
      <c r="F13" s="27">
        <v>4.0307101727447199</v>
      </c>
      <c r="G13" s="28">
        <v>1215.4000000000001</v>
      </c>
      <c r="H13" s="28">
        <v>719.6</v>
      </c>
      <c r="I13" s="28">
        <v>1218.0999999999999</v>
      </c>
      <c r="J13" s="27">
        <v>63.37</v>
      </c>
      <c r="K13" s="27">
        <v>63.48</v>
      </c>
      <c r="L13" s="27">
        <v>63.31</v>
      </c>
      <c r="M13" s="27">
        <v>63.56</v>
      </c>
      <c r="N13" s="27">
        <v>63.43</v>
      </c>
      <c r="O13" s="27">
        <v>15.91</v>
      </c>
      <c r="P13" s="27">
        <v>2.5299999999999998</v>
      </c>
      <c r="R13" s="27">
        <v>161</v>
      </c>
      <c r="S13" s="27">
        <v>91</v>
      </c>
      <c r="T13" s="27">
        <v>44</v>
      </c>
      <c r="U13" s="27">
        <v>15</v>
      </c>
    </row>
    <row r="14" spans="1:21" ht="14.4">
      <c r="A14" s="25" t="s">
        <v>69</v>
      </c>
      <c r="B14" s="292"/>
      <c r="C14" s="25" t="s">
        <v>391</v>
      </c>
      <c r="D14" s="38" t="s">
        <v>379</v>
      </c>
      <c r="E14" s="46">
        <f t="shared" si="1"/>
        <v>4.1999999999999984</v>
      </c>
      <c r="F14" s="27">
        <v>4.0307101727447199</v>
      </c>
      <c r="G14" s="28">
        <v>1214.4000000000001</v>
      </c>
      <c r="H14" s="28">
        <v>716.5</v>
      </c>
      <c r="I14" s="28">
        <v>1217.3</v>
      </c>
      <c r="J14" s="27">
        <v>63.92</v>
      </c>
      <c r="K14" s="27">
        <v>64.16</v>
      </c>
      <c r="L14" s="27">
        <v>64.09</v>
      </c>
      <c r="M14" s="27">
        <v>64.260000000000005</v>
      </c>
      <c r="N14" s="27">
        <v>64.107500000000002</v>
      </c>
      <c r="O14" s="27">
        <v>14.77</v>
      </c>
      <c r="P14" s="27">
        <v>3.01</v>
      </c>
      <c r="R14" s="27">
        <v>161</v>
      </c>
      <c r="S14" s="27">
        <v>91</v>
      </c>
      <c r="T14" s="27">
        <v>44</v>
      </c>
      <c r="U14" s="27">
        <v>15</v>
      </c>
    </row>
    <row r="15" spans="1:21" ht="14.4">
      <c r="A15" s="25" t="s">
        <v>69</v>
      </c>
      <c r="B15" s="292"/>
      <c r="C15" s="25" t="s">
        <v>391</v>
      </c>
      <c r="D15" s="38" t="s">
        <v>297</v>
      </c>
      <c r="E15" s="46">
        <f t="shared" si="1"/>
        <v>4.1999999999999984</v>
      </c>
      <c r="F15" s="27">
        <v>4.0307101727447199</v>
      </c>
      <c r="G15" s="28">
        <v>1215.0999999999999</v>
      </c>
      <c r="H15" s="28">
        <v>719.5</v>
      </c>
      <c r="I15" s="28">
        <v>1218.7</v>
      </c>
      <c r="J15" s="27">
        <v>64.44</v>
      </c>
      <c r="K15" s="27">
        <v>64.16</v>
      </c>
      <c r="L15" s="27">
        <v>64.39</v>
      </c>
      <c r="M15" s="27">
        <v>64.36</v>
      </c>
      <c r="N15" s="27">
        <v>64.337500000000006</v>
      </c>
      <c r="O15" s="27">
        <v>14.96</v>
      </c>
      <c r="P15" s="27">
        <v>2.5099999999999998</v>
      </c>
      <c r="R15" s="27">
        <v>161</v>
      </c>
      <c r="S15" s="27">
        <v>91</v>
      </c>
      <c r="T15" s="27">
        <v>44</v>
      </c>
      <c r="U15" s="27">
        <v>15</v>
      </c>
    </row>
    <row r="16" spans="1:21" ht="14.4">
      <c r="A16" s="25" t="s">
        <v>69</v>
      </c>
      <c r="B16" s="292"/>
      <c r="C16" s="25" t="s">
        <v>391</v>
      </c>
      <c r="D16" s="38" t="s">
        <v>394</v>
      </c>
      <c r="E16" s="46">
        <f t="shared" si="1"/>
        <v>4.1999999999999984</v>
      </c>
      <c r="F16" s="27">
        <v>4.0307101727447199</v>
      </c>
      <c r="G16" s="28">
        <v>1210.9000000000001</v>
      </c>
      <c r="H16" s="28">
        <v>714.5</v>
      </c>
      <c r="I16" s="28">
        <v>1213.0999999999999</v>
      </c>
      <c r="J16" s="27">
        <v>64.45</v>
      </c>
      <c r="K16" s="27">
        <v>64.2</v>
      </c>
      <c r="L16" s="27">
        <v>64.569999999999993</v>
      </c>
      <c r="M16" s="27">
        <v>64.52</v>
      </c>
      <c r="N16" s="27">
        <v>64.435000000000002</v>
      </c>
      <c r="O16" s="27">
        <v>14.69</v>
      </c>
      <c r="P16" s="27">
        <v>2.46</v>
      </c>
      <c r="R16" s="27">
        <v>161</v>
      </c>
      <c r="S16" s="27">
        <v>91</v>
      </c>
      <c r="T16" s="27">
        <v>44</v>
      </c>
      <c r="U16" s="27">
        <v>15</v>
      </c>
    </row>
    <row r="17" spans="1:21" ht="14.4">
      <c r="A17" s="25" t="s">
        <v>69</v>
      </c>
      <c r="B17" s="292"/>
      <c r="C17" s="25" t="s">
        <v>395</v>
      </c>
      <c r="D17" s="38" t="s">
        <v>377</v>
      </c>
      <c r="E17" s="46">
        <f t="shared" si="1"/>
        <v>4.1999999999999984</v>
      </c>
      <c r="F17" s="27">
        <v>4.0307101727447199</v>
      </c>
      <c r="G17" s="28">
        <v>1219.2</v>
      </c>
      <c r="H17" s="28">
        <v>725.4</v>
      </c>
      <c r="I17" s="28">
        <v>1222.2</v>
      </c>
      <c r="J17" s="27">
        <v>63.58</v>
      </c>
      <c r="K17" s="27">
        <v>63.41</v>
      </c>
      <c r="L17" s="27">
        <v>63.86</v>
      </c>
      <c r="M17" s="27">
        <v>63.3</v>
      </c>
      <c r="N17" s="27">
        <v>63.537500000000001</v>
      </c>
      <c r="O17" s="27">
        <v>14.15</v>
      </c>
      <c r="P17" s="27">
        <v>3.04</v>
      </c>
      <c r="Q17" s="27">
        <f>100*AVERAGE(O17,O19,O21)/AVERAGEA(O18,O20)</f>
        <v>94.282560706401767</v>
      </c>
      <c r="R17" s="27">
        <v>161</v>
      </c>
      <c r="S17" s="27">
        <v>91</v>
      </c>
      <c r="T17" s="27">
        <v>44</v>
      </c>
      <c r="U17" s="27">
        <v>15</v>
      </c>
    </row>
    <row r="18" spans="1:21" ht="14.4">
      <c r="A18" s="25" t="s">
        <v>69</v>
      </c>
      <c r="B18" s="292"/>
      <c r="C18" s="25" t="s">
        <v>395</v>
      </c>
      <c r="D18" s="38" t="s">
        <v>295</v>
      </c>
      <c r="E18" s="46">
        <f t="shared" si="1"/>
        <v>4.1999999999999984</v>
      </c>
      <c r="F18" s="27">
        <v>4.0307101727447199</v>
      </c>
      <c r="G18" s="28">
        <v>1217.2</v>
      </c>
      <c r="H18" s="28">
        <v>721.2</v>
      </c>
      <c r="I18" s="28">
        <v>1220.7</v>
      </c>
      <c r="J18" s="27">
        <v>63.64</v>
      </c>
      <c r="K18" s="27">
        <v>63.14</v>
      </c>
      <c r="L18" s="27">
        <v>63.85</v>
      </c>
      <c r="M18" s="27">
        <v>63.91</v>
      </c>
      <c r="N18" s="27">
        <v>63.634999999999998</v>
      </c>
      <c r="O18" s="27">
        <v>15.08</v>
      </c>
      <c r="P18" s="27">
        <v>2.35</v>
      </c>
      <c r="R18" s="27">
        <v>161</v>
      </c>
      <c r="S18" s="27">
        <v>91</v>
      </c>
      <c r="T18" s="27">
        <v>44</v>
      </c>
      <c r="U18" s="27">
        <v>15</v>
      </c>
    </row>
    <row r="19" spans="1:21" ht="14.4">
      <c r="A19" s="25" t="s">
        <v>69</v>
      </c>
      <c r="B19" s="292"/>
      <c r="C19" s="25" t="s">
        <v>395</v>
      </c>
      <c r="D19" s="38" t="s">
        <v>379</v>
      </c>
      <c r="E19" s="46">
        <f t="shared" si="1"/>
        <v>4.1999999999999984</v>
      </c>
      <c r="F19" s="27">
        <v>4.0307101727447199</v>
      </c>
      <c r="G19" s="28">
        <v>1216.8</v>
      </c>
      <c r="H19" s="28">
        <v>722.5</v>
      </c>
      <c r="I19" s="28">
        <v>1220.4000000000001</v>
      </c>
      <c r="J19" s="27">
        <v>63.32</v>
      </c>
      <c r="K19" s="27">
        <v>63.14</v>
      </c>
      <c r="L19" s="27">
        <v>63.62</v>
      </c>
      <c r="M19" s="27">
        <v>63.13</v>
      </c>
      <c r="N19" s="27">
        <v>63.302500000000002</v>
      </c>
      <c r="O19" s="27">
        <v>14.37</v>
      </c>
      <c r="P19" s="27">
        <v>3.98</v>
      </c>
      <c r="R19" s="27">
        <v>161</v>
      </c>
      <c r="S19" s="27">
        <v>91</v>
      </c>
      <c r="T19" s="27">
        <v>44</v>
      </c>
      <c r="U19" s="27">
        <v>15</v>
      </c>
    </row>
    <row r="20" spans="1:21" ht="14.4">
      <c r="A20" s="25" t="s">
        <v>69</v>
      </c>
      <c r="B20" s="292"/>
      <c r="C20" s="25" t="s">
        <v>395</v>
      </c>
      <c r="D20" s="38" t="s">
        <v>297</v>
      </c>
      <c r="E20" s="46">
        <f t="shared" si="1"/>
        <v>4.1999999999999984</v>
      </c>
      <c r="F20" s="27">
        <v>4.0307101727447199</v>
      </c>
      <c r="G20" s="28">
        <v>1216.0999999999999</v>
      </c>
      <c r="H20" s="28">
        <v>720.6</v>
      </c>
      <c r="I20" s="28">
        <v>1219.5999999999999</v>
      </c>
      <c r="J20" s="27">
        <v>63.89</v>
      </c>
      <c r="K20" s="27">
        <v>63.57</v>
      </c>
      <c r="L20" s="27">
        <v>64.06</v>
      </c>
      <c r="M20" s="27">
        <v>63.44</v>
      </c>
      <c r="N20" s="27">
        <v>63.74</v>
      </c>
      <c r="O20" s="27">
        <v>15.12</v>
      </c>
      <c r="P20" s="27">
        <v>2.0299999999999998</v>
      </c>
      <c r="R20" s="27">
        <v>161</v>
      </c>
      <c r="S20" s="27">
        <v>91</v>
      </c>
      <c r="T20" s="27">
        <v>44</v>
      </c>
      <c r="U20" s="27">
        <v>15</v>
      </c>
    </row>
    <row r="21" spans="1:21" ht="14.4">
      <c r="A21" s="25" t="s">
        <v>69</v>
      </c>
      <c r="B21" s="292"/>
      <c r="C21" s="25" t="s">
        <v>395</v>
      </c>
      <c r="D21" s="38" t="s">
        <v>394</v>
      </c>
      <c r="E21" s="46">
        <f t="shared" si="1"/>
        <v>4.1999999999999984</v>
      </c>
      <c r="F21" s="27">
        <v>4.0307101727447199</v>
      </c>
      <c r="G21" s="28">
        <v>1219.3</v>
      </c>
      <c r="H21" s="28">
        <v>723.2</v>
      </c>
      <c r="I21" s="28">
        <v>1222.5</v>
      </c>
      <c r="J21" s="27">
        <v>63.94</v>
      </c>
      <c r="K21" s="27">
        <v>63.44</v>
      </c>
      <c r="L21" s="27">
        <v>63.87</v>
      </c>
      <c r="M21" s="27">
        <v>63.49</v>
      </c>
      <c r="N21" s="27">
        <v>63.685000000000002</v>
      </c>
      <c r="O21" s="27">
        <v>14.19</v>
      </c>
      <c r="P21" s="27">
        <v>3.38</v>
      </c>
      <c r="R21" s="27">
        <v>161</v>
      </c>
      <c r="S21" s="27">
        <v>91</v>
      </c>
      <c r="T21" s="27">
        <v>44</v>
      </c>
      <c r="U21" s="27">
        <v>15</v>
      </c>
    </row>
    <row r="22" spans="1:21" ht="14.4">
      <c r="A22" s="25" t="s">
        <v>69</v>
      </c>
      <c r="B22" s="292"/>
      <c r="C22" s="25" t="s">
        <v>400</v>
      </c>
      <c r="D22" s="38" t="s">
        <v>377</v>
      </c>
      <c r="E22" s="46">
        <f t="shared" si="1"/>
        <v>4.1999999999999984</v>
      </c>
      <c r="F22" s="27">
        <v>4.0307101727447199</v>
      </c>
      <c r="G22" s="28">
        <v>1221.5</v>
      </c>
      <c r="H22" s="28">
        <v>725.7</v>
      </c>
      <c r="I22" s="28">
        <v>1224</v>
      </c>
      <c r="J22" s="27">
        <v>64.33</v>
      </c>
      <c r="K22" s="27">
        <v>64.760000000000005</v>
      </c>
      <c r="L22" s="27">
        <v>64.41</v>
      </c>
      <c r="M22" s="27">
        <v>64.11</v>
      </c>
      <c r="N22" s="27">
        <f t="shared" ref="N22:N51" si="2">AVERAGE(J22:M22)</f>
        <v>64.402500000000003</v>
      </c>
      <c r="O22" s="27">
        <v>14.03</v>
      </c>
      <c r="P22" s="27">
        <v>3.62</v>
      </c>
      <c r="Q22" s="27">
        <f>100*AVERAGE(O22,O24,O26)/AVERAGEA(O23,O25)</f>
        <v>88.341210893540406</v>
      </c>
      <c r="R22" s="27">
        <v>161</v>
      </c>
      <c r="S22" s="27">
        <v>91</v>
      </c>
      <c r="T22" s="27">
        <v>44</v>
      </c>
      <c r="U22" s="27">
        <v>15</v>
      </c>
    </row>
    <row r="23" spans="1:21" ht="14.4">
      <c r="A23" s="25" t="s">
        <v>69</v>
      </c>
      <c r="B23" s="292"/>
      <c r="C23" s="25" t="s">
        <v>400</v>
      </c>
      <c r="D23" s="38" t="s">
        <v>295</v>
      </c>
      <c r="E23" s="46">
        <f t="shared" si="1"/>
        <v>4.1999999999999984</v>
      </c>
      <c r="F23" s="27">
        <v>4.0307101727447199</v>
      </c>
      <c r="G23" s="28">
        <v>1221.0999999999999</v>
      </c>
      <c r="H23" s="28">
        <v>725</v>
      </c>
      <c r="I23" s="28">
        <v>1223.2</v>
      </c>
      <c r="J23" s="27">
        <v>64</v>
      </c>
      <c r="K23" s="27">
        <v>64.510000000000005</v>
      </c>
      <c r="L23" s="27">
        <v>64.12</v>
      </c>
      <c r="M23" s="27">
        <v>64.5</v>
      </c>
      <c r="N23" s="27">
        <f t="shared" si="2"/>
        <v>64.282499999999999</v>
      </c>
      <c r="O23" s="27">
        <v>15.55</v>
      </c>
      <c r="P23" s="27">
        <v>3.48</v>
      </c>
      <c r="R23" s="27">
        <v>161</v>
      </c>
      <c r="S23" s="27">
        <v>91</v>
      </c>
      <c r="T23" s="27">
        <v>44</v>
      </c>
      <c r="U23" s="27">
        <v>15</v>
      </c>
    </row>
    <row r="24" spans="1:21" ht="14.4">
      <c r="A24" s="25" t="s">
        <v>69</v>
      </c>
      <c r="B24" s="292"/>
      <c r="C24" s="25" t="s">
        <v>400</v>
      </c>
      <c r="D24" s="38" t="s">
        <v>379</v>
      </c>
      <c r="E24" s="46">
        <f t="shared" si="1"/>
        <v>4.1999999999999984</v>
      </c>
      <c r="F24" s="27">
        <v>4.0307101727447199</v>
      </c>
      <c r="G24" s="28">
        <v>1221.2</v>
      </c>
      <c r="H24" s="28">
        <v>723.6</v>
      </c>
      <c r="I24" s="28">
        <v>1223.9000000000001</v>
      </c>
      <c r="J24" s="27">
        <v>63.74</v>
      </c>
      <c r="K24" s="27">
        <v>63.59</v>
      </c>
      <c r="L24" s="27">
        <v>63.83</v>
      </c>
      <c r="M24" s="27">
        <v>63.46</v>
      </c>
      <c r="N24" s="27">
        <f t="shared" si="2"/>
        <v>63.655000000000008</v>
      </c>
      <c r="O24" s="27">
        <v>12.72</v>
      </c>
      <c r="P24" s="27">
        <v>2.65</v>
      </c>
      <c r="R24" s="27">
        <v>161</v>
      </c>
      <c r="S24" s="27">
        <v>91</v>
      </c>
      <c r="T24" s="27">
        <v>44</v>
      </c>
      <c r="U24" s="27">
        <v>15</v>
      </c>
    </row>
    <row r="25" spans="1:21" ht="14.4">
      <c r="A25" s="25" t="s">
        <v>69</v>
      </c>
      <c r="B25" s="292"/>
      <c r="C25" s="25" t="s">
        <v>400</v>
      </c>
      <c r="D25" s="38" t="s">
        <v>297</v>
      </c>
      <c r="E25" s="46">
        <f t="shared" si="1"/>
        <v>4.1999999999999984</v>
      </c>
      <c r="F25" s="27">
        <v>4.0307101727447199</v>
      </c>
      <c r="G25" s="28">
        <v>1220.2</v>
      </c>
      <c r="H25" s="28">
        <v>721.5</v>
      </c>
      <c r="I25" s="28">
        <v>1221.7</v>
      </c>
      <c r="J25" s="27">
        <v>63.59</v>
      </c>
      <c r="K25" s="27">
        <v>63.47</v>
      </c>
      <c r="L25" s="27">
        <v>63.65</v>
      </c>
      <c r="M25" s="27">
        <v>63.47</v>
      </c>
      <c r="N25" s="27">
        <f t="shared" si="2"/>
        <v>63.545000000000002</v>
      </c>
      <c r="O25" s="27">
        <v>14.07</v>
      </c>
      <c r="P25" s="27">
        <v>2.2999999999999998</v>
      </c>
      <c r="R25" s="27">
        <v>161</v>
      </c>
      <c r="S25" s="27">
        <v>91</v>
      </c>
      <c r="T25" s="27">
        <v>44</v>
      </c>
      <c r="U25" s="27">
        <v>15</v>
      </c>
    </row>
    <row r="26" spans="1:21" ht="14.4">
      <c r="A26" s="25" t="s">
        <v>69</v>
      </c>
      <c r="B26" s="292"/>
      <c r="C26" s="25" t="s">
        <v>400</v>
      </c>
      <c r="D26" s="38" t="s">
        <v>394</v>
      </c>
      <c r="E26" s="46">
        <f t="shared" si="1"/>
        <v>4.1999999999999984</v>
      </c>
      <c r="F26" s="27">
        <v>4.0307101727447199</v>
      </c>
      <c r="G26" s="28">
        <v>1220</v>
      </c>
      <c r="H26" s="28">
        <v>723.6</v>
      </c>
      <c r="I26" s="28">
        <v>1223.2</v>
      </c>
      <c r="J26" s="27">
        <v>63.88</v>
      </c>
      <c r="K26" s="27">
        <v>63.91</v>
      </c>
      <c r="L26" s="27">
        <v>64.430000000000007</v>
      </c>
      <c r="M26" s="27">
        <v>63.96</v>
      </c>
      <c r="N26" s="27">
        <f t="shared" si="2"/>
        <v>64.045000000000002</v>
      </c>
      <c r="O26" s="27">
        <v>12.5</v>
      </c>
      <c r="P26" s="27">
        <v>3.28</v>
      </c>
      <c r="R26" s="27">
        <v>161</v>
      </c>
      <c r="S26" s="27">
        <v>91</v>
      </c>
      <c r="T26" s="27">
        <v>44</v>
      </c>
      <c r="U26" s="27">
        <v>15</v>
      </c>
    </row>
    <row r="27" spans="1:21" ht="14.4">
      <c r="A27" s="25" t="s">
        <v>69</v>
      </c>
      <c r="B27" s="292"/>
      <c r="C27" s="25" t="s">
        <v>402</v>
      </c>
      <c r="D27" s="38" t="s">
        <v>377</v>
      </c>
      <c r="E27" s="46">
        <f t="shared" si="1"/>
        <v>4.1999999999999984</v>
      </c>
      <c r="F27" s="27">
        <v>4.0307101727447199</v>
      </c>
      <c r="G27" s="28">
        <v>1218.5</v>
      </c>
      <c r="H27" s="28">
        <v>721.6</v>
      </c>
      <c r="I27" s="28">
        <v>1220.7</v>
      </c>
      <c r="J27" s="27">
        <v>63.74</v>
      </c>
      <c r="K27" s="27">
        <v>63.92</v>
      </c>
      <c r="L27" s="27">
        <v>63.93</v>
      </c>
      <c r="M27" s="27">
        <v>63.86</v>
      </c>
      <c r="N27" s="27">
        <f t="shared" si="2"/>
        <v>63.862499999999997</v>
      </c>
      <c r="O27" s="27">
        <v>13.04</v>
      </c>
      <c r="P27" s="27">
        <v>3.11</v>
      </c>
      <c r="Q27" s="27">
        <f>100*AVERAGE(O27,O29,O31)/AVERAGEA(O28,O30)</f>
        <v>91.539823008849552</v>
      </c>
      <c r="R27" s="27">
        <v>161</v>
      </c>
      <c r="S27" s="27">
        <v>91</v>
      </c>
      <c r="T27" s="27">
        <v>44</v>
      </c>
      <c r="U27" s="27">
        <v>15</v>
      </c>
    </row>
    <row r="28" spans="1:21" ht="14.4">
      <c r="A28" s="25" t="s">
        <v>69</v>
      </c>
      <c r="B28" s="292"/>
      <c r="C28" s="25" t="s">
        <v>402</v>
      </c>
      <c r="D28" s="38" t="s">
        <v>295</v>
      </c>
      <c r="E28" s="46">
        <f t="shared" si="1"/>
        <v>4.1999999999999984</v>
      </c>
      <c r="F28" s="27">
        <v>4.0307101727447199</v>
      </c>
      <c r="G28" s="28">
        <v>1216.9000000000001</v>
      </c>
      <c r="H28" s="28">
        <v>719.1</v>
      </c>
      <c r="I28" s="28">
        <v>1218.9000000000001</v>
      </c>
      <c r="J28" s="27">
        <v>63.88</v>
      </c>
      <c r="K28" s="27">
        <v>63.66</v>
      </c>
      <c r="L28" s="27">
        <v>63.43</v>
      </c>
      <c r="M28" s="27">
        <v>63.43</v>
      </c>
      <c r="N28" s="27">
        <f t="shared" si="2"/>
        <v>63.6</v>
      </c>
      <c r="O28" s="27">
        <v>14</v>
      </c>
      <c r="P28" s="27">
        <v>2.41</v>
      </c>
      <c r="R28" s="27">
        <v>161</v>
      </c>
      <c r="S28" s="27">
        <v>91</v>
      </c>
      <c r="T28" s="27">
        <v>44</v>
      </c>
      <c r="U28" s="27">
        <v>15</v>
      </c>
    </row>
    <row r="29" spans="1:21" ht="14.4">
      <c r="A29" s="25" t="s">
        <v>69</v>
      </c>
      <c r="B29" s="292"/>
      <c r="C29" s="25" t="s">
        <v>402</v>
      </c>
      <c r="D29" s="38" t="s">
        <v>379</v>
      </c>
      <c r="E29" s="46">
        <f t="shared" si="1"/>
        <v>4.1999999999999984</v>
      </c>
      <c r="F29" s="27">
        <v>4.0307101727447199</v>
      </c>
      <c r="G29" s="28">
        <v>1214.7</v>
      </c>
      <c r="H29" s="28">
        <v>717.6</v>
      </c>
      <c r="I29" s="28">
        <v>1217.2</v>
      </c>
      <c r="J29" s="27">
        <v>63.94</v>
      </c>
      <c r="K29" s="27">
        <v>63.97</v>
      </c>
      <c r="L29" s="27">
        <v>63.72</v>
      </c>
      <c r="M29" s="27">
        <v>63.7</v>
      </c>
      <c r="N29" s="27">
        <f t="shared" si="2"/>
        <v>63.832499999999996</v>
      </c>
      <c r="O29" s="27">
        <v>12.55</v>
      </c>
      <c r="P29" s="27">
        <v>3.1</v>
      </c>
      <c r="R29" s="27">
        <v>161</v>
      </c>
      <c r="S29" s="27">
        <v>91</v>
      </c>
      <c r="T29" s="27">
        <v>44</v>
      </c>
      <c r="U29" s="27">
        <v>15</v>
      </c>
    </row>
    <row r="30" spans="1:21" ht="14.4">
      <c r="A30" s="25" t="s">
        <v>69</v>
      </c>
      <c r="B30" s="292"/>
      <c r="C30" s="25" t="s">
        <v>402</v>
      </c>
      <c r="D30" s="38" t="s">
        <v>297</v>
      </c>
      <c r="E30" s="46">
        <f t="shared" si="1"/>
        <v>4.1999999999999984</v>
      </c>
      <c r="F30" s="27">
        <v>4.0307101727447199</v>
      </c>
      <c r="G30" s="28">
        <v>1214.5</v>
      </c>
      <c r="H30" s="28">
        <v>717.1</v>
      </c>
      <c r="I30" s="28">
        <v>1217.4000000000001</v>
      </c>
      <c r="J30" s="27">
        <v>63.38</v>
      </c>
      <c r="K30" s="27">
        <v>63.45</v>
      </c>
      <c r="L30" s="27">
        <v>63.66</v>
      </c>
      <c r="M30" s="27">
        <v>63.71</v>
      </c>
      <c r="N30" s="27">
        <f t="shared" si="2"/>
        <v>63.550000000000004</v>
      </c>
      <c r="O30" s="27">
        <v>14.25</v>
      </c>
      <c r="P30" s="27">
        <v>2.25</v>
      </c>
      <c r="R30" s="27">
        <v>161</v>
      </c>
      <c r="S30" s="27">
        <v>91</v>
      </c>
      <c r="T30" s="27">
        <v>44</v>
      </c>
      <c r="U30" s="27">
        <v>15</v>
      </c>
    </row>
    <row r="31" spans="1:21" ht="14.4">
      <c r="A31" s="25" t="s">
        <v>69</v>
      </c>
      <c r="B31" s="292"/>
      <c r="C31" s="25" t="s">
        <v>402</v>
      </c>
      <c r="D31" s="38" t="s">
        <v>394</v>
      </c>
      <c r="E31" s="46">
        <f t="shared" si="1"/>
        <v>4.1999999999999984</v>
      </c>
      <c r="F31" s="27">
        <v>4.0307101727447199</v>
      </c>
      <c r="G31" s="28">
        <v>1214.8</v>
      </c>
      <c r="H31" s="28">
        <v>717.7</v>
      </c>
      <c r="I31" s="28">
        <v>1218.5</v>
      </c>
      <c r="J31" s="27">
        <v>64.930000000000007</v>
      </c>
      <c r="K31" s="27">
        <v>64.72</v>
      </c>
      <c r="L31" s="27">
        <v>64.62</v>
      </c>
      <c r="M31" s="27">
        <v>64.61</v>
      </c>
      <c r="N31" s="27">
        <f t="shared" si="2"/>
        <v>64.72</v>
      </c>
      <c r="O31" s="27">
        <v>13.2</v>
      </c>
      <c r="P31" s="27">
        <v>3.96</v>
      </c>
      <c r="R31" s="27">
        <v>161</v>
      </c>
      <c r="S31" s="27">
        <v>91</v>
      </c>
      <c r="T31" s="27">
        <v>44</v>
      </c>
      <c r="U31" s="27">
        <v>15</v>
      </c>
    </row>
    <row r="32" spans="1:21" ht="14.4">
      <c r="A32" s="25" t="s">
        <v>69</v>
      </c>
      <c r="B32" s="292"/>
      <c r="C32" s="25" t="s">
        <v>304</v>
      </c>
      <c r="D32" s="38" t="s">
        <v>377</v>
      </c>
      <c r="E32" s="46">
        <f t="shared" si="1"/>
        <v>4.1999999999999984</v>
      </c>
      <c r="F32" s="27">
        <v>4.0307101727447199</v>
      </c>
      <c r="G32" s="28">
        <v>1217.9000000000001</v>
      </c>
      <c r="H32" s="28">
        <v>723.5</v>
      </c>
      <c r="I32" s="28">
        <v>1220.2</v>
      </c>
      <c r="J32" s="27">
        <v>62.55</v>
      </c>
      <c r="K32" s="27">
        <v>62.67</v>
      </c>
      <c r="L32" s="27">
        <v>62.56</v>
      </c>
      <c r="M32" s="27">
        <v>62.56</v>
      </c>
      <c r="N32" s="27">
        <f t="shared" si="2"/>
        <v>62.585000000000001</v>
      </c>
      <c r="O32" s="27">
        <v>12.84</v>
      </c>
      <c r="P32" s="27">
        <v>2.89</v>
      </c>
      <c r="Q32" s="27">
        <f>100*AVERAGE(O32,O34,O36)/AVERAGEA(O33,O35)</f>
        <v>91.470691470691477</v>
      </c>
      <c r="R32" s="27">
        <v>144</v>
      </c>
      <c r="S32" s="27">
        <v>107.8</v>
      </c>
      <c r="T32" s="27">
        <v>43.95</v>
      </c>
      <c r="U32" s="27">
        <v>60.3</v>
      </c>
    </row>
    <row r="33" spans="1:21" ht="14.4">
      <c r="A33" s="25" t="s">
        <v>69</v>
      </c>
      <c r="B33" s="292"/>
      <c r="C33" s="25" t="s">
        <v>304</v>
      </c>
      <c r="D33" s="38" t="s">
        <v>295</v>
      </c>
      <c r="E33" s="46">
        <f t="shared" si="1"/>
        <v>4.1999999999999984</v>
      </c>
      <c r="F33" s="27">
        <v>4.0307101727447199</v>
      </c>
      <c r="G33" s="28">
        <v>1218</v>
      </c>
      <c r="H33" s="28">
        <v>725</v>
      </c>
      <c r="I33" s="28">
        <v>1221.2</v>
      </c>
      <c r="J33" s="27">
        <v>63.28</v>
      </c>
      <c r="K33" s="27">
        <v>63.37</v>
      </c>
      <c r="L33" s="27">
        <v>63.19</v>
      </c>
      <c r="M33" s="27">
        <v>63.36</v>
      </c>
      <c r="N33" s="27">
        <f t="shared" si="2"/>
        <v>63.3</v>
      </c>
      <c r="O33" s="27">
        <v>14.37</v>
      </c>
      <c r="P33" s="27">
        <v>2.86</v>
      </c>
      <c r="R33" s="27">
        <v>144</v>
      </c>
      <c r="S33" s="27">
        <v>107.8</v>
      </c>
      <c r="T33" s="27">
        <v>43.95</v>
      </c>
      <c r="U33" s="27">
        <v>60.3</v>
      </c>
    </row>
    <row r="34" spans="1:21" ht="14.4">
      <c r="A34" s="25" t="s">
        <v>69</v>
      </c>
      <c r="B34" s="292"/>
      <c r="C34" s="25" t="s">
        <v>304</v>
      </c>
      <c r="D34" s="38" t="s">
        <v>379</v>
      </c>
      <c r="E34" s="46">
        <f t="shared" si="1"/>
        <v>4.1999999999999984</v>
      </c>
      <c r="F34" s="27">
        <v>4.0307101727447199</v>
      </c>
      <c r="G34" s="28">
        <v>1216.7</v>
      </c>
      <c r="H34" s="28">
        <v>725.6</v>
      </c>
      <c r="I34" s="28">
        <v>1219.4000000000001</v>
      </c>
      <c r="J34" s="27">
        <v>63.09</v>
      </c>
      <c r="K34" s="27">
        <v>63.01</v>
      </c>
      <c r="L34" s="27">
        <v>63.03</v>
      </c>
      <c r="M34" s="27">
        <v>63</v>
      </c>
      <c r="N34" s="27">
        <f t="shared" si="2"/>
        <v>63.032499999999999</v>
      </c>
      <c r="O34" s="27">
        <v>12.97</v>
      </c>
      <c r="P34" s="27">
        <v>3.21</v>
      </c>
      <c r="R34" s="27">
        <v>144</v>
      </c>
      <c r="S34" s="27">
        <v>107.8</v>
      </c>
      <c r="T34" s="27">
        <v>43.95</v>
      </c>
      <c r="U34" s="27">
        <v>60.3</v>
      </c>
    </row>
    <row r="35" spans="1:21" ht="14.4">
      <c r="A35" s="25" t="s">
        <v>69</v>
      </c>
      <c r="B35" s="292"/>
      <c r="C35" s="25" t="s">
        <v>304</v>
      </c>
      <c r="D35" s="38" t="s">
        <v>297</v>
      </c>
      <c r="E35" s="46">
        <f t="shared" si="1"/>
        <v>4.1999999999999984</v>
      </c>
      <c r="F35" s="27">
        <v>4.0307101727447199</v>
      </c>
      <c r="G35" s="28">
        <v>1218.4000000000001</v>
      </c>
      <c r="H35" s="28">
        <v>726.4</v>
      </c>
      <c r="I35" s="28">
        <v>1222.5</v>
      </c>
      <c r="J35" s="27">
        <v>63.71</v>
      </c>
      <c r="K35" s="27">
        <v>63.43</v>
      </c>
      <c r="L35" s="27">
        <v>63.76</v>
      </c>
      <c r="M35" s="27">
        <v>63.49</v>
      </c>
      <c r="N35" s="27">
        <f t="shared" si="2"/>
        <v>63.597500000000004</v>
      </c>
      <c r="O35" s="27">
        <v>14.12</v>
      </c>
      <c r="P35" s="27">
        <v>2.31</v>
      </c>
      <c r="R35" s="27">
        <v>144</v>
      </c>
      <c r="S35" s="27">
        <v>107.8</v>
      </c>
      <c r="T35" s="27">
        <v>43.95</v>
      </c>
      <c r="U35" s="27">
        <v>60.3</v>
      </c>
    </row>
    <row r="36" spans="1:21" ht="14.4">
      <c r="A36" s="25" t="s">
        <v>69</v>
      </c>
      <c r="B36" s="292"/>
      <c r="C36" s="25" t="s">
        <v>304</v>
      </c>
      <c r="D36" s="38" t="s">
        <v>394</v>
      </c>
      <c r="E36" s="46">
        <f t="shared" si="1"/>
        <v>4.1999999999999984</v>
      </c>
      <c r="F36" s="27">
        <v>4.0307101727447199</v>
      </c>
      <c r="G36" s="28">
        <v>1214.8</v>
      </c>
      <c r="H36" s="28">
        <v>723.2</v>
      </c>
      <c r="I36" s="28">
        <v>1218.7</v>
      </c>
      <c r="J36" s="27">
        <v>63.37</v>
      </c>
      <c r="K36" s="27">
        <v>63.21</v>
      </c>
      <c r="L36" s="27">
        <v>63.56</v>
      </c>
      <c r="M36" s="27">
        <v>63.38</v>
      </c>
      <c r="N36" s="27">
        <f t="shared" si="2"/>
        <v>63.379999999999995</v>
      </c>
      <c r="O36" s="27">
        <v>13.28</v>
      </c>
      <c r="P36" s="27">
        <v>3.65</v>
      </c>
      <c r="R36" s="27">
        <v>144</v>
      </c>
      <c r="S36" s="27">
        <v>107.8</v>
      </c>
      <c r="T36" s="27">
        <v>43.95</v>
      </c>
      <c r="U36" s="27">
        <v>60.3</v>
      </c>
    </row>
    <row r="37" spans="1:21" ht="14.4">
      <c r="A37" s="25" t="s">
        <v>69</v>
      </c>
      <c r="B37" s="292"/>
      <c r="C37" s="25" t="s">
        <v>305</v>
      </c>
      <c r="D37" s="38" t="s">
        <v>377</v>
      </c>
      <c r="E37" s="46">
        <f t="shared" si="1"/>
        <v>4.1999999999999984</v>
      </c>
      <c r="F37" s="27">
        <v>4.0307101727447199</v>
      </c>
      <c r="G37" s="28">
        <v>1217.0999999999999</v>
      </c>
      <c r="H37" s="28">
        <v>729.4</v>
      </c>
      <c r="I37" s="28">
        <v>1219.9000000000001</v>
      </c>
      <c r="J37" s="27">
        <v>62.32</v>
      </c>
      <c r="K37" s="27">
        <v>62.25</v>
      </c>
      <c r="L37" s="27">
        <v>62.32</v>
      </c>
      <c r="M37" s="27">
        <v>62.35</v>
      </c>
      <c r="N37" s="27">
        <f t="shared" si="2"/>
        <v>62.309999999999995</v>
      </c>
      <c r="O37" s="27">
        <v>14.82</v>
      </c>
      <c r="P37" s="27">
        <v>3.74</v>
      </c>
      <c r="Q37" s="27">
        <f>100*AVERAGE(O37,O39,O41)/AVERAGEA(O38,O40)</f>
        <v>93.804370889030338</v>
      </c>
      <c r="R37" s="27">
        <v>111</v>
      </c>
      <c r="S37" s="27">
        <v>124</v>
      </c>
      <c r="T37" s="27">
        <v>41.5</v>
      </c>
      <c r="U37" s="27">
        <v>56</v>
      </c>
    </row>
    <row r="38" spans="1:21" ht="14.4">
      <c r="A38" s="25" t="s">
        <v>69</v>
      </c>
      <c r="B38" s="292"/>
      <c r="C38" s="25" t="s">
        <v>305</v>
      </c>
      <c r="D38" s="38" t="s">
        <v>295</v>
      </c>
      <c r="E38" s="46">
        <f t="shared" si="1"/>
        <v>4.1999999999999984</v>
      </c>
      <c r="F38" s="27">
        <v>4.0307101727447199</v>
      </c>
      <c r="G38" s="28">
        <v>1221.2</v>
      </c>
      <c r="H38" s="28">
        <v>729.5</v>
      </c>
      <c r="I38" s="28">
        <v>1223.4000000000001</v>
      </c>
      <c r="J38" s="27">
        <v>62.4</v>
      </c>
      <c r="K38" s="27">
        <v>62.32</v>
      </c>
      <c r="L38" s="27">
        <v>62.4</v>
      </c>
      <c r="M38" s="27">
        <v>62.35</v>
      </c>
      <c r="N38" s="27">
        <f t="shared" si="2"/>
        <v>62.3675</v>
      </c>
      <c r="O38" s="27">
        <v>15.82</v>
      </c>
      <c r="P38" s="27">
        <v>2.9</v>
      </c>
      <c r="R38" s="27">
        <v>111</v>
      </c>
      <c r="S38" s="27">
        <v>124</v>
      </c>
      <c r="T38" s="27">
        <v>41.5</v>
      </c>
      <c r="U38" s="27">
        <v>56</v>
      </c>
    </row>
    <row r="39" spans="1:21" ht="14.4">
      <c r="A39" s="25" t="s">
        <v>69</v>
      </c>
      <c r="B39" s="292"/>
      <c r="C39" s="25" t="s">
        <v>305</v>
      </c>
      <c r="D39" s="38" t="s">
        <v>379</v>
      </c>
      <c r="E39" s="46">
        <f t="shared" si="1"/>
        <v>4.1999999999999984</v>
      </c>
      <c r="F39" s="27">
        <v>4.0307101727447199</v>
      </c>
      <c r="G39" s="28">
        <v>1223.4000000000001</v>
      </c>
      <c r="H39" s="28">
        <v>732.5</v>
      </c>
      <c r="I39" s="28">
        <v>1226.8</v>
      </c>
      <c r="J39" s="27">
        <v>62.7</v>
      </c>
      <c r="K39" s="27">
        <v>62.75</v>
      </c>
      <c r="L39" s="27">
        <v>62.97</v>
      </c>
      <c r="M39" s="27">
        <v>62.88</v>
      </c>
      <c r="N39" s="27">
        <f t="shared" si="2"/>
        <v>62.825000000000003</v>
      </c>
      <c r="O39" s="27">
        <v>14.5</v>
      </c>
      <c r="P39" s="27">
        <v>3.87</v>
      </c>
      <c r="R39" s="27">
        <v>111</v>
      </c>
      <c r="S39" s="27">
        <v>124</v>
      </c>
      <c r="T39" s="27">
        <v>41.5</v>
      </c>
      <c r="U39" s="27">
        <v>56</v>
      </c>
    </row>
    <row r="40" spans="1:21" ht="14.4">
      <c r="A40" s="25" t="s">
        <v>69</v>
      </c>
      <c r="B40" s="292"/>
      <c r="C40" s="25" t="s">
        <v>305</v>
      </c>
      <c r="D40" s="38" t="s">
        <v>297</v>
      </c>
      <c r="E40" s="46">
        <f t="shared" si="1"/>
        <v>4.1999999999999984</v>
      </c>
      <c r="F40" s="27">
        <v>4.0307101727447199</v>
      </c>
      <c r="G40" s="28">
        <v>1218.4000000000001</v>
      </c>
      <c r="H40" s="28">
        <v>727.3</v>
      </c>
      <c r="I40" s="28">
        <v>1221.3</v>
      </c>
      <c r="J40" s="27">
        <v>63.03</v>
      </c>
      <c r="K40" s="27">
        <v>63.05</v>
      </c>
      <c r="L40" s="27">
        <v>62.87</v>
      </c>
      <c r="M40" s="27">
        <v>62.87</v>
      </c>
      <c r="N40" s="27">
        <f t="shared" si="2"/>
        <v>62.954999999999998</v>
      </c>
      <c r="O40" s="27">
        <v>15.6</v>
      </c>
      <c r="P40" s="27">
        <v>2.84</v>
      </c>
      <c r="R40" s="27">
        <v>111</v>
      </c>
      <c r="S40" s="27">
        <v>124</v>
      </c>
      <c r="T40" s="27">
        <v>41.5</v>
      </c>
      <c r="U40" s="27">
        <v>56</v>
      </c>
    </row>
    <row r="41" spans="1:21" ht="14.4">
      <c r="A41" s="25" t="s">
        <v>69</v>
      </c>
      <c r="B41" s="292"/>
      <c r="C41" s="25" t="s">
        <v>305</v>
      </c>
      <c r="D41" s="38" t="s">
        <v>394</v>
      </c>
      <c r="E41" s="46">
        <f t="shared" si="1"/>
        <v>4.1999999999999984</v>
      </c>
      <c r="F41" s="27">
        <v>4.0307101727447199</v>
      </c>
      <c r="G41" s="28">
        <v>1222.7</v>
      </c>
      <c r="H41" s="28">
        <v>729.7</v>
      </c>
      <c r="I41" s="28">
        <v>1225.3</v>
      </c>
      <c r="J41" s="27">
        <v>63.27</v>
      </c>
      <c r="K41" s="27">
        <v>62.97</v>
      </c>
      <c r="L41" s="27">
        <v>62.97</v>
      </c>
      <c r="M41" s="27">
        <v>62.07</v>
      </c>
      <c r="N41" s="27">
        <f t="shared" si="2"/>
        <v>62.82</v>
      </c>
      <c r="O41" s="27">
        <v>14.89</v>
      </c>
      <c r="P41" s="27">
        <v>3.43</v>
      </c>
      <c r="R41" s="27">
        <v>111</v>
      </c>
      <c r="S41" s="27">
        <v>124</v>
      </c>
      <c r="T41" s="27">
        <v>41.5</v>
      </c>
      <c r="U41" s="27">
        <v>56</v>
      </c>
    </row>
    <row r="42" spans="1:21" ht="14.4">
      <c r="A42" s="25" t="s">
        <v>69</v>
      </c>
      <c r="B42" s="292"/>
      <c r="C42" s="25" t="s">
        <v>324</v>
      </c>
      <c r="D42" s="38" t="s">
        <v>377</v>
      </c>
      <c r="E42" s="46">
        <f t="shared" si="1"/>
        <v>4.1999999999999984</v>
      </c>
      <c r="F42" s="27">
        <v>4.0307101727447199</v>
      </c>
      <c r="G42" s="28">
        <v>1218.9000000000001</v>
      </c>
      <c r="H42" s="28">
        <v>723.5</v>
      </c>
      <c r="I42" s="28">
        <v>1221.0999999999999</v>
      </c>
      <c r="J42" s="27">
        <v>63.8</v>
      </c>
      <c r="K42" s="27">
        <v>63.64</v>
      </c>
      <c r="L42" s="27">
        <v>63.8</v>
      </c>
      <c r="M42" s="27">
        <v>63.65</v>
      </c>
      <c r="N42" s="27">
        <f t="shared" si="2"/>
        <v>63.722500000000004</v>
      </c>
      <c r="O42" s="27">
        <v>12.9</v>
      </c>
      <c r="P42" s="27">
        <v>2.66</v>
      </c>
      <c r="Q42" s="27">
        <f>100*AVERAGE(O42,O44,O46)/AVERAGEA(O43,O45)</f>
        <v>89.55878955878957</v>
      </c>
      <c r="R42" s="27">
        <v>161</v>
      </c>
      <c r="S42" s="27">
        <v>91</v>
      </c>
      <c r="T42" s="27">
        <v>44</v>
      </c>
      <c r="U42" s="27">
        <v>15</v>
      </c>
    </row>
    <row r="43" spans="1:21" ht="14.4">
      <c r="A43" s="25" t="s">
        <v>69</v>
      </c>
      <c r="B43" s="292"/>
      <c r="C43" s="25" t="s">
        <v>324</v>
      </c>
      <c r="D43" s="38" t="s">
        <v>295</v>
      </c>
      <c r="E43" s="46">
        <f t="shared" si="1"/>
        <v>4.1999999999999984</v>
      </c>
      <c r="F43" s="27">
        <v>4.0307101727447199</v>
      </c>
      <c r="G43" s="28">
        <v>1218</v>
      </c>
      <c r="H43" s="28">
        <v>723.6</v>
      </c>
      <c r="I43" s="28">
        <v>1221</v>
      </c>
      <c r="J43" s="27">
        <v>62.69</v>
      </c>
      <c r="K43" s="27">
        <v>63.05</v>
      </c>
      <c r="L43" s="27">
        <v>62.69</v>
      </c>
      <c r="M43" s="27">
        <v>63.05</v>
      </c>
      <c r="N43" s="27">
        <f t="shared" si="2"/>
        <v>62.870000000000005</v>
      </c>
      <c r="O43" s="27">
        <v>14.96</v>
      </c>
      <c r="P43" s="27">
        <v>2.15</v>
      </c>
      <c r="R43" s="27">
        <v>161</v>
      </c>
      <c r="S43" s="27">
        <v>91</v>
      </c>
      <c r="T43" s="27">
        <v>44</v>
      </c>
      <c r="U43" s="27">
        <v>15</v>
      </c>
    </row>
    <row r="44" spans="1:21" ht="14.4">
      <c r="A44" s="25" t="s">
        <v>69</v>
      </c>
      <c r="B44" s="292"/>
      <c r="C44" s="25" t="s">
        <v>324</v>
      </c>
      <c r="D44" s="38" t="s">
        <v>379</v>
      </c>
      <c r="E44" s="46">
        <f t="shared" si="1"/>
        <v>4.1999999999999984</v>
      </c>
      <c r="F44" s="27">
        <v>4.0307101727447199</v>
      </c>
      <c r="G44" s="28">
        <v>1219.5999999999999</v>
      </c>
      <c r="H44" s="28">
        <v>724.5</v>
      </c>
      <c r="I44" s="28">
        <v>1222.8</v>
      </c>
      <c r="J44" s="27">
        <v>63.13</v>
      </c>
      <c r="K44" s="27">
        <v>63.26</v>
      </c>
      <c r="L44" s="27">
        <v>63.1</v>
      </c>
      <c r="M44" s="27">
        <v>63.43</v>
      </c>
      <c r="N44" s="27">
        <f t="shared" si="2"/>
        <v>63.230000000000004</v>
      </c>
      <c r="O44" s="27">
        <v>12.84</v>
      </c>
      <c r="P44" s="27">
        <v>3.73</v>
      </c>
      <c r="R44" s="27">
        <v>161</v>
      </c>
      <c r="S44" s="27">
        <v>91</v>
      </c>
      <c r="T44" s="27">
        <v>44</v>
      </c>
      <c r="U44" s="27">
        <v>15</v>
      </c>
    </row>
    <row r="45" spans="1:21" ht="14.4">
      <c r="A45" s="25" t="s">
        <v>69</v>
      </c>
      <c r="B45" s="292"/>
      <c r="C45" s="25" t="s">
        <v>324</v>
      </c>
      <c r="D45" s="38" t="s">
        <v>297</v>
      </c>
      <c r="E45" s="46">
        <f t="shared" si="1"/>
        <v>4.1999999999999984</v>
      </c>
      <c r="F45" s="27">
        <v>4.0307101727447199</v>
      </c>
      <c r="G45" s="28">
        <v>1220.0999999999999</v>
      </c>
      <c r="H45" s="28">
        <v>724.9</v>
      </c>
      <c r="I45" s="28">
        <v>1223</v>
      </c>
      <c r="J45" s="27">
        <v>63.29</v>
      </c>
      <c r="K45" s="27">
        <v>63.26</v>
      </c>
      <c r="L45" s="27">
        <v>63.12</v>
      </c>
      <c r="M45" s="27">
        <v>63.33</v>
      </c>
      <c r="N45" s="27">
        <f t="shared" si="2"/>
        <v>63.25</v>
      </c>
      <c r="O45" s="27">
        <v>13.9</v>
      </c>
      <c r="P45" s="27">
        <v>2.75</v>
      </c>
      <c r="R45" s="27">
        <v>161</v>
      </c>
      <c r="S45" s="27">
        <v>91</v>
      </c>
      <c r="T45" s="27">
        <v>44</v>
      </c>
      <c r="U45" s="27">
        <v>15</v>
      </c>
    </row>
    <row r="46" spans="1:21" ht="14.4">
      <c r="A46" s="25" t="s">
        <v>69</v>
      </c>
      <c r="B46" s="293"/>
      <c r="C46" s="25" t="s">
        <v>324</v>
      </c>
      <c r="D46" s="38" t="s">
        <v>394</v>
      </c>
      <c r="E46" s="46">
        <f t="shared" si="1"/>
        <v>4.1999999999999984</v>
      </c>
      <c r="F46" s="27">
        <v>4.0307101727447199</v>
      </c>
      <c r="G46" s="28">
        <v>1219.8</v>
      </c>
      <c r="H46" s="28">
        <v>724.5</v>
      </c>
      <c r="I46" s="28">
        <v>1222.7</v>
      </c>
      <c r="J46" s="27">
        <v>63.6</v>
      </c>
      <c r="K46" s="27">
        <v>63.72</v>
      </c>
      <c r="L46" s="27">
        <v>63.54</v>
      </c>
      <c r="M46" s="27">
        <v>63.74</v>
      </c>
      <c r="N46" s="27">
        <f t="shared" si="2"/>
        <v>63.65</v>
      </c>
      <c r="O46" s="27">
        <v>13.03</v>
      </c>
      <c r="P46" s="27">
        <v>2.74</v>
      </c>
      <c r="R46" s="27">
        <v>161</v>
      </c>
      <c r="S46" s="27">
        <v>91</v>
      </c>
      <c r="T46" s="27">
        <v>44</v>
      </c>
      <c r="U46" s="27">
        <v>15</v>
      </c>
    </row>
    <row r="47" spans="1:21">
      <c r="A47" s="25" t="s">
        <v>78</v>
      </c>
      <c r="B47" s="291" t="s">
        <v>197</v>
      </c>
      <c r="C47" s="25" t="s">
        <v>324</v>
      </c>
      <c r="D47" s="26" t="s">
        <v>406</v>
      </c>
      <c r="E47" s="46">
        <f t="shared" si="1"/>
        <v>4.1999999999999984</v>
      </c>
      <c r="F47" s="27">
        <v>4.0307101727447199</v>
      </c>
      <c r="G47" s="28">
        <v>1234.7</v>
      </c>
      <c r="H47" s="28">
        <v>732.3</v>
      </c>
      <c r="I47" s="28">
        <v>1235.8</v>
      </c>
      <c r="J47" s="27">
        <v>62.8</v>
      </c>
      <c r="K47" s="27">
        <v>62.89</v>
      </c>
      <c r="L47" s="27">
        <v>63.15</v>
      </c>
      <c r="M47" s="27">
        <v>63.23</v>
      </c>
      <c r="N47" s="27">
        <f t="shared" si="2"/>
        <v>63.017499999999998</v>
      </c>
      <c r="O47" s="27">
        <v>12.72</v>
      </c>
      <c r="P47" s="27">
        <v>3.21</v>
      </c>
      <c r="Q47" s="27">
        <f>100*AVERAGE(O47,O49,O51)/AVERAGEA(O48,O50)</f>
        <v>83.484611371935301</v>
      </c>
      <c r="R47" s="27">
        <v>161</v>
      </c>
      <c r="S47" s="27">
        <v>91</v>
      </c>
      <c r="T47" s="27">
        <v>44</v>
      </c>
      <c r="U47" s="27">
        <v>15</v>
      </c>
    </row>
    <row r="48" spans="1:21">
      <c r="A48" s="25" t="s">
        <v>78</v>
      </c>
      <c r="B48" s="292"/>
      <c r="C48" s="25" t="s">
        <v>324</v>
      </c>
      <c r="D48" s="26" t="s">
        <v>308</v>
      </c>
      <c r="E48" s="46">
        <f t="shared" si="1"/>
        <v>4.1999999999999984</v>
      </c>
      <c r="F48" s="27">
        <v>4.0307101727447199</v>
      </c>
      <c r="G48" s="28">
        <v>1235.5999999999999</v>
      </c>
      <c r="H48" s="28">
        <v>733.7</v>
      </c>
      <c r="I48" s="28">
        <v>1236.9000000000001</v>
      </c>
      <c r="J48" s="27">
        <v>62.95</v>
      </c>
      <c r="K48" s="27">
        <v>62.94</v>
      </c>
      <c r="L48" s="27">
        <v>62.66</v>
      </c>
      <c r="M48" s="27">
        <v>62.61</v>
      </c>
      <c r="N48" s="27">
        <f t="shared" si="2"/>
        <v>62.790000000000006</v>
      </c>
      <c r="O48" s="27">
        <v>16.87</v>
      </c>
      <c r="P48" s="27">
        <v>4.82</v>
      </c>
      <c r="R48" s="27">
        <v>161</v>
      </c>
      <c r="S48" s="27">
        <v>91</v>
      </c>
      <c r="T48" s="27">
        <v>44</v>
      </c>
      <c r="U48" s="27">
        <v>15</v>
      </c>
    </row>
    <row r="49" spans="1:21">
      <c r="A49" s="25" t="s">
        <v>78</v>
      </c>
      <c r="B49" s="292"/>
      <c r="C49" s="25" t="s">
        <v>324</v>
      </c>
      <c r="D49" s="26" t="s">
        <v>407</v>
      </c>
      <c r="E49" s="46">
        <f t="shared" si="1"/>
        <v>4.1999999999999984</v>
      </c>
      <c r="F49" s="27">
        <v>4.0307101727447199</v>
      </c>
      <c r="G49" s="28">
        <v>1235.9000000000001</v>
      </c>
      <c r="H49" s="28">
        <v>732.2</v>
      </c>
      <c r="I49" s="28">
        <v>1237.3</v>
      </c>
      <c r="J49" s="27">
        <v>64.14</v>
      </c>
      <c r="K49" s="27">
        <v>63.2</v>
      </c>
      <c r="L49" s="27">
        <v>63.23</v>
      </c>
      <c r="M49" s="27">
        <v>63.61</v>
      </c>
      <c r="N49" s="27">
        <f t="shared" si="2"/>
        <v>63.545000000000002</v>
      </c>
      <c r="O49" s="27">
        <v>13.85</v>
      </c>
      <c r="P49" s="27">
        <v>2.97</v>
      </c>
      <c r="R49" s="27">
        <v>161</v>
      </c>
      <c r="S49" s="27">
        <v>91</v>
      </c>
      <c r="T49" s="27">
        <v>44</v>
      </c>
      <c r="U49" s="27">
        <v>15</v>
      </c>
    </row>
    <row r="50" spans="1:21">
      <c r="A50" s="25" t="s">
        <v>78</v>
      </c>
      <c r="B50" s="292"/>
      <c r="C50" s="25" t="s">
        <v>324</v>
      </c>
      <c r="D50" s="26" t="s">
        <v>310</v>
      </c>
      <c r="E50" s="46">
        <f t="shared" si="1"/>
        <v>4.1999999999999984</v>
      </c>
      <c r="F50" s="27">
        <v>4.0307101727447199</v>
      </c>
      <c r="G50" s="28">
        <v>1238.7</v>
      </c>
      <c r="H50" s="28">
        <v>734.1</v>
      </c>
      <c r="I50" s="28">
        <v>1240.5</v>
      </c>
      <c r="J50" s="27">
        <v>63.92</v>
      </c>
      <c r="K50" s="27">
        <v>63.58</v>
      </c>
      <c r="L50" s="27">
        <v>63.54</v>
      </c>
      <c r="M50" s="27">
        <v>63.82</v>
      </c>
      <c r="N50" s="27">
        <f t="shared" si="2"/>
        <v>63.714999999999996</v>
      </c>
      <c r="O50" s="27">
        <v>15.08</v>
      </c>
      <c r="P50" s="27">
        <v>3.04</v>
      </c>
      <c r="R50" s="27">
        <v>161</v>
      </c>
      <c r="S50" s="27">
        <v>91</v>
      </c>
      <c r="T50" s="27">
        <v>44</v>
      </c>
      <c r="U50" s="27">
        <v>15</v>
      </c>
    </row>
    <row r="51" spans="1:21">
      <c r="A51" s="25" t="s">
        <v>78</v>
      </c>
      <c r="B51" s="293"/>
      <c r="C51" s="25" t="s">
        <v>324</v>
      </c>
      <c r="D51" s="26" t="s">
        <v>408</v>
      </c>
      <c r="E51" s="46">
        <f t="shared" si="1"/>
        <v>4.1999999999999984</v>
      </c>
      <c r="F51" s="27">
        <v>4.0307101727447199</v>
      </c>
      <c r="G51" s="28">
        <v>1238.5</v>
      </c>
      <c r="H51" s="28">
        <v>734.4</v>
      </c>
      <c r="I51" s="28">
        <v>1240.4000000000001</v>
      </c>
      <c r="J51" s="27">
        <v>63.84</v>
      </c>
      <c r="K51" s="27">
        <v>63.61</v>
      </c>
      <c r="L51" s="27">
        <v>63.57</v>
      </c>
      <c r="M51" s="27">
        <v>63.66</v>
      </c>
      <c r="N51" s="27">
        <f t="shared" si="2"/>
        <v>63.67</v>
      </c>
      <c r="O51" s="27">
        <v>13.44</v>
      </c>
      <c r="P51" s="27">
        <v>3.92</v>
      </c>
      <c r="R51" s="27">
        <v>161</v>
      </c>
      <c r="S51" s="27">
        <v>91</v>
      </c>
      <c r="T51" s="27">
        <v>44</v>
      </c>
      <c r="U51" s="27">
        <v>15</v>
      </c>
    </row>
    <row r="52" spans="1:21">
      <c r="A52" s="25" t="s">
        <v>80</v>
      </c>
      <c r="B52" s="291" t="s">
        <v>197</v>
      </c>
      <c r="C52" s="25" t="s">
        <v>306</v>
      </c>
      <c r="D52" s="26" t="s">
        <v>406</v>
      </c>
      <c r="E52" s="46">
        <f t="shared" si="1"/>
        <v>4.3999999999999995</v>
      </c>
      <c r="F52" s="39">
        <v>4.2145593869731801</v>
      </c>
      <c r="G52" s="28">
        <v>1239.7</v>
      </c>
      <c r="H52" s="28">
        <v>743.8</v>
      </c>
      <c r="I52" s="28">
        <v>1242.0999999999999</v>
      </c>
      <c r="J52" s="27">
        <v>63.5</v>
      </c>
      <c r="K52" s="27">
        <v>64</v>
      </c>
      <c r="L52" s="27">
        <v>63.9</v>
      </c>
      <c r="M52" s="39" t="s">
        <v>73</v>
      </c>
      <c r="N52" s="27">
        <v>63.8</v>
      </c>
      <c r="O52" s="27">
        <v>16.75</v>
      </c>
      <c r="P52" s="27">
        <v>4.24</v>
      </c>
      <c r="Q52" s="27">
        <f>100*AVERAGE(O52,O53,O55)/AVERAGE(O54,O56)</f>
        <v>95.381062355658202</v>
      </c>
      <c r="R52" s="27">
        <v>161</v>
      </c>
      <c r="S52" s="27">
        <v>91</v>
      </c>
      <c r="T52" s="27">
        <v>44</v>
      </c>
      <c r="U52" s="27">
        <v>15</v>
      </c>
    </row>
    <row r="53" spans="1:21">
      <c r="A53" s="25" t="s">
        <v>80</v>
      </c>
      <c r="B53" s="292"/>
      <c r="C53" s="25" t="s">
        <v>306</v>
      </c>
      <c r="D53" s="26" t="s">
        <v>410</v>
      </c>
      <c r="E53" s="46">
        <f t="shared" si="1"/>
        <v>4.3999999999999995</v>
      </c>
      <c r="F53" s="39">
        <v>4.2145593869731801</v>
      </c>
      <c r="G53" s="28">
        <v>1234.2</v>
      </c>
      <c r="H53" s="28">
        <v>739.7</v>
      </c>
      <c r="I53" s="28">
        <v>1235.7</v>
      </c>
      <c r="J53" s="27">
        <v>63.5</v>
      </c>
      <c r="K53" s="27">
        <v>63.8</v>
      </c>
      <c r="L53" s="27">
        <v>63.4</v>
      </c>
      <c r="M53" s="39" t="s">
        <v>73</v>
      </c>
      <c r="N53" s="27">
        <v>63.566666666666698</v>
      </c>
      <c r="O53" s="27">
        <v>16.8</v>
      </c>
      <c r="P53" s="27">
        <v>5.58</v>
      </c>
      <c r="R53" s="27">
        <v>161</v>
      </c>
      <c r="S53" s="27">
        <v>91</v>
      </c>
      <c r="T53" s="27">
        <v>44</v>
      </c>
      <c r="U53" s="27">
        <v>15</v>
      </c>
    </row>
    <row r="54" spans="1:21">
      <c r="A54" s="25" t="s">
        <v>80</v>
      </c>
      <c r="B54" s="292"/>
      <c r="C54" s="25" t="s">
        <v>306</v>
      </c>
      <c r="D54" s="26" t="s">
        <v>309</v>
      </c>
      <c r="E54" s="46">
        <f t="shared" si="1"/>
        <v>4.3999999999999995</v>
      </c>
      <c r="F54" s="39">
        <v>4.2145593869731801</v>
      </c>
      <c r="G54" s="28">
        <v>1237.7</v>
      </c>
      <c r="H54" s="28">
        <v>738.3</v>
      </c>
      <c r="I54" s="28">
        <v>1239.7</v>
      </c>
      <c r="J54" s="27">
        <v>64.3</v>
      </c>
      <c r="K54" s="27">
        <v>64.599999999999994</v>
      </c>
      <c r="L54" s="27">
        <v>64.599999999999994</v>
      </c>
      <c r="M54" s="39" t="s">
        <v>73</v>
      </c>
      <c r="N54" s="27">
        <v>64.5</v>
      </c>
      <c r="O54" s="27">
        <v>17.66</v>
      </c>
      <c r="P54" s="27">
        <v>3.22</v>
      </c>
      <c r="R54" s="27">
        <v>161</v>
      </c>
      <c r="S54" s="27">
        <v>91</v>
      </c>
      <c r="T54" s="27">
        <v>44</v>
      </c>
      <c r="U54" s="27">
        <v>15</v>
      </c>
    </row>
    <row r="55" spans="1:21">
      <c r="A55" s="25" t="s">
        <v>80</v>
      </c>
      <c r="B55" s="292"/>
      <c r="C55" s="25" t="s">
        <v>306</v>
      </c>
      <c r="D55" s="26" t="s">
        <v>411</v>
      </c>
      <c r="E55" s="46">
        <f t="shared" si="1"/>
        <v>4.3999999999999995</v>
      </c>
      <c r="F55" s="39">
        <v>4.2145593869731801</v>
      </c>
      <c r="G55" s="28">
        <v>1236.9000000000001</v>
      </c>
      <c r="H55" s="28">
        <v>738.8</v>
      </c>
      <c r="I55" s="28">
        <v>1238.8</v>
      </c>
      <c r="J55" s="27">
        <v>64.2</v>
      </c>
      <c r="K55" s="27">
        <v>63.7</v>
      </c>
      <c r="L55" s="27">
        <v>63.7</v>
      </c>
      <c r="M55" s="39" t="s">
        <v>73</v>
      </c>
      <c r="N55" s="27">
        <v>63.866666666666703</v>
      </c>
      <c r="O55" s="27">
        <v>16.010000000000002</v>
      </c>
      <c r="P55" s="27">
        <v>5.37</v>
      </c>
      <c r="R55" s="27">
        <v>161</v>
      </c>
      <c r="S55" s="27">
        <v>91</v>
      </c>
      <c r="T55" s="27">
        <v>44</v>
      </c>
      <c r="U55" s="27">
        <v>15</v>
      </c>
    </row>
    <row r="56" spans="1:21" ht="14.4">
      <c r="A56" s="25" t="s">
        <v>80</v>
      </c>
      <c r="B56" s="292"/>
      <c r="C56" s="25" t="s">
        <v>306</v>
      </c>
      <c r="D56" s="26" t="s">
        <v>298</v>
      </c>
      <c r="E56" s="46">
        <f t="shared" si="1"/>
        <v>4.3999999999999995</v>
      </c>
      <c r="F56" s="39">
        <v>4.2145593869731801</v>
      </c>
      <c r="G56" s="28">
        <v>1252.3</v>
      </c>
      <c r="H56" s="28">
        <v>754.3</v>
      </c>
      <c r="I56" s="28">
        <v>1256.3</v>
      </c>
      <c r="J56" s="27">
        <v>65.099999999999994</v>
      </c>
      <c r="K56" s="27">
        <v>65</v>
      </c>
      <c r="L56" s="27">
        <v>65.2</v>
      </c>
      <c r="M56" s="39" t="s">
        <v>73</v>
      </c>
      <c r="N56" s="27">
        <v>65.099999999999994</v>
      </c>
      <c r="O56" s="27">
        <v>16.98</v>
      </c>
      <c r="P56" s="27">
        <v>2.42</v>
      </c>
      <c r="R56" s="27">
        <v>161</v>
      </c>
      <c r="S56" s="27">
        <v>91</v>
      </c>
      <c r="T56" s="27">
        <v>44</v>
      </c>
      <c r="U56" s="27">
        <v>15</v>
      </c>
    </row>
    <row r="57" spans="1:21">
      <c r="A57" s="25" t="s">
        <v>80</v>
      </c>
      <c r="B57" s="292"/>
      <c r="C57" s="25" t="s">
        <v>324</v>
      </c>
      <c r="D57" s="26" t="s">
        <v>307</v>
      </c>
      <c r="E57" s="46">
        <f t="shared" si="1"/>
        <v>4.3999999999999995</v>
      </c>
      <c r="F57" s="39">
        <v>4.2145593869731801</v>
      </c>
      <c r="G57" s="28">
        <v>1219.4000000000001</v>
      </c>
      <c r="H57" s="28">
        <v>719.6</v>
      </c>
      <c r="I57" s="28">
        <v>1221.3</v>
      </c>
      <c r="J57" s="27">
        <v>62.2</v>
      </c>
      <c r="K57" s="27">
        <v>62.4</v>
      </c>
      <c r="L57" s="27">
        <v>63</v>
      </c>
      <c r="M57" s="39" t="s">
        <v>73</v>
      </c>
      <c r="N57" s="27">
        <v>62.533333333333303</v>
      </c>
      <c r="O57" s="27">
        <v>16.25</v>
      </c>
      <c r="P57" s="27">
        <v>2.68</v>
      </c>
      <c r="Q57" s="27">
        <f>100*AVERAGE(O58,O59,O61)/AVERAGE(O60,O57)</f>
        <v>92.836965294592417</v>
      </c>
      <c r="R57" s="27">
        <v>161</v>
      </c>
      <c r="S57" s="27">
        <v>91</v>
      </c>
      <c r="T57" s="27">
        <v>44</v>
      </c>
      <c r="U57" s="27">
        <v>15</v>
      </c>
    </row>
    <row r="58" spans="1:21">
      <c r="A58" s="25" t="s">
        <v>80</v>
      </c>
      <c r="B58" s="292"/>
      <c r="C58" s="25" t="s">
        <v>324</v>
      </c>
      <c r="D58" s="26" t="s">
        <v>410</v>
      </c>
      <c r="E58" s="46">
        <f t="shared" si="1"/>
        <v>4.3999999999999995</v>
      </c>
      <c r="F58" s="39">
        <v>4.2145593869731801</v>
      </c>
      <c r="G58" s="28">
        <v>1224.4000000000001</v>
      </c>
      <c r="H58" s="28">
        <v>723.1</v>
      </c>
      <c r="I58" s="28">
        <v>1235.7</v>
      </c>
      <c r="J58" s="27">
        <v>63.1</v>
      </c>
      <c r="K58" s="27">
        <v>62.8</v>
      </c>
      <c r="L58" s="27">
        <v>62.6</v>
      </c>
      <c r="M58" s="39" t="s">
        <v>73</v>
      </c>
      <c r="N58" s="27">
        <v>62.8333333333333</v>
      </c>
      <c r="O58" s="27">
        <v>15.06</v>
      </c>
      <c r="P58" s="27">
        <v>5.53</v>
      </c>
      <c r="R58" s="27">
        <v>161</v>
      </c>
      <c r="S58" s="27">
        <v>91</v>
      </c>
      <c r="T58" s="27">
        <v>44</v>
      </c>
      <c r="U58" s="27">
        <v>15</v>
      </c>
    </row>
    <row r="59" spans="1:21">
      <c r="A59" s="25" t="s">
        <v>80</v>
      </c>
      <c r="B59" s="292"/>
      <c r="C59" s="25" t="s">
        <v>324</v>
      </c>
      <c r="D59" s="26" t="s">
        <v>407</v>
      </c>
      <c r="E59" s="46">
        <f t="shared" si="1"/>
        <v>4.3999999999999995</v>
      </c>
      <c r="F59" s="39">
        <v>4.2145593869731801</v>
      </c>
      <c r="G59" s="28">
        <v>1234.4000000000001</v>
      </c>
      <c r="H59" s="28">
        <v>733.1</v>
      </c>
      <c r="I59" s="28">
        <v>1235.7</v>
      </c>
      <c r="J59" s="27">
        <v>63</v>
      </c>
      <c r="K59" s="27">
        <v>63.2</v>
      </c>
      <c r="L59" s="27">
        <v>63</v>
      </c>
      <c r="M59" s="39" t="s">
        <v>73</v>
      </c>
      <c r="N59" s="27">
        <v>63.066666666666698</v>
      </c>
      <c r="O59" s="27">
        <v>15.36</v>
      </c>
      <c r="P59" s="27">
        <v>2.96</v>
      </c>
      <c r="R59" s="27">
        <v>161</v>
      </c>
      <c r="S59" s="27">
        <v>91</v>
      </c>
      <c r="T59" s="27">
        <v>44</v>
      </c>
      <c r="U59" s="27">
        <v>15</v>
      </c>
    </row>
    <row r="60" spans="1:21">
      <c r="A60" s="25" t="s">
        <v>80</v>
      </c>
      <c r="B60" s="292"/>
      <c r="C60" s="25" t="s">
        <v>324</v>
      </c>
      <c r="D60" s="26" t="s">
        <v>310</v>
      </c>
      <c r="E60" s="46">
        <f t="shared" si="1"/>
        <v>4.3999999999999995</v>
      </c>
      <c r="F60" s="39">
        <v>4.2145593869731801</v>
      </c>
      <c r="G60" s="28">
        <v>1237.8</v>
      </c>
      <c r="H60" s="28">
        <v>736.3</v>
      </c>
      <c r="I60" s="28">
        <v>1239.7</v>
      </c>
      <c r="J60" s="27">
        <v>63.5</v>
      </c>
      <c r="K60" s="27">
        <v>63.8</v>
      </c>
      <c r="L60" s="27">
        <v>63.9</v>
      </c>
      <c r="M60" s="39" t="s">
        <v>73</v>
      </c>
      <c r="N60" s="27">
        <v>63.733333333333299</v>
      </c>
      <c r="O60" s="27">
        <v>16.79</v>
      </c>
      <c r="P60" s="27">
        <v>3.07</v>
      </c>
      <c r="R60" s="27">
        <v>161</v>
      </c>
      <c r="S60" s="27">
        <v>91</v>
      </c>
      <c r="T60" s="27">
        <v>44</v>
      </c>
      <c r="U60" s="27">
        <v>15</v>
      </c>
    </row>
    <row r="61" spans="1:21">
      <c r="A61" s="25" t="s">
        <v>80</v>
      </c>
      <c r="B61" s="292"/>
      <c r="C61" s="25" t="s">
        <v>324</v>
      </c>
      <c r="D61" s="26" t="s">
        <v>408</v>
      </c>
      <c r="E61" s="46">
        <f t="shared" si="1"/>
        <v>4.3999999999999995</v>
      </c>
      <c r="F61" s="39">
        <v>4.2145593869731801</v>
      </c>
      <c r="G61" s="28">
        <v>1229.9000000000001</v>
      </c>
      <c r="H61" s="28">
        <v>728.2</v>
      </c>
      <c r="I61" s="28">
        <v>1232.0999999999999</v>
      </c>
      <c r="J61" s="27">
        <v>63.1</v>
      </c>
      <c r="K61" s="27">
        <v>63.3</v>
      </c>
      <c r="L61" s="27">
        <v>63.1</v>
      </c>
      <c r="M61" s="39" t="s">
        <v>73</v>
      </c>
      <c r="N61" s="27">
        <v>63.4</v>
      </c>
      <c r="O61" s="27">
        <v>15.59</v>
      </c>
      <c r="P61" s="27">
        <v>5.21</v>
      </c>
      <c r="R61" s="27">
        <v>161</v>
      </c>
      <c r="S61" s="27">
        <v>91</v>
      </c>
      <c r="T61" s="27">
        <v>44</v>
      </c>
      <c r="U61" s="27">
        <v>15</v>
      </c>
    </row>
    <row r="62" spans="1:21">
      <c r="A62" s="25" t="s">
        <v>80</v>
      </c>
      <c r="B62" s="292"/>
      <c r="C62" s="25" t="s">
        <v>523</v>
      </c>
      <c r="D62" s="26" t="s">
        <v>406</v>
      </c>
      <c r="E62" s="46">
        <f t="shared" si="1"/>
        <v>4.3999999999999995</v>
      </c>
      <c r="F62" s="39">
        <v>4.2145593869731801</v>
      </c>
      <c r="G62" s="28">
        <v>1236.5999999999999</v>
      </c>
      <c r="H62" s="28">
        <v>744.8</v>
      </c>
      <c r="I62" s="28">
        <v>1237.5</v>
      </c>
      <c r="J62" s="27">
        <v>62.4</v>
      </c>
      <c r="K62" s="27">
        <v>62.2</v>
      </c>
      <c r="L62" s="27">
        <v>62.2</v>
      </c>
      <c r="M62" s="39" t="s">
        <v>73</v>
      </c>
      <c r="N62" s="27">
        <v>62.266666666666701</v>
      </c>
      <c r="O62" s="27">
        <v>15.45</v>
      </c>
      <c r="P62" s="27">
        <v>4.29</v>
      </c>
      <c r="Q62" s="27">
        <f>100*AVERAGEA(O63,O66,O62)/AVERAGEA(O64,O65)</f>
        <v>87.969434349082121</v>
      </c>
      <c r="R62" s="27">
        <v>161</v>
      </c>
      <c r="S62" s="27">
        <v>91</v>
      </c>
      <c r="T62" s="27">
        <v>44</v>
      </c>
      <c r="U62" s="27">
        <v>15</v>
      </c>
    </row>
    <row r="63" spans="1:21">
      <c r="A63" s="25" t="s">
        <v>80</v>
      </c>
      <c r="B63" s="292"/>
      <c r="C63" s="25" t="s">
        <v>523</v>
      </c>
      <c r="D63" s="26" t="s">
        <v>410</v>
      </c>
      <c r="E63" s="46">
        <f t="shared" si="1"/>
        <v>4.3999999999999995</v>
      </c>
      <c r="F63" s="39">
        <v>4.2145593869731801</v>
      </c>
      <c r="G63" s="28">
        <v>1239.7</v>
      </c>
      <c r="H63" s="28">
        <v>748.4</v>
      </c>
      <c r="I63" s="28">
        <v>1240.9000000000001</v>
      </c>
      <c r="J63" s="27">
        <v>62.2</v>
      </c>
      <c r="K63" s="27">
        <v>62.3</v>
      </c>
      <c r="L63" s="27">
        <v>62.2</v>
      </c>
      <c r="M63" s="39" t="s">
        <v>73</v>
      </c>
      <c r="N63" s="27">
        <v>62.233333333333299</v>
      </c>
      <c r="O63" s="27">
        <v>16.86</v>
      </c>
      <c r="P63" s="27">
        <v>3.6</v>
      </c>
      <c r="R63" s="27">
        <v>161</v>
      </c>
      <c r="S63" s="27">
        <v>91</v>
      </c>
      <c r="T63" s="27">
        <v>44</v>
      </c>
      <c r="U63" s="27">
        <v>15</v>
      </c>
    </row>
    <row r="64" spans="1:21">
      <c r="A64" s="25" t="s">
        <v>80</v>
      </c>
      <c r="B64" s="292"/>
      <c r="C64" s="25" t="s">
        <v>523</v>
      </c>
      <c r="D64" s="26" t="s">
        <v>309</v>
      </c>
      <c r="E64" s="46">
        <f t="shared" si="1"/>
        <v>4.3999999999999995</v>
      </c>
      <c r="F64" s="39">
        <v>4.2145593869731801</v>
      </c>
      <c r="G64" s="28">
        <v>1244.5999999999999</v>
      </c>
      <c r="H64" s="28">
        <v>750.6</v>
      </c>
      <c r="I64" s="28">
        <v>1246</v>
      </c>
      <c r="J64" s="27" t="s">
        <v>415</v>
      </c>
      <c r="K64" s="27">
        <v>62.2</v>
      </c>
      <c r="L64" s="27">
        <v>62.6</v>
      </c>
      <c r="M64" s="39" t="s">
        <v>73</v>
      </c>
      <c r="N64" s="27">
        <v>62.4</v>
      </c>
      <c r="O64" s="27">
        <v>18.5</v>
      </c>
      <c r="P64" s="27">
        <v>2.42</v>
      </c>
      <c r="R64" s="27">
        <v>161</v>
      </c>
      <c r="S64" s="27">
        <v>91</v>
      </c>
      <c r="T64" s="27">
        <v>44</v>
      </c>
      <c r="U64" s="27">
        <v>15</v>
      </c>
    </row>
    <row r="65" spans="1:21">
      <c r="A65" s="25" t="s">
        <v>80</v>
      </c>
      <c r="B65" s="292"/>
      <c r="C65" s="25" t="s">
        <v>523</v>
      </c>
      <c r="D65" s="26" t="s">
        <v>310</v>
      </c>
      <c r="E65" s="46">
        <f t="shared" si="1"/>
        <v>4.3999999999999995</v>
      </c>
      <c r="F65" s="39">
        <v>4.2145593869731801</v>
      </c>
      <c r="G65" s="28">
        <v>1252.3</v>
      </c>
      <c r="H65" s="28">
        <v>754.3</v>
      </c>
      <c r="I65" s="28">
        <v>1254.3</v>
      </c>
      <c r="J65" s="27">
        <v>63.5</v>
      </c>
      <c r="K65" s="27">
        <v>63.5</v>
      </c>
      <c r="L65" s="27">
        <v>63.4</v>
      </c>
      <c r="M65" s="39" t="s">
        <v>73</v>
      </c>
      <c r="N65" s="27">
        <v>63.466666666666697</v>
      </c>
      <c r="O65" s="27">
        <v>17.27</v>
      </c>
      <c r="P65" s="27">
        <v>4.59</v>
      </c>
      <c r="R65" s="27">
        <v>161</v>
      </c>
      <c r="S65" s="27">
        <v>91</v>
      </c>
      <c r="T65" s="27">
        <v>44</v>
      </c>
      <c r="U65" s="27">
        <v>15</v>
      </c>
    </row>
    <row r="66" spans="1:21">
      <c r="A66" s="25" t="s">
        <v>80</v>
      </c>
      <c r="B66" s="292"/>
      <c r="C66" s="25" t="s">
        <v>523</v>
      </c>
      <c r="D66" s="26" t="s">
        <v>408</v>
      </c>
      <c r="E66" s="46">
        <f t="shared" si="1"/>
        <v>4.3999999999999995</v>
      </c>
      <c r="F66" s="39">
        <v>4.2145593869731801</v>
      </c>
      <c r="G66" s="28">
        <v>1231.5999999999999</v>
      </c>
      <c r="H66" s="28">
        <v>740.3</v>
      </c>
      <c r="I66" s="28">
        <v>1233.4000000000001</v>
      </c>
      <c r="J66" s="27">
        <v>63</v>
      </c>
      <c r="K66" s="27">
        <v>62.9</v>
      </c>
      <c r="L66" s="27">
        <v>62.7</v>
      </c>
      <c r="M66" s="39" t="s">
        <v>73</v>
      </c>
      <c r="N66" s="27">
        <v>62.866666666666703</v>
      </c>
      <c r="O66" s="27">
        <v>14.89</v>
      </c>
      <c r="P66" s="27">
        <v>3.69</v>
      </c>
      <c r="R66" s="27">
        <v>161</v>
      </c>
      <c r="S66" s="27">
        <v>91</v>
      </c>
      <c r="T66" s="27">
        <v>44</v>
      </c>
      <c r="U66" s="27">
        <v>15</v>
      </c>
    </row>
    <row r="67" spans="1:21">
      <c r="A67" s="25" t="s">
        <v>80</v>
      </c>
      <c r="B67" s="292"/>
      <c r="C67" s="25" t="s">
        <v>314</v>
      </c>
      <c r="D67" s="26" t="s">
        <v>307</v>
      </c>
      <c r="E67" s="46">
        <f t="shared" si="1"/>
        <v>4.3999999999999995</v>
      </c>
      <c r="F67" s="39">
        <v>4.2145593869731801</v>
      </c>
      <c r="G67" s="28">
        <v>1225.3</v>
      </c>
      <c r="H67" s="28">
        <v>725.6</v>
      </c>
      <c r="I67" s="28">
        <v>1228.3</v>
      </c>
      <c r="J67" s="27">
        <v>63.74</v>
      </c>
      <c r="K67" s="27">
        <v>63.75</v>
      </c>
      <c r="L67" s="27">
        <v>63.9</v>
      </c>
      <c r="M67" s="39" t="s">
        <v>73</v>
      </c>
      <c r="N67" s="27">
        <v>63.796666666666702</v>
      </c>
      <c r="O67" s="27">
        <v>14.68</v>
      </c>
      <c r="P67" s="27">
        <v>2.0699999999999998</v>
      </c>
      <c r="Q67" s="27">
        <f>100*AVERAGE(O68,O70,O71)/AVERAGE(O69,O67)</f>
        <v>94.444444444444457</v>
      </c>
      <c r="R67" s="27">
        <v>258</v>
      </c>
      <c r="S67" s="27">
        <v>72</v>
      </c>
      <c r="T67" s="27">
        <v>47.6</v>
      </c>
      <c r="U67" s="27">
        <v>8.1999999999999993</v>
      </c>
    </row>
    <row r="68" spans="1:21">
      <c r="A68" s="25" t="s">
        <v>80</v>
      </c>
      <c r="B68" s="292"/>
      <c r="C68" s="25" t="s">
        <v>314</v>
      </c>
      <c r="D68" s="26" t="s">
        <v>410</v>
      </c>
      <c r="E68" s="46">
        <f t="shared" ref="E68:E131" si="3">100*F68/(100-F68)</f>
        <v>4.3999999999999995</v>
      </c>
      <c r="F68" s="39">
        <v>4.2145593869731801</v>
      </c>
      <c r="G68" s="28">
        <v>1220.4000000000001</v>
      </c>
      <c r="H68" s="28">
        <v>721.5</v>
      </c>
      <c r="I68" s="28">
        <v>1224.3</v>
      </c>
      <c r="J68" s="27">
        <v>63.58</v>
      </c>
      <c r="K68" s="27">
        <v>63.75</v>
      </c>
      <c r="L68" s="27">
        <v>63.77</v>
      </c>
      <c r="M68" s="39" t="s">
        <v>73</v>
      </c>
      <c r="N68" s="27">
        <v>63.7</v>
      </c>
      <c r="O68" s="27">
        <v>13.68</v>
      </c>
      <c r="P68" s="27">
        <v>3.88</v>
      </c>
      <c r="R68" s="27">
        <v>258</v>
      </c>
      <c r="S68" s="27">
        <v>72</v>
      </c>
      <c r="T68" s="27">
        <v>47.6</v>
      </c>
      <c r="U68" s="27">
        <v>8.1999999999999993</v>
      </c>
    </row>
    <row r="69" spans="1:21">
      <c r="A69" s="25" t="s">
        <v>80</v>
      </c>
      <c r="B69" s="292"/>
      <c r="C69" s="25" t="s">
        <v>314</v>
      </c>
      <c r="D69" s="26" t="s">
        <v>309</v>
      </c>
      <c r="E69" s="46">
        <f t="shared" si="3"/>
        <v>4.3999999999999995</v>
      </c>
      <c r="F69" s="39">
        <v>4.2145593869731801</v>
      </c>
      <c r="G69" s="28">
        <v>1218.5999999999999</v>
      </c>
      <c r="H69" s="28">
        <v>722.8</v>
      </c>
      <c r="I69" s="28">
        <v>1222.5999999999999</v>
      </c>
      <c r="J69" s="27">
        <v>64.12</v>
      </c>
      <c r="K69" s="27">
        <v>64.42</v>
      </c>
      <c r="L69" s="27">
        <v>64.239999999999995</v>
      </c>
      <c r="M69" s="39" t="s">
        <v>73</v>
      </c>
      <c r="N69" s="27">
        <v>64.260000000000005</v>
      </c>
      <c r="O69" s="27">
        <v>14.12</v>
      </c>
      <c r="P69" s="27">
        <v>3.64</v>
      </c>
      <c r="R69" s="27">
        <v>258</v>
      </c>
      <c r="S69" s="27">
        <v>72</v>
      </c>
      <c r="T69" s="27">
        <v>47.6</v>
      </c>
      <c r="U69" s="27">
        <v>8.1999999999999993</v>
      </c>
    </row>
    <row r="70" spans="1:21">
      <c r="A70" s="25" t="s">
        <v>80</v>
      </c>
      <c r="B70" s="292"/>
      <c r="C70" s="25" t="s">
        <v>314</v>
      </c>
      <c r="D70" s="26" t="s">
        <v>411</v>
      </c>
      <c r="E70" s="46">
        <f t="shared" si="3"/>
        <v>4.3999999999999995</v>
      </c>
      <c r="F70" s="39">
        <v>4.2145593869731801</v>
      </c>
      <c r="G70" s="28">
        <v>1221.8</v>
      </c>
      <c r="H70" s="28">
        <v>721.3</v>
      </c>
      <c r="I70" s="28">
        <v>1227.0999999999999</v>
      </c>
      <c r="J70" s="27">
        <v>64.38</v>
      </c>
      <c r="K70" s="27">
        <v>64.459999999999994</v>
      </c>
      <c r="L70" s="27">
        <v>64.42</v>
      </c>
      <c r="M70" s="39" t="s">
        <v>73</v>
      </c>
      <c r="N70" s="27">
        <v>64.42</v>
      </c>
      <c r="O70" s="27">
        <v>13.94</v>
      </c>
      <c r="P70" s="27">
        <v>4.03</v>
      </c>
      <c r="R70" s="27">
        <v>258</v>
      </c>
      <c r="S70" s="27">
        <v>72</v>
      </c>
      <c r="T70" s="27">
        <v>47.6</v>
      </c>
      <c r="U70" s="27">
        <v>8.1999999999999993</v>
      </c>
    </row>
    <row r="71" spans="1:21">
      <c r="A71" s="25" t="s">
        <v>80</v>
      </c>
      <c r="B71" s="293"/>
      <c r="C71" s="25" t="s">
        <v>314</v>
      </c>
      <c r="D71" s="26" t="s">
        <v>408</v>
      </c>
      <c r="E71" s="46">
        <f t="shared" si="3"/>
        <v>4.3999999999999995</v>
      </c>
      <c r="F71" s="39">
        <v>4.2145593869731801</v>
      </c>
      <c r="G71" s="28">
        <v>1216.2</v>
      </c>
      <c r="H71" s="28">
        <v>719.9</v>
      </c>
      <c r="I71" s="28">
        <v>1221.0999999999999</v>
      </c>
      <c r="J71" s="27">
        <v>64.010000000000005</v>
      </c>
      <c r="K71" s="27">
        <v>63.94</v>
      </c>
      <c r="L71" s="27">
        <v>64.33</v>
      </c>
      <c r="M71" s="39" t="s">
        <v>73</v>
      </c>
      <c r="N71" s="27">
        <v>64.093333333333305</v>
      </c>
      <c r="O71" s="27">
        <v>13.18</v>
      </c>
      <c r="P71" s="27">
        <v>2.93</v>
      </c>
      <c r="R71" s="27">
        <v>258</v>
      </c>
      <c r="S71" s="27">
        <v>72</v>
      </c>
      <c r="T71" s="27">
        <v>47.6</v>
      </c>
      <c r="U71" s="27">
        <v>8.1999999999999993</v>
      </c>
    </row>
    <row r="72" spans="1:21" ht="14.4">
      <c r="A72" s="25" t="s">
        <v>83</v>
      </c>
      <c r="B72" s="291" t="s">
        <v>197</v>
      </c>
      <c r="C72" s="25" t="s">
        <v>398</v>
      </c>
      <c r="D72" s="26" t="s">
        <v>418</v>
      </c>
      <c r="E72" s="46">
        <f t="shared" si="3"/>
        <v>4.5041279130525647</v>
      </c>
      <c r="F72" s="27">
        <v>4.3099999999999996</v>
      </c>
      <c r="G72" s="28">
        <v>1212.3</v>
      </c>
      <c r="H72" s="28">
        <v>715</v>
      </c>
      <c r="I72" s="28">
        <v>1213.8</v>
      </c>
      <c r="J72" s="27">
        <v>64.09</v>
      </c>
      <c r="K72" s="27">
        <v>63.87</v>
      </c>
      <c r="L72" s="27">
        <v>63.75</v>
      </c>
      <c r="M72" s="27">
        <v>64.05</v>
      </c>
      <c r="N72" s="27">
        <v>63.94</v>
      </c>
      <c r="O72" s="27">
        <v>11.63</v>
      </c>
      <c r="P72" s="27">
        <v>5.72</v>
      </c>
      <c r="Q72" s="27">
        <f>100*AVERAGE(O72,O74,O76)/AVERAGEA(O73,O75)</f>
        <v>93.157822569587267</v>
      </c>
      <c r="R72" s="27">
        <v>161</v>
      </c>
      <c r="S72" s="27">
        <v>91</v>
      </c>
      <c r="T72" s="27">
        <v>44</v>
      </c>
      <c r="U72" s="27">
        <v>15</v>
      </c>
    </row>
    <row r="73" spans="1:21" ht="14.4">
      <c r="A73" s="25" t="s">
        <v>83</v>
      </c>
      <c r="B73" s="292"/>
      <c r="C73" s="25" t="s">
        <v>398</v>
      </c>
      <c r="D73" s="26" t="s">
        <v>308</v>
      </c>
      <c r="E73" s="46">
        <f t="shared" si="3"/>
        <v>4.5041279130525647</v>
      </c>
      <c r="F73" s="27">
        <v>4.3099999999999996</v>
      </c>
      <c r="G73" s="28">
        <v>1215.9000000000001</v>
      </c>
      <c r="H73" s="28">
        <v>713.7</v>
      </c>
      <c r="I73" s="28">
        <v>1218</v>
      </c>
      <c r="J73" s="27">
        <v>64.180000000000007</v>
      </c>
      <c r="K73" s="27">
        <v>64.430000000000007</v>
      </c>
      <c r="L73" s="27">
        <v>64.349999999999994</v>
      </c>
      <c r="M73" s="27">
        <v>64.2</v>
      </c>
      <c r="N73" s="27">
        <v>64.290000000000006</v>
      </c>
      <c r="O73" s="27">
        <v>12.28</v>
      </c>
      <c r="P73" s="27">
        <v>2.42</v>
      </c>
      <c r="R73" s="27">
        <v>161</v>
      </c>
      <c r="S73" s="27">
        <v>91</v>
      </c>
      <c r="T73" s="27">
        <v>44</v>
      </c>
      <c r="U73" s="27">
        <v>15</v>
      </c>
    </row>
    <row r="74" spans="1:21" ht="14.4">
      <c r="A74" s="25" t="s">
        <v>83</v>
      </c>
      <c r="B74" s="292"/>
      <c r="C74" s="25" t="s">
        <v>398</v>
      </c>
      <c r="D74" s="26" t="s">
        <v>419</v>
      </c>
      <c r="E74" s="46">
        <f t="shared" si="3"/>
        <v>4.5041279130525647</v>
      </c>
      <c r="F74" s="27">
        <v>4.3099999999999996</v>
      </c>
      <c r="G74" s="28">
        <v>1210.0999999999999</v>
      </c>
      <c r="H74" s="28">
        <v>709.4</v>
      </c>
      <c r="I74" s="28">
        <v>1212.5999999999999</v>
      </c>
      <c r="J74" s="27">
        <v>64.489999999999995</v>
      </c>
      <c r="K74" s="27">
        <v>64.53</v>
      </c>
      <c r="L74" s="27">
        <v>64.739999999999995</v>
      </c>
      <c r="M74" s="27">
        <v>64.489999999999995</v>
      </c>
      <c r="N74" s="27">
        <v>64.5625</v>
      </c>
      <c r="O74" s="27">
        <v>11.47</v>
      </c>
      <c r="P74" s="27">
        <v>3.37</v>
      </c>
      <c r="R74" s="27">
        <v>161</v>
      </c>
      <c r="S74" s="27">
        <v>91</v>
      </c>
      <c r="T74" s="27">
        <v>44</v>
      </c>
      <c r="U74" s="27">
        <v>15</v>
      </c>
    </row>
    <row r="75" spans="1:21" ht="14.4">
      <c r="A75" s="25" t="s">
        <v>83</v>
      </c>
      <c r="B75" s="292"/>
      <c r="C75" s="25" t="s">
        <v>398</v>
      </c>
      <c r="D75" s="26" t="s">
        <v>310</v>
      </c>
      <c r="E75" s="46">
        <f t="shared" si="3"/>
        <v>4.5041279130525647</v>
      </c>
      <c r="F75" s="27">
        <v>4.3099999999999996</v>
      </c>
      <c r="G75" s="28">
        <v>1204.5999999999999</v>
      </c>
      <c r="H75" s="28">
        <v>706.2</v>
      </c>
      <c r="I75" s="28">
        <v>1208.5</v>
      </c>
      <c r="J75" s="27">
        <v>64.510000000000005</v>
      </c>
      <c r="K75" s="27">
        <v>64.28</v>
      </c>
      <c r="L75" s="27">
        <v>64.459999999999994</v>
      </c>
      <c r="M75" s="27">
        <v>64.58</v>
      </c>
      <c r="N75" s="27">
        <v>64.457499999999996</v>
      </c>
      <c r="O75" s="27">
        <v>12.03</v>
      </c>
      <c r="P75" s="27">
        <v>2.06</v>
      </c>
      <c r="R75" s="27">
        <v>161</v>
      </c>
      <c r="S75" s="27">
        <v>91</v>
      </c>
      <c r="T75" s="27">
        <v>44</v>
      </c>
      <c r="U75" s="27">
        <v>15</v>
      </c>
    </row>
    <row r="76" spans="1:21" ht="14.4">
      <c r="A76" s="25" t="s">
        <v>83</v>
      </c>
      <c r="B76" s="292"/>
      <c r="C76" s="25" t="s">
        <v>398</v>
      </c>
      <c r="D76" s="26" t="s">
        <v>420</v>
      </c>
      <c r="E76" s="46">
        <f t="shared" si="3"/>
        <v>4.5041279130525647</v>
      </c>
      <c r="F76" s="27">
        <v>4.3099999999999996</v>
      </c>
      <c r="G76" s="28">
        <v>1203.5999999999999</v>
      </c>
      <c r="H76" s="28">
        <v>709.3</v>
      </c>
      <c r="I76" s="28">
        <v>1206.9000000000001</v>
      </c>
      <c r="J76" s="27">
        <v>63.72</v>
      </c>
      <c r="K76" s="27">
        <v>64.040000000000006</v>
      </c>
      <c r="L76" s="27">
        <v>64.91</v>
      </c>
      <c r="M76" s="27">
        <v>63.64</v>
      </c>
      <c r="N76" s="27">
        <v>64.077500000000001</v>
      </c>
      <c r="O76" s="27">
        <v>10.87</v>
      </c>
      <c r="P76" s="27">
        <v>2.92</v>
      </c>
      <c r="R76" s="27">
        <v>161</v>
      </c>
      <c r="S76" s="27">
        <v>91</v>
      </c>
      <c r="T76" s="27">
        <v>44</v>
      </c>
      <c r="U76" s="27">
        <v>15</v>
      </c>
    </row>
    <row r="77" spans="1:21">
      <c r="A77" s="25" t="s">
        <v>83</v>
      </c>
      <c r="B77" s="292"/>
      <c r="C77" s="25" t="s">
        <v>421</v>
      </c>
      <c r="D77" s="26" t="s">
        <v>418</v>
      </c>
      <c r="E77" s="46">
        <f t="shared" si="3"/>
        <v>4.5041279130525647</v>
      </c>
      <c r="F77" s="27">
        <v>4.3099999999999996</v>
      </c>
      <c r="G77" s="28">
        <v>1211.5</v>
      </c>
      <c r="H77" s="28">
        <v>714.4</v>
      </c>
      <c r="I77" s="28">
        <v>1212.7</v>
      </c>
      <c r="J77" s="27">
        <v>63.66</v>
      </c>
      <c r="K77" s="27">
        <v>63.24</v>
      </c>
      <c r="L77" s="27">
        <v>63.4</v>
      </c>
      <c r="M77" s="27">
        <v>63.65</v>
      </c>
      <c r="N77" s="27">
        <v>63.487499999999997</v>
      </c>
      <c r="O77" s="27">
        <v>10.91</v>
      </c>
      <c r="P77" s="27">
        <v>2.27</v>
      </c>
      <c r="Q77" s="27">
        <f>100*AVERAGE(O77,O79,O81)/AVERAGEA(O78,O80)</f>
        <v>93.738084763161766</v>
      </c>
      <c r="R77" s="27">
        <v>161</v>
      </c>
      <c r="S77" s="27">
        <v>91</v>
      </c>
      <c r="T77" s="27">
        <v>44</v>
      </c>
      <c r="U77" s="27">
        <v>15</v>
      </c>
    </row>
    <row r="78" spans="1:21">
      <c r="A78" s="25" t="s">
        <v>83</v>
      </c>
      <c r="B78" s="292"/>
      <c r="C78" s="25" t="s">
        <v>421</v>
      </c>
      <c r="D78" s="26" t="s">
        <v>308</v>
      </c>
      <c r="E78" s="46">
        <f t="shared" si="3"/>
        <v>4.5041279130525647</v>
      </c>
      <c r="F78" s="27">
        <v>4.3099999999999996</v>
      </c>
      <c r="G78" s="28">
        <v>1216.5999999999999</v>
      </c>
      <c r="H78" s="28">
        <v>713.5</v>
      </c>
      <c r="I78" s="28">
        <v>1218.8</v>
      </c>
      <c r="J78" s="27">
        <v>64.36</v>
      </c>
      <c r="K78" s="27">
        <v>64.55</v>
      </c>
      <c r="L78" s="27">
        <v>64.27</v>
      </c>
      <c r="M78" s="27">
        <v>64.239999999999995</v>
      </c>
      <c r="N78" s="27">
        <v>64.355000000000004</v>
      </c>
      <c r="O78" s="27">
        <v>11.4</v>
      </c>
      <c r="P78" s="27">
        <v>2.2400000000000002</v>
      </c>
      <c r="R78" s="27">
        <v>161</v>
      </c>
      <c r="S78" s="27">
        <v>91</v>
      </c>
      <c r="T78" s="27">
        <v>44</v>
      </c>
      <c r="U78" s="27">
        <v>15</v>
      </c>
    </row>
    <row r="79" spans="1:21">
      <c r="A79" s="25" t="s">
        <v>83</v>
      </c>
      <c r="B79" s="292"/>
      <c r="C79" s="25" t="s">
        <v>421</v>
      </c>
      <c r="D79" s="26" t="s">
        <v>419</v>
      </c>
      <c r="E79" s="46">
        <f t="shared" si="3"/>
        <v>4.5041279130525647</v>
      </c>
      <c r="F79" s="27">
        <v>4.3099999999999996</v>
      </c>
      <c r="G79" s="28">
        <v>1214.5</v>
      </c>
      <c r="H79" s="28">
        <v>716.2</v>
      </c>
      <c r="I79" s="28">
        <v>1216.7</v>
      </c>
      <c r="J79" s="27">
        <v>63.14</v>
      </c>
      <c r="K79" s="27">
        <v>63.24</v>
      </c>
      <c r="L79" s="27">
        <v>63.51</v>
      </c>
      <c r="M79" s="27">
        <v>63.17</v>
      </c>
      <c r="N79" s="27">
        <v>63.265000000000001</v>
      </c>
      <c r="O79" s="27">
        <v>10.68</v>
      </c>
      <c r="P79" s="27">
        <v>3.26</v>
      </c>
      <c r="R79" s="27">
        <v>161</v>
      </c>
      <c r="S79" s="27">
        <v>91</v>
      </c>
      <c r="T79" s="27">
        <v>44</v>
      </c>
      <c r="U79" s="27">
        <v>15</v>
      </c>
    </row>
    <row r="80" spans="1:21">
      <c r="A80" s="25" t="s">
        <v>83</v>
      </c>
      <c r="B80" s="292"/>
      <c r="C80" s="25" t="s">
        <v>421</v>
      </c>
      <c r="D80" s="26" t="s">
        <v>310</v>
      </c>
      <c r="E80" s="46">
        <f t="shared" si="3"/>
        <v>4.5041279130525647</v>
      </c>
      <c r="F80" s="27">
        <v>4.3099999999999996</v>
      </c>
      <c r="G80" s="28">
        <v>1211</v>
      </c>
      <c r="H80" s="28">
        <v>708.1</v>
      </c>
      <c r="I80" s="28">
        <v>1213.8</v>
      </c>
      <c r="J80" s="27">
        <v>65.13</v>
      </c>
      <c r="K80" s="27">
        <v>65.55</v>
      </c>
      <c r="L80" s="27">
        <v>65.599999999999994</v>
      </c>
      <c r="M80" s="27">
        <v>65.11</v>
      </c>
      <c r="N80" s="27">
        <v>65.347499999999997</v>
      </c>
      <c r="O80" s="27">
        <v>11.33</v>
      </c>
      <c r="P80" s="27">
        <v>3.32</v>
      </c>
      <c r="R80" s="27">
        <v>161</v>
      </c>
      <c r="S80" s="27">
        <v>91</v>
      </c>
      <c r="T80" s="27">
        <v>44</v>
      </c>
      <c r="U80" s="27">
        <v>15</v>
      </c>
    </row>
    <row r="81" spans="1:21">
      <c r="A81" s="25" t="s">
        <v>83</v>
      </c>
      <c r="B81" s="292"/>
      <c r="C81" s="25" t="s">
        <v>421</v>
      </c>
      <c r="D81" s="26" t="s">
        <v>420</v>
      </c>
      <c r="E81" s="46">
        <f t="shared" si="3"/>
        <v>4.5041279130525647</v>
      </c>
      <c r="F81" s="27">
        <v>4.3099999999999996</v>
      </c>
      <c r="G81" s="28">
        <v>1194</v>
      </c>
      <c r="H81" s="28">
        <v>703.4</v>
      </c>
      <c r="I81" s="28">
        <v>1199.5999999999999</v>
      </c>
      <c r="J81" s="27">
        <v>63.91</v>
      </c>
      <c r="K81" s="27">
        <v>64.180000000000007</v>
      </c>
      <c r="L81" s="27">
        <v>64.12</v>
      </c>
      <c r="M81" s="27">
        <v>63.84</v>
      </c>
      <c r="N81" s="27">
        <v>64.012500000000003</v>
      </c>
      <c r="O81" s="27">
        <v>10.37</v>
      </c>
      <c r="P81" s="27">
        <v>2.77</v>
      </c>
      <c r="R81" s="27">
        <v>161</v>
      </c>
      <c r="S81" s="27">
        <v>91</v>
      </c>
      <c r="T81" s="27">
        <v>44</v>
      </c>
      <c r="U81" s="27">
        <v>15</v>
      </c>
    </row>
    <row r="82" spans="1:21">
      <c r="A82" s="25" t="s">
        <v>83</v>
      </c>
      <c r="B82" s="292"/>
      <c r="C82" s="25" t="s">
        <v>422</v>
      </c>
      <c r="D82" s="26" t="s">
        <v>418</v>
      </c>
      <c r="E82" s="46">
        <f t="shared" si="3"/>
        <v>4.5041279130525647</v>
      </c>
      <c r="F82" s="27">
        <v>4.3099999999999996</v>
      </c>
      <c r="G82" s="28">
        <v>1203.3</v>
      </c>
      <c r="H82" s="28">
        <v>715.3</v>
      </c>
      <c r="I82" s="28">
        <v>1204.5</v>
      </c>
      <c r="J82" s="27">
        <v>62.33</v>
      </c>
      <c r="K82" s="27">
        <v>62.34</v>
      </c>
      <c r="L82" s="27">
        <v>62.35</v>
      </c>
      <c r="M82" s="27">
        <v>62.2</v>
      </c>
      <c r="N82" s="27">
        <v>62.305</v>
      </c>
      <c r="O82" s="27">
        <v>10.46</v>
      </c>
      <c r="P82" s="27">
        <v>2.16</v>
      </c>
      <c r="Q82" s="27">
        <f>100*AVERAGE(O82,O84,O86)/AVERAGEA(O83,O85)</f>
        <v>88.925895087427151</v>
      </c>
      <c r="R82" s="27">
        <v>161</v>
      </c>
      <c r="S82" s="27">
        <v>91</v>
      </c>
      <c r="T82" s="27">
        <v>44</v>
      </c>
      <c r="U82" s="27">
        <v>15</v>
      </c>
    </row>
    <row r="83" spans="1:21">
      <c r="A83" s="25" t="s">
        <v>83</v>
      </c>
      <c r="B83" s="292"/>
      <c r="C83" s="25" t="s">
        <v>422</v>
      </c>
      <c r="D83" s="26" t="s">
        <v>308</v>
      </c>
      <c r="E83" s="46">
        <f t="shared" si="3"/>
        <v>4.5041279130525647</v>
      </c>
      <c r="F83" s="27">
        <v>4.3099999999999996</v>
      </c>
      <c r="G83" s="28">
        <v>1218.4000000000001</v>
      </c>
      <c r="H83" s="28">
        <v>718.9</v>
      </c>
      <c r="I83" s="28">
        <v>1220.9000000000001</v>
      </c>
      <c r="J83" s="27">
        <v>64.39</v>
      </c>
      <c r="K83" s="27">
        <v>64.31</v>
      </c>
      <c r="L83" s="27">
        <v>64.19</v>
      </c>
      <c r="M83" s="27">
        <v>64.45</v>
      </c>
      <c r="N83" s="27">
        <v>64.334999999999994</v>
      </c>
      <c r="O83" s="27">
        <v>12.25</v>
      </c>
      <c r="P83" s="27">
        <v>2.56</v>
      </c>
      <c r="R83" s="27">
        <v>161</v>
      </c>
      <c r="S83" s="27">
        <v>91</v>
      </c>
      <c r="T83" s="27">
        <v>44</v>
      </c>
      <c r="U83" s="27">
        <v>15</v>
      </c>
    </row>
    <row r="84" spans="1:21">
      <c r="A84" s="25" t="s">
        <v>83</v>
      </c>
      <c r="B84" s="292"/>
      <c r="C84" s="25" t="s">
        <v>422</v>
      </c>
      <c r="D84" s="26" t="s">
        <v>419</v>
      </c>
      <c r="E84" s="46">
        <f t="shared" si="3"/>
        <v>4.5041279130525647</v>
      </c>
      <c r="F84" s="27">
        <v>4.3099999999999996</v>
      </c>
      <c r="G84" s="28">
        <v>1213.5</v>
      </c>
      <c r="H84" s="28">
        <v>717.3</v>
      </c>
      <c r="I84" s="28">
        <v>1216.3</v>
      </c>
      <c r="J84" s="27">
        <v>63.54</v>
      </c>
      <c r="K84" s="27">
        <v>63.54</v>
      </c>
      <c r="L84" s="27">
        <v>63.52</v>
      </c>
      <c r="M84" s="27">
        <v>63.6</v>
      </c>
      <c r="N84" s="27">
        <v>63.55</v>
      </c>
      <c r="O84" s="27">
        <v>11.48</v>
      </c>
      <c r="P84" s="27">
        <v>2.92</v>
      </c>
      <c r="R84" s="27">
        <v>161</v>
      </c>
      <c r="S84" s="27">
        <v>91</v>
      </c>
      <c r="T84" s="27">
        <v>44</v>
      </c>
      <c r="U84" s="27">
        <v>15</v>
      </c>
    </row>
    <row r="85" spans="1:21">
      <c r="A85" s="25" t="s">
        <v>83</v>
      </c>
      <c r="B85" s="292"/>
      <c r="C85" s="25" t="s">
        <v>422</v>
      </c>
      <c r="D85" s="26" t="s">
        <v>310</v>
      </c>
      <c r="E85" s="46">
        <f t="shared" si="3"/>
        <v>4.5041279130525647</v>
      </c>
      <c r="F85" s="27">
        <v>4.3099999999999996</v>
      </c>
      <c r="G85" s="28">
        <v>1215.5</v>
      </c>
      <c r="H85" s="28">
        <v>717</v>
      </c>
      <c r="I85" s="28">
        <v>1219.3</v>
      </c>
      <c r="J85" s="27">
        <v>64.47</v>
      </c>
      <c r="K85" s="27">
        <v>64.47</v>
      </c>
      <c r="L85" s="27">
        <v>64.63</v>
      </c>
      <c r="M85" s="27">
        <v>64.28</v>
      </c>
      <c r="N85" s="27">
        <v>64.462500000000006</v>
      </c>
      <c r="O85" s="27">
        <v>11.77</v>
      </c>
      <c r="P85" s="27">
        <v>2.29</v>
      </c>
      <c r="R85" s="27">
        <v>161</v>
      </c>
      <c r="S85" s="27">
        <v>91</v>
      </c>
      <c r="T85" s="27">
        <v>44</v>
      </c>
      <c r="U85" s="27">
        <v>15</v>
      </c>
    </row>
    <row r="86" spans="1:21">
      <c r="A86" s="25" t="s">
        <v>83</v>
      </c>
      <c r="B86" s="292"/>
      <c r="C86" s="25" t="s">
        <v>422</v>
      </c>
      <c r="D86" s="26" t="s">
        <v>420</v>
      </c>
      <c r="E86" s="46">
        <f t="shared" si="3"/>
        <v>4.5041279130525647</v>
      </c>
      <c r="F86" s="27">
        <v>4.3099999999999996</v>
      </c>
      <c r="G86" s="28">
        <v>1214.3</v>
      </c>
      <c r="H86" s="28">
        <v>717.4</v>
      </c>
      <c r="I86" s="28">
        <v>1217.2</v>
      </c>
      <c r="J86" s="27">
        <v>63.71</v>
      </c>
      <c r="K86" s="27">
        <v>63.81</v>
      </c>
      <c r="L86" s="27">
        <v>64</v>
      </c>
      <c r="M86" s="27">
        <v>63.64</v>
      </c>
      <c r="N86" s="27">
        <v>63.79</v>
      </c>
      <c r="O86" s="27">
        <v>10.1</v>
      </c>
      <c r="P86" s="27">
        <v>3.76</v>
      </c>
      <c r="R86" s="27">
        <v>161</v>
      </c>
      <c r="S86" s="27">
        <v>91</v>
      </c>
      <c r="T86" s="27">
        <v>44</v>
      </c>
      <c r="U86" s="27">
        <v>15</v>
      </c>
    </row>
    <row r="87" spans="1:21" ht="14.4">
      <c r="A87" s="25" t="s">
        <v>83</v>
      </c>
      <c r="B87" s="292"/>
      <c r="C87" s="25" t="s">
        <v>319</v>
      </c>
      <c r="D87" s="26" t="s">
        <v>418</v>
      </c>
      <c r="E87" s="46">
        <f t="shared" si="3"/>
        <v>4.5041279130525647</v>
      </c>
      <c r="F87" s="27">
        <v>4.3099999999999996</v>
      </c>
      <c r="G87" s="28">
        <v>1212</v>
      </c>
      <c r="H87" s="28">
        <v>713.2</v>
      </c>
      <c r="I87" s="28">
        <v>1214.3</v>
      </c>
      <c r="J87" s="27">
        <v>64.22</v>
      </c>
      <c r="K87" s="27">
        <v>64.34</v>
      </c>
      <c r="L87" s="27">
        <v>64.319999999999993</v>
      </c>
      <c r="M87" s="27">
        <v>64.02</v>
      </c>
      <c r="N87" s="27">
        <v>64.224999999999994</v>
      </c>
      <c r="O87" s="27">
        <v>13.87</v>
      </c>
      <c r="P87" s="27">
        <v>1.9</v>
      </c>
      <c r="Q87" s="27">
        <f>100*AVERAGE(O87,O89,O91)/AVERAGEA(O88,O90)</f>
        <v>95.155308298562815</v>
      </c>
      <c r="R87" s="27">
        <v>161</v>
      </c>
      <c r="S87" s="27">
        <v>91</v>
      </c>
      <c r="T87" s="27">
        <v>44</v>
      </c>
      <c r="U87" s="27">
        <v>15</v>
      </c>
    </row>
    <row r="88" spans="1:21" ht="14.4">
      <c r="A88" s="25" t="s">
        <v>83</v>
      </c>
      <c r="B88" s="292"/>
      <c r="C88" s="25" t="s">
        <v>319</v>
      </c>
      <c r="D88" s="26" t="s">
        <v>308</v>
      </c>
      <c r="E88" s="46">
        <f t="shared" si="3"/>
        <v>4.5041279130525647</v>
      </c>
      <c r="F88" s="27">
        <v>4.3099999999999996</v>
      </c>
      <c r="G88" s="28">
        <v>1206.4000000000001</v>
      </c>
      <c r="H88" s="28">
        <v>709.1</v>
      </c>
      <c r="I88" s="28">
        <v>1209.5</v>
      </c>
      <c r="J88" s="27">
        <v>64.91</v>
      </c>
      <c r="K88" s="27">
        <v>64.540000000000006</v>
      </c>
      <c r="L88" s="27">
        <v>64.849999999999994</v>
      </c>
      <c r="M88" s="27">
        <v>64.73</v>
      </c>
      <c r="N88" s="27">
        <v>64.757499999999993</v>
      </c>
      <c r="O88" s="27">
        <v>14.02</v>
      </c>
      <c r="P88" s="27">
        <v>2.62</v>
      </c>
      <c r="R88" s="27">
        <v>161</v>
      </c>
      <c r="S88" s="27">
        <v>91</v>
      </c>
      <c r="T88" s="27">
        <v>44</v>
      </c>
      <c r="U88" s="27">
        <v>15</v>
      </c>
    </row>
    <row r="89" spans="1:21" ht="14.4">
      <c r="A89" s="25" t="s">
        <v>83</v>
      </c>
      <c r="B89" s="292"/>
      <c r="C89" s="25" t="s">
        <v>319</v>
      </c>
      <c r="D89" s="26" t="s">
        <v>419</v>
      </c>
      <c r="E89" s="46">
        <f t="shared" si="3"/>
        <v>4.5041279130525647</v>
      </c>
      <c r="F89" s="27">
        <v>4.3099999999999996</v>
      </c>
      <c r="G89" s="28">
        <v>1201.3</v>
      </c>
      <c r="H89" s="28">
        <v>707.9</v>
      </c>
      <c r="I89" s="28">
        <v>1204.5</v>
      </c>
      <c r="J89" s="27">
        <v>64.36</v>
      </c>
      <c r="K89" s="27">
        <v>64.53</v>
      </c>
      <c r="L89" s="27">
        <v>64.06</v>
      </c>
      <c r="M89" s="27">
        <v>64.209999999999994</v>
      </c>
      <c r="N89" s="27">
        <v>64.290000000000006</v>
      </c>
      <c r="O89" s="27">
        <v>13.31</v>
      </c>
      <c r="P89" s="27">
        <v>2.0499999999999998</v>
      </c>
      <c r="R89" s="27">
        <v>161</v>
      </c>
      <c r="S89" s="27">
        <v>91</v>
      </c>
      <c r="T89" s="27">
        <v>44</v>
      </c>
      <c r="U89" s="27">
        <v>15</v>
      </c>
    </row>
    <row r="90" spans="1:21" ht="14.4">
      <c r="A90" s="25" t="s">
        <v>83</v>
      </c>
      <c r="B90" s="292"/>
      <c r="C90" s="25" t="s">
        <v>319</v>
      </c>
      <c r="D90" s="26" t="s">
        <v>310</v>
      </c>
      <c r="E90" s="46">
        <f t="shared" si="3"/>
        <v>4.5041279130525647</v>
      </c>
      <c r="F90" s="27">
        <v>4.3099999999999996</v>
      </c>
      <c r="G90" s="28">
        <v>1198.5</v>
      </c>
      <c r="H90" s="28">
        <v>704.5</v>
      </c>
      <c r="I90" s="28">
        <v>1202</v>
      </c>
      <c r="J90" s="27">
        <v>64.680000000000007</v>
      </c>
      <c r="K90" s="27">
        <v>64.489999999999995</v>
      </c>
      <c r="L90" s="27">
        <v>65.02</v>
      </c>
      <c r="M90" s="27">
        <v>64.7</v>
      </c>
      <c r="N90" s="27">
        <v>64.722499999999997</v>
      </c>
      <c r="O90" s="27">
        <v>14.74</v>
      </c>
      <c r="P90" s="27">
        <v>1.96</v>
      </c>
      <c r="R90" s="27">
        <v>161</v>
      </c>
      <c r="S90" s="27">
        <v>91</v>
      </c>
      <c r="T90" s="27">
        <v>44</v>
      </c>
      <c r="U90" s="27">
        <v>15</v>
      </c>
    </row>
    <row r="91" spans="1:21" ht="14.4">
      <c r="A91" s="25" t="s">
        <v>83</v>
      </c>
      <c r="B91" s="292"/>
      <c r="C91" s="25" t="s">
        <v>319</v>
      </c>
      <c r="D91" s="26" t="s">
        <v>420</v>
      </c>
      <c r="E91" s="46">
        <f t="shared" si="3"/>
        <v>4.5041279130525647</v>
      </c>
      <c r="F91" s="27">
        <v>4.3099999999999996</v>
      </c>
      <c r="G91" s="28">
        <v>1188.5</v>
      </c>
      <c r="H91" s="28">
        <v>698.3</v>
      </c>
      <c r="I91" s="28">
        <v>1191.9000000000001</v>
      </c>
      <c r="J91" s="27">
        <v>63.45</v>
      </c>
      <c r="K91" s="27">
        <v>63.45</v>
      </c>
      <c r="L91" s="27">
        <v>63.68</v>
      </c>
      <c r="M91" s="27">
        <v>64.34</v>
      </c>
      <c r="N91" s="27">
        <v>63.73</v>
      </c>
      <c r="O91" s="27">
        <v>13.87</v>
      </c>
      <c r="P91" s="27">
        <v>2.66</v>
      </c>
      <c r="R91" s="27">
        <v>161</v>
      </c>
      <c r="S91" s="27">
        <v>91</v>
      </c>
      <c r="T91" s="27">
        <v>44</v>
      </c>
      <c r="U91" s="27">
        <v>15</v>
      </c>
    </row>
    <row r="92" spans="1:21" ht="14.4">
      <c r="A92" s="25" t="s">
        <v>83</v>
      </c>
      <c r="B92" s="292"/>
      <c r="C92" s="25" t="s">
        <v>320</v>
      </c>
      <c r="D92" s="26" t="s">
        <v>418</v>
      </c>
      <c r="E92" s="46">
        <f t="shared" si="3"/>
        <v>4.5041279130525647</v>
      </c>
      <c r="F92" s="27">
        <v>4.3099999999999996</v>
      </c>
      <c r="G92" s="28">
        <v>1208.9000000000001</v>
      </c>
      <c r="H92" s="28">
        <v>712.6</v>
      </c>
      <c r="I92" s="28">
        <v>1211.3</v>
      </c>
      <c r="J92" s="27">
        <v>64.150000000000006</v>
      </c>
      <c r="K92" s="27">
        <v>64.260000000000005</v>
      </c>
      <c r="L92" s="27">
        <v>64.66</v>
      </c>
      <c r="M92" s="27">
        <v>64.2</v>
      </c>
      <c r="N92" s="27">
        <v>64.317499999999995</v>
      </c>
      <c r="O92" s="27">
        <v>13.4</v>
      </c>
      <c r="P92" s="27">
        <v>1.9</v>
      </c>
      <c r="Q92" s="27">
        <f>100*AVERAGE(O92,O94,O96)/AVERAGEA(O93,O95)</f>
        <v>90.890550645819161</v>
      </c>
      <c r="R92" s="27">
        <v>162</v>
      </c>
      <c r="S92" s="27">
        <v>92</v>
      </c>
      <c r="T92" s="27">
        <v>45</v>
      </c>
      <c r="U92" s="27">
        <v>16</v>
      </c>
    </row>
    <row r="93" spans="1:21" ht="14.4">
      <c r="A93" s="25" t="s">
        <v>83</v>
      </c>
      <c r="B93" s="292"/>
      <c r="C93" s="25" t="s">
        <v>320</v>
      </c>
      <c r="D93" s="26" t="s">
        <v>308</v>
      </c>
      <c r="E93" s="46">
        <f t="shared" si="3"/>
        <v>4.5041279130525647</v>
      </c>
      <c r="F93" s="27">
        <v>4.3099999999999996</v>
      </c>
      <c r="G93" s="28">
        <v>1211.4000000000001</v>
      </c>
      <c r="H93" s="28">
        <v>710.9</v>
      </c>
      <c r="I93" s="28">
        <v>1214.7</v>
      </c>
      <c r="J93" s="27">
        <v>65.040000000000006</v>
      </c>
      <c r="K93" s="27">
        <v>65.17</v>
      </c>
      <c r="L93" s="27">
        <v>64.88</v>
      </c>
      <c r="M93" s="27">
        <v>65.22</v>
      </c>
      <c r="N93" s="27">
        <v>65.077500000000001</v>
      </c>
      <c r="O93" s="27">
        <v>14.93</v>
      </c>
      <c r="P93" s="27">
        <v>2.62</v>
      </c>
      <c r="R93" s="27">
        <v>163</v>
      </c>
      <c r="S93" s="27">
        <v>93</v>
      </c>
      <c r="T93" s="27">
        <v>46</v>
      </c>
      <c r="U93" s="27">
        <v>17</v>
      </c>
    </row>
    <row r="94" spans="1:21" ht="14.4">
      <c r="A94" s="25" t="s">
        <v>83</v>
      </c>
      <c r="B94" s="292"/>
      <c r="C94" s="25" t="s">
        <v>320</v>
      </c>
      <c r="D94" s="26" t="s">
        <v>419</v>
      </c>
      <c r="E94" s="46">
        <f t="shared" si="3"/>
        <v>4.5041279130525647</v>
      </c>
      <c r="F94" s="27">
        <v>4.3099999999999996</v>
      </c>
      <c r="G94" s="28">
        <v>1203.0999999999999</v>
      </c>
      <c r="H94" s="28">
        <v>708.1</v>
      </c>
      <c r="I94" s="28">
        <v>1205.9000000000001</v>
      </c>
      <c r="J94" s="27">
        <v>64.510000000000005</v>
      </c>
      <c r="K94" s="27">
        <v>64.510000000000005</v>
      </c>
      <c r="L94" s="27">
        <v>64.3</v>
      </c>
      <c r="M94" s="27">
        <v>64.44</v>
      </c>
      <c r="N94" s="27">
        <v>64.44</v>
      </c>
      <c r="O94" s="27">
        <v>13.04</v>
      </c>
      <c r="P94" s="27">
        <v>2.0499999999999998</v>
      </c>
      <c r="R94" s="27">
        <v>164</v>
      </c>
      <c r="S94" s="27">
        <v>94</v>
      </c>
      <c r="T94" s="27">
        <v>47</v>
      </c>
      <c r="U94" s="27">
        <v>18</v>
      </c>
    </row>
    <row r="95" spans="1:21" ht="14.4">
      <c r="A95" s="25" t="s">
        <v>83</v>
      </c>
      <c r="B95" s="292"/>
      <c r="C95" s="25" t="s">
        <v>320</v>
      </c>
      <c r="D95" s="26" t="s">
        <v>310</v>
      </c>
      <c r="E95" s="46">
        <f t="shared" si="3"/>
        <v>4.5041279130525647</v>
      </c>
      <c r="F95" s="27">
        <v>4.3099999999999996</v>
      </c>
      <c r="G95" s="28">
        <v>1199</v>
      </c>
      <c r="H95" s="28">
        <v>703.3</v>
      </c>
      <c r="I95" s="28">
        <v>1202.3</v>
      </c>
      <c r="J95" s="27">
        <v>63.69</v>
      </c>
      <c r="K95" s="27">
        <v>63.86</v>
      </c>
      <c r="L95" s="27">
        <v>63.73</v>
      </c>
      <c r="M95" s="27">
        <v>63.61</v>
      </c>
      <c r="N95" s="27">
        <v>63.722499999999997</v>
      </c>
      <c r="O95" s="27">
        <v>14.49</v>
      </c>
      <c r="P95" s="27">
        <v>1.96</v>
      </c>
      <c r="R95" s="27">
        <v>165</v>
      </c>
      <c r="S95" s="27">
        <v>95</v>
      </c>
      <c r="T95" s="27">
        <v>48</v>
      </c>
      <c r="U95" s="27">
        <v>19</v>
      </c>
    </row>
    <row r="96" spans="1:21" ht="14.4">
      <c r="A96" s="25" t="s">
        <v>83</v>
      </c>
      <c r="B96" s="292"/>
      <c r="C96" s="25" t="s">
        <v>320</v>
      </c>
      <c r="D96" s="26" t="s">
        <v>420</v>
      </c>
      <c r="E96" s="46">
        <f t="shared" si="3"/>
        <v>4.5041279130525647</v>
      </c>
      <c r="F96" s="27">
        <v>4.3099999999999996</v>
      </c>
      <c r="G96" s="28">
        <v>1194.4000000000001</v>
      </c>
      <c r="H96" s="28">
        <v>700.9</v>
      </c>
      <c r="I96" s="28">
        <v>1197.2</v>
      </c>
      <c r="J96" s="27">
        <v>64.73</v>
      </c>
      <c r="K96" s="27">
        <v>64.430000000000007</v>
      </c>
      <c r="L96" s="27">
        <v>64.489999999999995</v>
      </c>
      <c r="M96" s="27">
        <v>64.62</v>
      </c>
      <c r="N96" s="27">
        <v>64.567499999999995</v>
      </c>
      <c r="O96" s="27">
        <v>13.67</v>
      </c>
      <c r="P96" s="27">
        <v>2.66</v>
      </c>
      <c r="R96" s="27">
        <v>166</v>
      </c>
      <c r="S96" s="27">
        <v>96</v>
      </c>
      <c r="T96" s="27">
        <v>49</v>
      </c>
      <c r="U96" s="27">
        <v>20</v>
      </c>
    </row>
    <row r="97" spans="1:21">
      <c r="A97" s="25" t="s">
        <v>83</v>
      </c>
      <c r="B97" s="292"/>
      <c r="C97" s="25" t="s">
        <v>425</v>
      </c>
      <c r="D97" s="26" t="s">
        <v>418</v>
      </c>
      <c r="E97" s="46">
        <f t="shared" si="3"/>
        <v>4.5041279130525647</v>
      </c>
      <c r="F97" s="27">
        <v>4.3099999999999996</v>
      </c>
      <c r="G97" s="28">
        <v>1210.3</v>
      </c>
      <c r="H97" s="28">
        <v>711.9</v>
      </c>
      <c r="I97" s="28">
        <v>1212.0999999999999</v>
      </c>
      <c r="J97" s="27">
        <v>63.43</v>
      </c>
      <c r="K97" s="27">
        <v>63.37</v>
      </c>
      <c r="L97" s="27">
        <v>63.33</v>
      </c>
      <c r="M97" s="27">
        <v>63.52</v>
      </c>
      <c r="N97" s="27">
        <v>63.412500000000001</v>
      </c>
      <c r="O97" s="27">
        <v>12.47</v>
      </c>
      <c r="P97" s="27">
        <v>1.9</v>
      </c>
      <c r="Q97" s="27">
        <f>100*AVERAGE(O97,O99,O101)/AVERAGEA(O98,O100)</f>
        <v>90.844898953007061</v>
      </c>
      <c r="R97" s="27">
        <v>167</v>
      </c>
      <c r="S97" s="27">
        <v>97</v>
      </c>
      <c r="T97" s="27">
        <v>50</v>
      </c>
      <c r="U97" s="27">
        <v>21</v>
      </c>
    </row>
    <row r="98" spans="1:21">
      <c r="A98" s="25" t="s">
        <v>83</v>
      </c>
      <c r="B98" s="292"/>
      <c r="C98" s="25" t="s">
        <v>425</v>
      </c>
      <c r="D98" s="26" t="s">
        <v>308</v>
      </c>
      <c r="E98" s="46">
        <f t="shared" si="3"/>
        <v>4.5041279130525647</v>
      </c>
      <c r="F98" s="27">
        <v>4.3099999999999996</v>
      </c>
      <c r="G98" s="28">
        <v>1215.3</v>
      </c>
      <c r="H98" s="28">
        <v>715.7</v>
      </c>
      <c r="I98" s="28">
        <v>1216.2</v>
      </c>
      <c r="J98" s="27">
        <v>53.54</v>
      </c>
      <c r="K98" s="27">
        <v>63.65</v>
      </c>
      <c r="L98" s="27">
        <v>63.85</v>
      </c>
      <c r="M98" s="27">
        <v>63.5</v>
      </c>
      <c r="N98" s="27">
        <v>61.134999999999998</v>
      </c>
      <c r="O98" s="27">
        <v>13.73</v>
      </c>
      <c r="P98" s="27">
        <v>2.62</v>
      </c>
      <c r="R98" s="27">
        <v>168</v>
      </c>
      <c r="S98" s="27">
        <v>98</v>
      </c>
      <c r="T98" s="27">
        <v>51</v>
      </c>
      <c r="U98" s="27">
        <v>22</v>
      </c>
    </row>
    <row r="99" spans="1:21">
      <c r="A99" s="25" t="s">
        <v>83</v>
      </c>
      <c r="B99" s="292"/>
      <c r="C99" s="25" t="s">
        <v>425</v>
      </c>
      <c r="D99" s="26" t="s">
        <v>419</v>
      </c>
      <c r="E99" s="46">
        <f t="shared" si="3"/>
        <v>4.5041279130525647</v>
      </c>
      <c r="F99" s="27">
        <v>4.3099999999999996</v>
      </c>
      <c r="G99" s="28">
        <v>1207.5999999999999</v>
      </c>
      <c r="H99" s="28">
        <v>709.3</v>
      </c>
      <c r="I99" s="28">
        <v>1209.4000000000001</v>
      </c>
      <c r="J99" s="27">
        <v>64.12</v>
      </c>
      <c r="K99" s="27">
        <v>64.09</v>
      </c>
      <c r="L99" s="27">
        <v>63.86</v>
      </c>
      <c r="M99" s="27">
        <v>64.12</v>
      </c>
      <c r="N99" s="27">
        <v>64.047499999999999</v>
      </c>
      <c r="O99" s="27">
        <v>12.61</v>
      </c>
      <c r="P99" s="27">
        <v>2.0499999999999998</v>
      </c>
      <c r="R99" s="27">
        <v>169</v>
      </c>
      <c r="S99" s="27">
        <v>99</v>
      </c>
      <c r="T99" s="27">
        <v>52</v>
      </c>
      <c r="U99" s="27">
        <v>23</v>
      </c>
    </row>
    <row r="100" spans="1:21">
      <c r="A100" s="25" t="s">
        <v>83</v>
      </c>
      <c r="B100" s="292"/>
      <c r="C100" s="25" t="s">
        <v>425</v>
      </c>
      <c r="D100" s="26" t="s">
        <v>310</v>
      </c>
      <c r="E100" s="46">
        <f t="shared" si="3"/>
        <v>4.5041279130525647</v>
      </c>
      <c r="F100" s="27">
        <v>4.3099999999999996</v>
      </c>
      <c r="G100" s="28">
        <v>1202.2</v>
      </c>
      <c r="H100" s="28">
        <v>705</v>
      </c>
      <c r="I100" s="28">
        <v>1203.9000000000001</v>
      </c>
      <c r="J100" s="27">
        <v>63.66</v>
      </c>
      <c r="K100" s="27">
        <v>63.37</v>
      </c>
      <c r="L100" s="27">
        <v>63.88</v>
      </c>
      <c r="M100" s="27">
        <v>63.39</v>
      </c>
      <c r="N100" s="27">
        <v>63.575000000000003</v>
      </c>
      <c r="O100" s="27">
        <v>13.65</v>
      </c>
      <c r="P100" s="27">
        <v>1.96</v>
      </c>
      <c r="R100" s="27">
        <v>170</v>
      </c>
      <c r="S100" s="27">
        <v>100</v>
      </c>
      <c r="T100" s="27">
        <v>53</v>
      </c>
      <c r="U100" s="27">
        <v>24</v>
      </c>
    </row>
    <row r="101" spans="1:21">
      <c r="A101" s="25" t="s">
        <v>83</v>
      </c>
      <c r="B101" s="293"/>
      <c r="C101" s="25" t="s">
        <v>425</v>
      </c>
      <c r="D101" s="26" t="s">
        <v>420</v>
      </c>
      <c r="E101" s="46">
        <f t="shared" si="3"/>
        <v>4.5041279130525647</v>
      </c>
      <c r="F101" s="27">
        <v>4.3099999999999996</v>
      </c>
      <c r="G101" s="28">
        <v>1195.7</v>
      </c>
      <c r="H101" s="28">
        <v>703.8</v>
      </c>
      <c r="I101" s="28">
        <v>1201.3</v>
      </c>
      <c r="J101" s="27">
        <v>64.760000000000005</v>
      </c>
      <c r="K101" s="27">
        <v>64.569999999999993</v>
      </c>
      <c r="L101" s="27">
        <v>64.91</v>
      </c>
      <c r="M101" s="27">
        <v>64.48</v>
      </c>
      <c r="N101" s="27">
        <v>64.680000000000007</v>
      </c>
      <c r="O101" s="27">
        <v>12.23</v>
      </c>
      <c r="P101" s="27">
        <v>2.66</v>
      </c>
      <c r="R101" s="27">
        <v>171</v>
      </c>
      <c r="S101" s="27">
        <v>101</v>
      </c>
      <c r="T101" s="27">
        <v>54</v>
      </c>
      <c r="U101" s="27">
        <v>25</v>
      </c>
    </row>
    <row r="102" spans="1:21">
      <c r="A102" s="25" t="s">
        <v>84</v>
      </c>
      <c r="B102" s="291" t="s">
        <v>245</v>
      </c>
      <c r="C102" s="25" t="s">
        <v>324</v>
      </c>
      <c r="D102" s="26" t="s">
        <v>406</v>
      </c>
      <c r="E102" s="46">
        <f t="shared" si="3"/>
        <v>4.0000000000000044</v>
      </c>
      <c r="F102" s="27">
        <v>3.8461538461538498</v>
      </c>
      <c r="G102" s="28">
        <v>1236.9000000000001</v>
      </c>
      <c r="H102" s="28">
        <v>745.7</v>
      </c>
      <c r="I102" s="28">
        <v>1238.5999999999999</v>
      </c>
      <c r="J102" s="27">
        <v>63.29</v>
      </c>
      <c r="K102" s="27">
        <v>63.36</v>
      </c>
      <c r="L102" s="27">
        <v>63.57</v>
      </c>
      <c r="M102" s="27">
        <v>63.74</v>
      </c>
      <c r="N102" s="27">
        <v>63.49</v>
      </c>
      <c r="O102" s="27">
        <v>15.92</v>
      </c>
      <c r="P102" s="27">
        <v>2.97</v>
      </c>
      <c r="Q102" s="27">
        <f>100*AVERAGE(O102,O104,O106)/AVERAGEA(O103,O105)</f>
        <v>94.299690526105621</v>
      </c>
      <c r="R102" s="27">
        <v>161</v>
      </c>
      <c r="S102" s="27">
        <v>91</v>
      </c>
      <c r="T102" s="27">
        <v>44</v>
      </c>
      <c r="U102" s="27">
        <v>15</v>
      </c>
    </row>
    <row r="103" spans="1:21">
      <c r="A103" s="25" t="s">
        <v>84</v>
      </c>
      <c r="B103" s="292"/>
      <c r="C103" s="25" t="s">
        <v>324</v>
      </c>
      <c r="D103" s="26" t="s">
        <v>308</v>
      </c>
      <c r="E103" s="46">
        <f t="shared" si="3"/>
        <v>4.0000000000000044</v>
      </c>
      <c r="F103" s="27">
        <v>3.8461538461538498</v>
      </c>
      <c r="G103" s="28">
        <v>1237.8</v>
      </c>
      <c r="H103" s="28">
        <v>745.8</v>
      </c>
      <c r="I103" s="28">
        <v>1239.8</v>
      </c>
      <c r="J103" s="27">
        <v>63.16</v>
      </c>
      <c r="K103" s="27">
        <v>63.14</v>
      </c>
      <c r="L103" s="27">
        <v>63.52</v>
      </c>
      <c r="M103" s="27">
        <v>63.29</v>
      </c>
      <c r="N103" s="27">
        <v>63.277500000000003</v>
      </c>
      <c r="O103" s="27">
        <v>16.59</v>
      </c>
      <c r="P103" s="27">
        <v>2.9</v>
      </c>
      <c r="R103" s="27">
        <v>161</v>
      </c>
      <c r="S103" s="27">
        <v>91</v>
      </c>
      <c r="T103" s="27">
        <v>44</v>
      </c>
      <c r="U103" s="27">
        <v>15</v>
      </c>
    </row>
    <row r="104" spans="1:21">
      <c r="A104" s="25" t="s">
        <v>84</v>
      </c>
      <c r="B104" s="292"/>
      <c r="C104" s="25" t="s">
        <v>324</v>
      </c>
      <c r="D104" s="26" t="s">
        <v>407</v>
      </c>
      <c r="E104" s="46">
        <f t="shared" si="3"/>
        <v>4.0000000000000044</v>
      </c>
      <c r="F104" s="27">
        <v>3.8461538461538498</v>
      </c>
      <c r="G104" s="28">
        <v>1239.8</v>
      </c>
      <c r="H104" s="28">
        <v>744.2</v>
      </c>
      <c r="I104" s="28">
        <v>1241</v>
      </c>
      <c r="J104" s="27">
        <v>63.55</v>
      </c>
      <c r="K104" s="27">
        <v>63.79</v>
      </c>
      <c r="L104" s="27">
        <v>64.34</v>
      </c>
      <c r="M104" s="27">
        <v>63.7</v>
      </c>
      <c r="N104" s="27">
        <v>63.844999999999999</v>
      </c>
      <c r="O104" s="27">
        <v>15.6</v>
      </c>
      <c r="P104" s="27">
        <v>2.04</v>
      </c>
      <c r="R104" s="27">
        <v>161</v>
      </c>
      <c r="S104" s="27">
        <v>91</v>
      </c>
      <c r="T104" s="27">
        <v>44</v>
      </c>
      <c r="U104" s="27">
        <v>15</v>
      </c>
    </row>
    <row r="105" spans="1:21">
      <c r="A105" s="25" t="s">
        <v>84</v>
      </c>
      <c r="B105" s="292"/>
      <c r="C105" s="25" t="s">
        <v>324</v>
      </c>
      <c r="D105" s="26" t="s">
        <v>310</v>
      </c>
      <c r="E105" s="46">
        <f t="shared" si="3"/>
        <v>4.0000000000000044</v>
      </c>
      <c r="F105" s="27">
        <v>3.8461538461538498</v>
      </c>
      <c r="G105" s="28">
        <v>1238.0999999999999</v>
      </c>
      <c r="H105" s="28">
        <v>742.9</v>
      </c>
      <c r="I105" s="28">
        <v>1240.3</v>
      </c>
      <c r="J105" s="27">
        <v>64.56</v>
      </c>
      <c r="K105" s="27">
        <v>64.290000000000006</v>
      </c>
      <c r="L105" s="27">
        <v>64.319999999999993</v>
      </c>
      <c r="M105" s="27">
        <v>64.53</v>
      </c>
      <c r="N105" s="27">
        <v>64.424999999999997</v>
      </c>
      <c r="O105" s="27">
        <v>16.8</v>
      </c>
      <c r="P105" s="27">
        <v>2.34</v>
      </c>
      <c r="R105" s="27">
        <v>161</v>
      </c>
      <c r="S105" s="27">
        <v>91</v>
      </c>
      <c r="T105" s="27">
        <v>44</v>
      </c>
      <c r="U105" s="27">
        <v>15</v>
      </c>
    </row>
    <row r="106" spans="1:21">
      <c r="A106" s="25" t="s">
        <v>84</v>
      </c>
      <c r="B106" s="293"/>
      <c r="C106" s="25" t="s">
        <v>324</v>
      </c>
      <c r="D106" s="26" t="s">
        <v>408</v>
      </c>
      <c r="E106" s="46">
        <f t="shared" si="3"/>
        <v>4.0000000000000044</v>
      </c>
      <c r="F106" s="27">
        <v>3.8461538461538498</v>
      </c>
      <c r="G106" s="28">
        <v>1235.5999999999999</v>
      </c>
      <c r="H106" s="28">
        <v>740.8</v>
      </c>
      <c r="I106" s="28">
        <v>1237.2</v>
      </c>
      <c r="J106" s="27">
        <v>63.71</v>
      </c>
      <c r="K106" s="27">
        <v>63.46</v>
      </c>
      <c r="L106" s="27">
        <v>63.47</v>
      </c>
      <c r="M106" s="27">
        <v>63.83</v>
      </c>
      <c r="N106" s="27">
        <v>63.6175</v>
      </c>
      <c r="O106" s="27">
        <v>15.71</v>
      </c>
      <c r="P106" s="27">
        <v>2.4</v>
      </c>
      <c r="R106" s="27">
        <v>161</v>
      </c>
      <c r="S106" s="27">
        <v>91</v>
      </c>
      <c r="T106" s="27">
        <v>44</v>
      </c>
      <c r="U106" s="27">
        <v>15</v>
      </c>
    </row>
    <row r="107" spans="1:21">
      <c r="A107" s="25" t="s">
        <v>84</v>
      </c>
      <c r="B107" s="291" t="s">
        <v>246</v>
      </c>
      <c r="C107" s="25" t="s">
        <v>304</v>
      </c>
      <c r="D107" s="26" t="s">
        <v>406</v>
      </c>
      <c r="E107" s="46">
        <f t="shared" si="3"/>
        <v>4.1999999999999984</v>
      </c>
      <c r="F107" s="27">
        <v>4.0307101727447199</v>
      </c>
      <c r="G107" s="28">
        <v>1238</v>
      </c>
      <c r="H107" s="28">
        <v>747.3</v>
      </c>
      <c r="I107" s="28">
        <v>1240.4000000000001</v>
      </c>
      <c r="J107" s="27">
        <v>63.75</v>
      </c>
      <c r="K107" s="27">
        <v>63.67</v>
      </c>
      <c r="L107" s="27">
        <v>63.5</v>
      </c>
      <c r="M107" s="27">
        <v>64.13</v>
      </c>
      <c r="N107" s="27">
        <v>63.762500000000003</v>
      </c>
      <c r="O107" s="27">
        <v>13.2</v>
      </c>
      <c r="P107" s="27">
        <v>3.06</v>
      </c>
      <c r="Q107" s="27">
        <f>100*AVERAGE(O107,O109,O111)/AVERAGEA(O108,O110)</f>
        <v>88.112502746649099</v>
      </c>
      <c r="R107" s="27">
        <v>144</v>
      </c>
      <c r="S107" s="27">
        <v>107.8</v>
      </c>
      <c r="T107" s="27">
        <v>43.95</v>
      </c>
      <c r="U107" s="27">
        <v>60.3</v>
      </c>
    </row>
    <row r="108" spans="1:21">
      <c r="A108" s="25" t="s">
        <v>84</v>
      </c>
      <c r="B108" s="292"/>
      <c r="C108" s="25" t="s">
        <v>304</v>
      </c>
      <c r="D108" s="26" t="s">
        <v>308</v>
      </c>
      <c r="E108" s="46">
        <f t="shared" si="3"/>
        <v>4.1999999999999984</v>
      </c>
      <c r="F108" s="27">
        <v>4.0307101727447199</v>
      </c>
      <c r="G108" s="28">
        <v>1236.7</v>
      </c>
      <c r="H108" s="28">
        <v>745.2</v>
      </c>
      <c r="I108" s="28">
        <v>1237.9000000000001</v>
      </c>
      <c r="J108" s="27">
        <v>63.05</v>
      </c>
      <c r="K108" s="27">
        <v>62.75</v>
      </c>
      <c r="L108" s="27">
        <v>62.28</v>
      </c>
      <c r="M108" s="27">
        <v>62.75</v>
      </c>
      <c r="N108" s="27">
        <v>62.707500000000003</v>
      </c>
      <c r="O108" s="27">
        <v>15.18</v>
      </c>
      <c r="P108" s="27">
        <v>2.2200000000000002</v>
      </c>
      <c r="R108" s="27">
        <v>144</v>
      </c>
      <c r="S108" s="27">
        <v>107.8</v>
      </c>
      <c r="T108" s="27">
        <v>43.95</v>
      </c>
      <c r="U108" s="27">
        <v>60.3</v>
      </c>
    </row>
    <row r="109" spans="1:21">
      <c r="A109" s="25" t="s">
        <v>84</v>
      </c>
      <c r="B109" s="292"/>
      <c r="C109" s="25" t="s">
        <v>304</v>
      </c>
      <c r="D109" s="26" t="s">
        <v>407</v>
      </c>
      <c r="E109" s="46">
        <f t="shared" si="3"/>
        <v>4.1999999999999984</v>
      </c>
      <c r="F109" s="27">
        <v>4.0307101727447199</v>
      </c>
      <c r="G109" s="28">
        <v>1234.8</v>
      </c>
      <c r="H109" s="28">
        <v>744.1</v>
      </c>
      <c r="I109" s="28">
        <v>1236.5</v>
      </c>
      <c r="J109" s="27">
        <v>63.09</v>
      </c>
      <c r="K109" s="27">
        <v>63.04</v>
      </c>
      <c r="L109" s="27">
        <v>63.01</v>
      </c>
      <c r="M109" s="27">
        <v>62.94</v>
      </c>
      <c r="N109" s="27">
        <v>63.02</v>
      </c>
      <c r="O109" s="27">
        <v>13.66</v>
      </c>
      <c r="P109" s="27">
        <v>2.9</v>
      </c>
      <c r="R109" s="27">
        <v>144</v>
      </c>
      <c r="S109" s="27">
        <v>107.8</v>
      </c>
      <c r="T109" s="27">
        <v>43.95</v>
      </c>
      <c r="U109" s="27">
        <v>60.3</v>
      </c>
    </row>
    <row r="110" spans="1:21">
      <c r="A110" s="25" t="s">
        <v>84</v>
      </c>
      <c r="B110" s="292"/>
      <c r="C110" s="25" t="s">
        <v>304</v>
      </c>
      <c r="D110" s="26" t="s">
        <v>310</v>
      </c>
      <c r="E110" s="46">
        <f t="shared" si="3"/>
        <v>4.1999999999999984</v>
      </c>
      <c r="F110" s="27">
        <v>4.0307101727447199</v>
      </c>
      <c r="G110" s="28">
        <v>1237.7</v>
      </c>
      <c r="H110" s="28">
        <v>745.3</v>
      </c>
      <c r="I110" s="28">
        <v>1239.9000000000001</v>
      </c>
      <c r="J110" s="27">
        <v>63.19</v>
      </c>
      <c r="K110" s="27">
        <v>63.5</v>
      </c>
      <c r="L110" s="27">
        <v>63.14</v>
      </c>
      <c r="M110" s="27">
        <v>63.38</v>
      </c>
      <c r="N110" s="27">
        <v>63.302500000000002</v>
      </c>
      <c r="O110" s="27">
        <v>15.16</v>
      </c>
      <c r="P110" s="27">
        <v>3.01</v>
      </c>
      <c r="R110" s="27">
        <v>144</v>
      </c>
      <c r="S110" s="27">
        <v>107.8</v>
      </c>
      <c r="T110" s="27">
        <v>43.95</v>
      </c>
      <c r="U110" s="27">
        <v>60.3</v>
      </c>
    </row>
    <row r="111" spans="1:21">
      <c r="A111" s="25" t="s">
        <v>84</v>
      </c>
      <c r="B111" s="293"/>
      <c r="C111" s="25" t="s">
        <v>304</v>
      </c>
      <c r="D111" s="26" t="s">
        <v>408</v>
      </c>
      <c r="E111" s="46">
        <f t="shared" si="3"/>
        <v>4.1999999999999984</v>
      </c>
      <c r="F111" s="27">
        <v>4.0307101727447199</v>
      </c>
      <c r="G111" s="28">
        <v>1237.2</v>
      </c>
      <c r="H111" s="28">
        <v>745.2</v>
      </c>
      <c r="I111" s="28">
        <v>1240.0999999999999</v>
      </c>
      <c r="J111" s="27">
        <v>63.43</v>
      </c>
      <c r="K111" s="27">
        <v>62.96</v>
      </c>
      <c r="L111" s="27">
        <v>63.42</v>
      </c>
      <c r="M111" s="27">
        <v>63.09</v>
      </c>
      <c r="N111" s="27">
        <v>63.225000000000001</v>
      </c>
      <c r="O111" s="27">
        <v>13.24</v>
      </c>
      <c r="P111" s="27">
        <v>2.58</v>
      </c>
      <c r="R111" s="27">
        <v>144</v>
      </c>
      <c r="S111" s="27">
        <v>107.8</v>
      </c>
      <c r="T111" s="27">
        <v>43.95</v>
      </c>
      <c r="U111" s="27">
        <v>60.3</v>
      </c>
    </row>
    <row r="112" spans="1:21">
      <c r="A112" s="25" t="s">
        <v>84</v>
      </c>
      <c r="B112" s="291" t="s">
        <v>247</v>
      </c>
      <c r="C112" s="25" t="s">
        <v>305</v>
      </c>
      <c r="D112" s="26" t="s">
        <v>406</v>
      </c>
      <c r="E112" s="46">
        <f t="shared" si="3"/>
        <v>4.1999999999999984</v>
      </c>
      <c r="F112" s="27">
        <v>4.0307101727447199</v>
      </c>
      <c r="G112" s="28">
        <v>1235.0999999999999</v>
      </c>
      <c r="H112" s="28">
        <v>743.9</v>
      </c>
      <c r="I112" s="28">
        <v>1237.7</v>
      </c>
      <c r="J112" s="27">
        <v>64.47</v>
      </c>
      <c r="K112" s="27">
        <v>64.430000000000007</v>
      </c>
      <c r="L112" s="27">
        <v>64.319999999999993</v>
      </c>
      <c r="M112" s="27">
        <v>64.180000000000007</v>
      </c>
      <c r="N112" s="27">
        <v>64.349999999999994</v>
      </c>
      <c r="O112" s="27">
        <v>12.89</v>
      </c>
      <c r="P112" s="27">
        <v>2.34</v>
      </c>
      <c r="Q112" s="27">
        <f>100*AVERAGE(O112,O114,O116)/AVERAGEA(O113,O115)</f>
        <v>86.183310533515723</v>
      </c>
      <c r="R112" s="27">
        <v>111</v>
      </c>
      <c r="S112" s="27">
        <v>124</v>
      </c>
      <c r="T112" s="27">
        <v>41.5</v>
      </c>
      <c r="U112" s="27">
        <v>56</v>
      </c>
    </row>
    <row r="113" spans="1:21">
      <c r="A113" s="25" t="s">
        <v>84</v>
      </c>
      <c r="B113" s="292"/>
      <c r="C113" s="25" t="s">
        <v>305</v>
      </c>
      <c r="D113" s="26" t="s">
        <v>308</v>
      </c>
      <c r="E113" s="46">
        <f t="shared" si="3"/>
        <v>4.1999999999999984</v>
      </c>
      <c r="F113" s="27">
        <v>4.0307101727447199</v>
      </c>
      <c r="G113" s="28">
        <v>1237.7</v>
      </c>
      <c r="H113" s="28">
        <v>745.3</v>
      </c>
      <c r="I113" s="28">
        <v>1240.8</v>
      </c>
      <c r="J113" s="27">
        <v>63.74</v>
      </c>
      <c r="K113" s="27">
        <v>63.92</v>
      </c>
      <c r="L113" s="27">
        <v>63.9</v>
      </c>
      <c r="M113" s="27">
        <v>63.8</v>
      </c>
      <c r="N113" s="27">
        <v>63.84</v>
      </c>
      <c r="O113" s="27">
        <v>14.5</v>
      </c>
      <c r="P113" s="27">
        <v>3.13</v>
      </c>
      <c r="R113" s="27">
        <v>111</v>
      </c>
      <c r="S113" s="27">
        <v>124</v>
      </c>
      <c r="T113" s="27">
        <v>41.5</v>
      </c>
      <c r="U113" s="27">
        <v>56</v>
      </c>
    </row>
    <row r="114" spans="1:21">
      <c r="A114" s="25" t="s">
        <v>84</v>
      </c>
      <c r="B114" s="292"/>
      <c r="C114" s="25" t="s">
        <v>305</v>
      </c>
      <c r="D114" s="26" t="s">
        <v>407</v>
      </c>
      <c r="E114" s="46">
        <f t="shared" si="3"/>
        <v>4.1999999999999984</v>
      </c>
      <c r="F114" s="27">
        <v>4.0307101727447199</v>
      </c>
      <c r="G114" s="28">
        <v>1238.5999999999999</v>
      </c>
      <c r="H114" s="28">
        <v>745.6</v>
      </c>
      <c r="I114" s="28">
        <v>1240.4000000000001</v>
      </c>
      <c r="J114" s="27">
        <v>63.28</v>
      </c>
      <c r="K114" s="27">
        <v>63.42</v>
      </c>
      <c r="L114" s="27">
        <v>63.24</v>
      </c>
      <c r="M114" s="27">
        <v>63.08</v>
      </c>
      <c r="N114" s="27">
        <v>63.255000000000003</v>
      </c>
      <c r="O114" s="27">
        <v>12.33</v>
      </c>
      <c r="P114" s="27">
        <v>2.34</v>
      </c>
      <c r="R114" s="27">
        <v>111</v>
      </c>
      <c r="S114" s="27">
        <v>124</v>
      </c>
      <c r="T114" s="27">
        <v>41.5</v>
      </c>
      <c r="U114" s="27">
        <v>56</v>
      </c>
    </row>
    <row r="115" spans="1:21">
      <c r="A115" s="25" t="s">
        <v>84</v>
      </c>
      <c r="B115" s="292"/>
      <c r="C115" s="25" t="s">
        <v>305</v>
      </c>
      <c r="D115" s="26" t="s">
        <v>310</v>
      </c>
      <c r="E115" s="46">
        <f t="shared" si="3"/>
        <v>4.1999999999999984</v>
      </c>
      <c r="F115" s="27">
        <v>4.0307101727447199</v>
      </c>
      <c r="G115" s="28">
        <v>1237.4000000000001</v>
      </c>
      <c r="H115" s="28">
        <v>745.3</v>
      </c>
      <c r="I115" s="28">
        <v>1239.7</v>
      </c>
      <c r="J115" s="27">
        <v>62.89</v>
      </c>
      <c r="K115" s="27">
        <v>63.1</v>
      </c>
      <c r="L115" s="27">
        <v>62.95</v>
      </c>
      <c r="M115" s="27">
        <v>62.75</v>
      </c>
      <c r="N115" s="27">
        <v>62.922499999999999</v>
      </c>
      <c r="O115" s="27">
        <v>14.74</v>
      </c>
      <c r="P115" s="27">
        <v>2.5</v>
      </c>
      <c r="R115" s="27">
        <v>111</v>
      </c>
      <c r="S115" s="27">
        <v>124</v>
      </c>
      <c r="T115" s="27">
        <v>41.5</v>
      </c>
      <c r="U115" s="27">
        <v>56</v>
      </c>
    </row>
    <row r="116" spans="1:21">
      <c r="A116" s="25" t="s">
        <v>84</v>
      </c>
      <c r="B116" s="293"/>
      <c r="C116" s="25" t="s">
        <v>305</v>
      </c>
      <c r="D116" s="26" t="s">
        <v>408</v>
      </c>
      <c r="E116" s="46">
        <f t="shared" si="3"/>
        <v>4.1999999999999984</v>
      </c>
      <c r="F116" s="27">
        <v>4.0307101727447199</v>
      </c>
      <c r="G116" s="28">
        <v>1236.5999999999999</v>
      </c>
      <c r="H116" s="28">
        <v>744.5</v>
      </c>
      <c r="I116" s="28">
        <v>1238.5999999999999</v>
      </c>
      <c r="J116" s="27">
        <v>62.41</v>
      </c>
      <c r="K116" s="27">
        <v>62.27</v>
      </c>
      <c r="L116" s="27">
        <v>62.43</v>
      </c>
      <c r="M116" s="27">
        <v>62.76</v>
      </c>
      <c r="N116" s="27">
        <v>62.467500000000001</v>
      </c>
      <c r="O116" s="27">
        <v>12.58</v>
      </c>
      <c r="P116" s="27">
        <v>2.21</v>
      </c>
      <c r="R116" s="27">
        <v>111</v>
      </c>
      <c r="S116" s="27">
        <v>124</v>
      </c>
      <c r="T116" s="27">
        <v>41.5</v>
      </c>
      <c r="U116" s="27">
        <v>56</v>
      </c>
    </row>
    <row r="117" spans="1:21">
      <c r="A117" s="25" t="s">
        <v>92</v>
      </c>
      <c r="B117" s="291" t="s">
        <v>248</v>
      </c>
      <c r="C117" s="25" t="s">
        <v>322</v>
      </c>
      <c r="D117" s="26" t="s">
        <v>406</v>
      </c>
      <c r="E117" s="46">
        <f t="shared" si="3"/>
        <v>4.1999999999999984</v>
      </c>
      <c r="F117" s="27">
        <v>4.0307101727447199</v>
      </c>
      <c r="G117" s="28">
        <v>1224.2</v>
      </c>
      <c r="H117" s="28">
        <v>738.4</v>
      </c>
      <c r="I117" s="28">
        <v>1227.0999999999999</v>
      </c>
      <c r="J117" s="27">
        <v>61.92</v>
      </c>
      <c r="K117" s="27">
        <v>61.88</v>
      </c>
      <c r="L117" s="27">
        <v>62.05</v>
      </c>
      <c r="M117" s="27">
        <v>61.94</v>
      </c>
      <c r="N117" s="27">
        <v>61.947499999999998</v>
      </c>
      <c r="O117" s="27">
        <v>13.66</v>
      </c>
      <c r="P117" s="27">
        <v>1.27</v>
      </c>
      <c r="Q117" s="27">
        <f>100*AVERAGE(O117,O119,O121)/AVERAGEA(O118,O120)</f>
        <v>90.035746201966035</v>
      </c>
      <c r="R117" s="27">
        <v>161</v>
      </c>
      <c r="S117" s="27">
        <v>91</v>
      </c>
      <c r="T117" s="27">
        <v>44</v>
      </c>
      <c r="U117" s="27">
        <v>15</v>
      </c>
    </row>
    <row r="118" spans="1:21">
      <c r="A118" s="25" t="s">
        <v>92</v>
      </c>
      <c r="B118" s="292"/>
      <c r="C118" s="25" t="s">
        <v>322</v>
      </c>
      <c r="D118" s="26" t="s">
        <v>308</v>
      </c>
      <c r="E118" s="46">
        <f t="shared" si="3"/>
        <v>4.1999999999999984</v>
      </c>
      <c r="F118" s="27">
        <v>4.0307101727447199</v>
      </c>
      <c r="G118" s="28">
        <v>1238</v>
      </c>
      <c r="H118" s="28">
        <v>746.2</v>
      </c>
      <c r="I118" s="28">
        <v>1241.4000000000001</v>
      </c>
      <c r="J118" s="27">
        <v>63.18</v>
      </c>
      <c r="K118" s="27">
        <v>63.02</v>
      </c>
      <c r="L118" s="27">
        <v>63.25</v>
      </c>
      <c r="M118" s="27">
        <v>63.22</v>
      </c>
      <c r="N118" s="27">
        <v>63.167499999999997</v>
      </c>
      <c r="O118" s="27">
        <v>15.03</v>
      </c>
      <c r="P118" s="27">
        <v>2.15</v>
      </c>
      <c r="R118" s="27">
        <v>161</v>
      </c>
      <c r="S118" s="27">
        <v>91</v>
      </c>
      <c r="T118" s="27">
        <v>44</v>
      </c>
      <c r="U118" s="27">
        <v>15</v>
      </c>
    </row>
    <row r="119" spans="1:21">
      <c r="A119" s="25" t="s">
        <v>92</v>
      </c>
      <c r="B119" s="292"/>
      <c r="C119" s="25" t="s">
        <v>322</v>
      </c>
      <c r="D119" s="26" t="s">
        <v>407</v>
      </c>
      <c r="E119" s="46">
        <f t="shared" si="3"/>
        <v>4.1999999999999984</v>
      </c>
      <c r="F119" s="27">
        <v>4.0307101727447199</v>
      </c>
      <c r="G119" s="28">
        <v>1239.2</v>
      </c>
      <c r="H119" s="28">
        <v>747.1</v>
      </c>
      <c r="I119" s="28">
        <v>1242.3</v>
      </c>
      <c r="J119" s="27">
        <v>63.45</v>
      </c>
      <c r="K119" s="27">
        <v>63.76</v>
      </c>
      <c r="L119" s="27">
        <v>63.54</v>
      </c>
      <c r="M119" s="27">
        <v>63.56</v>
      </c>
      <c r="N119" s="27">
        <v>63.577500000000001</v>
      </c>
      <c r="O119" s="27">
        <v>12.96</v>
      </c>
      <c r="P119" s="27">
        <v>1.45</v>
      </c>
      <c r="R119" s="27">
        <v>161</v>
      </c>
      <c r="S119" s="27">
        <v>91</v>
      </c>
      <c r="T119" s="27">
        <v>44</v>
      </c>
      <c r="U119" s="27">
        <v>15</v>
      </c>
    </row>
    <row r="120" spans="1:21">
      <c r="A120" s="25" t="s">
        <v>92</v>
      </c>
      <c r="B120" s="292"/>
      <c r="C120" s="25" t="s">
        <v>322</v>
      </c>
      <c r="D120" s="26" t="s">
        <v>310</v>
      </c>
      <c r="E120" s="46">
        <f t="shared" si="3"/>
        <v>4.1999999999999984</v>
      </c>
      <c r="F120" s="27">
        <v>4.0307101727447199</v>
      </c>
      <c r="G120" s="28">
        <v>1237.0999999999999</v>
      </c>
      <c r="H120" s="28">
        <v>743.7</v>
      </c>
      <c r="I120" s="28">
        <v>1240.2</v>
      </c>
      <c r="J120" s="27">
        <v>63.54</v>
      </c>
      <c r="K120" s="27">
        <v>63.44</v>
      </c>
      <c r="L120" s="27">
        <v>63.47</v>
      </c>
      <c r="M120" s="27">
        <v>63.63</v>
      </c>
      <c r="N120" s="27">
        <v>63.52</v>
      </c>
      <c r="O120" s="27">
        <v>14.81</v>
      </c>
      <c r="P120" s="27">
        <v>2.4500000000000002</v>
      </c>
      <c r="R120" s="27">
        <v>161</v>
      </c>
      <c r="S120" s="27">
        <v>91</v>
      </c>
      <c r="T120" s="27">
        <v>44</v>
      </c>
      <c r="U120" s="27">
        <v>15</v>
      </c>
    </row>
    <row r="121" spans="1:21">
      <c r="A121" s="25" t="s">
        <v>92</v>
      </c>
      <c r="B121" s="293"/>
      <c r="C121" s="25" t="s">
        <v>322</v>
      </c>
      <c r="D121" s="26" t="s">
        <v>408</v>
      </c>
      <c r="E121" s="46">
        <f t="shared" si="3"/>
        <v>4.1999999999999984</v>
      </c>
      <c r="F121" s="27">
        <v>4.0307101727447199</v>
      </c>
      <c r="G121" s="28">
        <v>1237.2</v>
      </c>
      <c r="H121" s="28">
        <v>748</v>
      </c>
      <c r="I121" s="28">
        <v>1241.7</v>
      </c>
      <c r="J121" s="27">
        <v>63.9</v>
      </c>
      <c r="K121" s="27">
        <v>63.9</v>
      </c>
      <c r="L121" s="27">
        <v>64.040000000000006</v>
      </c>
      <c r="M121" s="27">
        <v>63.85</v>
      </c>
      <c r="N121" s="27">
        <v>63.922499999999999</v>
      </c>
      <c r="O121" s="27">
        <v>13.68</v>
      </c>
      <c r="P121" s="27">
        <v>1.41</v>
      </c>
      <c r="R121" s="27">
        <v>161</v>
      </c>
      <c r="S121" s="27">
        <v>91</v>
      </c>
      <c r="T121" s="27">
        <v>44</v>
      </c>
      <c r="U121" s="27">
        <v>15</v>
      </c>
    </row>
    <row r="122" spans="1:21">
      <c r="A122" s="25" t="s">
        <v>92</v>
      </c>
      <c r="B122" s="291" t="s">
        <v>249</v>
      </c>
      <c r="C122" s="25" t="s">
        <v>323</v>
      </c>
      <c r="D122" s="26" t="s">
        <v>406</v>
      </c>
      <c r="E122" s="46">
        <f t="shared" si="3"/>
        <v>4.1999999999999984</v>
      </c>
      <c r="F122" s="27">
        <v>4.0307101727447199</v>
      </c>
      <c r="G122" s="28">
        <v>1218.3</v>
      </c>
      <c r="H122" s="28">
        <v>726.8</v>
      </c>
      <c r="I122" s="28">
        <v>1221.5</v>
      </c>
      <c r="J122" s="27">
        <v>63.91</v>
      </c>
      <c r="K122" s="27">
        <v>63.74</v>
      </c>
      <c r="L122" s="27">
        <v>63.67</v>
      </c>
      <c r="M122" s="27">
        <v>63.95</v>
      </c>
      <c r="N122" s="27">
        <v>63.817500000000003</v>
      </c>
      <c r="O122" s="27">
        <v>18.53</v>
      </c>
      <c r="P122" s="27">
        <v>2.0699999999999998</v>
      </c>
      <c r="Q122" s="27">
        <f>100*AVERAGE(O122,O124,O126)/AVERAGEA(O123,O125)</f>
        <v>87.328652624540311</v>
      </c>
      <c r="R122" s="27">
        <v>161</v>
      </c>
      <c r="S122" s="27">
        <v>91</v>
      </c>
      <c r="T122" s="27">
        <v>44</v>
      </c>
      <c r="U122" s="27">
        <v>15</v>
      </c>
    </row>
    <row r="123" spans="1:21">
      <c r="A123" s="25" t="s">
        <v>92</v>
      </c>
      <c r="B123" s="292"/>
      <c r="C123" s="25" t="s">
        <v>323</v>
      </c>
      <c r="D123" s="26" t="s">
        <v>308</v>
      </c>
      <c r="E123" s="46">
        <f t="shared" si="3"/>
        <v>4.1999999999999984</v>
      </c>
      <c r="F123" s="27">
        <v>4.0307101727447199</v>
      </c>
      <c r="G123" s="28">
        <v>1218.0999999999999</v>
      </c>
      <c r="H123" s="28">
        <v>727.3</v>
      </c>
      <c r="I123" s="28">
        <v>1221.5999999999999</v>
      </c>
      <c r="J123" s="27">
        <v>64.12</v>
      </c>
      <c r="K123" s="27">
        <v>63.72</v>
      </c>
      <c r="L123" s="27">
        <v>63.76</v>
      </c>
      <c r="M123" s="27">
        <v>63.94</v>
      </c>
      <c r="N123" s="27">
        <v>63.884999999999998</v>
      </c>
      <c r="O123" s="27">
        <v>20.45</v>
      </c>
      <c r="P123" s="27">
        <v>1.24</v>
      </c>
      <c r="R123" s="27">
        <v>161</v>
      </c>
      <c r="S123" s="27">
        <v>91</v>
      </c>
      <c r="T123" s="27">
        <v>44</v>
      </c>
      <c r="U123" s="27">
        <v>15</v>
      </c>
    </row>
    <row r="124" spans="1:21">
      <c r="A124" s="25" t="s">
        <v>92</v>
      </c>
      <c r="B124" s="292"/>
      <c r="C124" s="25" t="s">
        <v>323</v>
      </c>
      <c r="D124" s="26" t="s">
        <v>407</v>
      </c>
      <c r="E124" s="46">
        <f t="shared" si="3"/>
        <v>4.1999999999999984</v>
      </c>
      <c r="F124" s="27">
        <v>4.0307101727447199</v>
      </c>
      <c r="G124" s="28">
        <v>1219.0999999999999</v>
      </c>
      <c r="H124" s="28">
        <v>731.8</v>
      </c>
      <c r="I124" s="28">
        <v>1223</v>
      </c>
      <c r="J124" s="27">
        <v>63.84</v>
      </c>
      <c r="K124" s="27">
        <v>63.63</v>
      </c>
      <c r="L124" s="27">
        <v>63.42</v>
      </c>
      <c r="M124" s="27">
        <v>63.6</v>
      </c>
      <c r="N124" s="27">
        <v>63.622500000000002</v>
      </c>
      <c r="O124" s="27">
        <v>15.89</v>
      </c>
      <c r="P124" s="27">
        <v>1.75</v>
      </c>
      <c r="R124" s="27">
        <v>161</v>
      </c>
      <c r="S124" s="27">
        <v>91</v>
      </c>
      <c r="T124" s="27">
        <v>44</v>
      </c>
      <c r="U124" s="27">
        <v>15</v>
      </c>
    </row>
    <row r="125" spans="1:21">
      <c r="A125" s="25" t="s">
        <v>92</v>
      </c>
      <c r="B125" s="292"/>
      <c r="C125" s="25" t="s">
        <v>323</v>
      </c>
      <c r="D125" s="26" t="s">
        <v>310</v>
      </c>
      <c r="E125" s="46">
        <f t="shared" si="3"/>
        <v>4.1999999999999984</v>
      </c>
      <c r="F125" s="27">
        <v>4.0307101727447199</v>
      </c>
      <c r="G125" s="28">
        <v>1210.7</v>
      </c>
      <c r="H125" s="28">
        <v>725.7</v>
      </c>
      <c r="I125" s="28">
        <v>1217</v>
      </c>
      <c r="J125" s="27">
        <v>64.260000000000005</v>
      </c>
      <c r="K125" s="27">
        <v>64.28</v>
      </c>
      <c r="L125" s="27">
        <v>64.06</v>
      </c>
      <c r="M125" s="27">
        <v>64.25</v>
      </c>
      <c r="N125" s="27">
        <v>64.212500000000006</v>
      </c>
      <c r="O125" s="27">
        <v>19.43</v>
      </c>
      <c r="P125" s="27">
        <v>1.0900000000000001</v>
      </c>
      <c r="R125" s="27">
        <v>161</v>
      </c>
      <c r="S125" s="27">
        <v>91</v>
      </c>
      <c r="T125" s="27">
        <v>44</v>
      </c>
      <c r="U125" s="27">
        <v>15</v>
      </c>
    </row>
    <row r="126" spans="1:21">
      <c r="A126" s="25" t="s">
        <v>92</v>
      </c>
      <c r="B126" s="293"/>
      <c r="C126" s="25" t="s">
        <v>323</v>
      </c>
      <c r="D126" s="26" t="s">
        <v>408</v>
      </c>
      <c r="E126" s="46">
        <f t="shared" si="3"/>
        <v>4.1999999999999984</v>
      </c>
      <c r="F126" s="27">
        <v>4.0307101727447199</v>
      </c>
      <c r="G126" s="28">
        <v>1219.3</v>
      </c>
      <c r="H126" s="28">
        <v>729.6</v>
      </c>
      <c r="I126" s="28">
        <v>1224</v>
      </c>
      <c r="J126" s="27">
        <v>63.76</v>
      </c>
      <c r="K126" s="27">
        <v>63.77</v>
      </c>
      <c r="L126" s="27">
        <v>63.5</v>
      </c>
      <c r="M126" s="27">
        <v>63.59</v>
      </c>
      <c r="N126" s="27">
        <v>63.655000000000001</v>
      </c>
      <c r="O126" s="27">
        <v>17.82</v>
      </c>
      <c r="P126" s="27">
        <v>2.09</v>
      </c>
      <c r="R126" s="27">
        <v>161</v>
      </c>
      <c r="S126" s="27">
        <v>91</v>
      </c>
      <c r="T126" s="27">
        <v>44</v>
      </c>
      <c r="U126" s="27">
        <v>15</v>
      </c>
    </row>
    <row r="127" spans="1:21">
      <c r="A127" s="25" t="s">
        <v>95</v>
      </c>
      <c r="B127" s="291" t="s">
        <v>250</v>
      </c>
      <c r="C127" s="25" t="s">
        <v>324</v>
      </c>
      <c r="D127" s="26" t="s">
        <v>406</v>
      </c>
      <c r="E127" s="79">
        <f t="shared" si="3"/>
        <v>4.8000000000000052</v>
      </c>
      <c r="F127" s="79">
        <v>4.5801526717557302</v>
      </c>
      <c r="G127" s="28">
        <v>1238.9000000000001</v>
      </c>
      <c r="H127" s="28">
        <v>748.2</v>
      </c>
      <c r="I127" s="28">
        <v>1241.0999999999999</v>
      </c>
      <c r="J127" s="27">
        <v>62.81</v>
      </c>
      <c r="K127" s="27">
        <v>62.89</v>
      </c>
      <c r="L127" s="27">
        <v>62.69</v>
      </c>
      <c r="M127" s="27">
        <v>62.73</v>
      </c>
      <c r="N127" s="27">
        <v>62.78</v>
      </c>
      <c r="O127" s="27">
        <v>15.52</v>
      </c>
      <c r="P127" s="27">
        <v>2.79</v>
      </c>
      <c r="Q127" s="27">
        <f>100*AVERAGE(O127,O129,O131)/AVERAGEA(O128,O130)</f>
        <v>88.057825267127598</v>
      </c>
      <c r="R127" s="27">
        <v>161</v>
      </c>
      <c r="S127" s="27">
        <v>91</v>
      </c>
      <c r="T127" s="27">
        <v>44</v>
      </c>
      <c r="U127" s="27">
        <v>15</v>
      </c>
    </row>
    <row r="128" spans="1:21">
      <c r="A128" s="25" t="s">
        <v>95</v>
      </c>
      <c r="B128" s="292"/>
      <c r="C128" s="25" t="s">
        <v>324</v>
      </c>
      <c r="D128" s="26" t="s">
        <v>308</v>
      </c>
      <c r="E128" s="79">
        <f t="shared" si="3"/>
        <v>4.8000000000000052</v>
      </c>
      <c r="F128" s="79">
        <v>4.5801526717557302</v>
      </c>
      <c r="G128" s="28">
        <v>1237.7</v>
      </c>
      <c r="H128" s="28">
        <v>747.2</v>
      </c>
      <c r="I128" s="28">
        <v>1240.9000000000001</v>
      </c>
      <c r="J128" s="27">
        <v>63.75</v>
      </c>
      <c r="K128" s="27">
        <v>63.69</v>
      </c>
      <c r="L128" s="27">
        <v>63.89</v>
      </c>
      <c r="M128" s="27">
        <v>63.97</v>
      </c>
      <c r="N128" s="27">
        <v>63.825000000000003</v>
      </c>
      <c r="O128" s="27">
        <v>16.649999999999999</v>
      </c>
      <c r="P128" s="27">
        <v>2.25</v>
      </c>
      <c r="R128" s="27">
        <v>161</v>
      </c>
      <c r="S128" s="27">
        <v>91</v>
      </c>
      <c r="T128" s="27">
        <v>44</v>
      </c>
      <c r="U128" s="27">
        <v>15</v>
      </c>
    </row>
    <row r="129" spans="1:21">
      <c r="A129" s="25" t="s">
        <v>95</v>
      </c>
      <c r="B129" s="292"/>
      <c r="C129" s="25" t="s">
        <v>324</v>
      </c>
      <c r="D129" s="26" t="s">
        <v>407</v>
      </c>
      <c r="E129" s="79">
        <f t="shared" si="3"/>
        <v>4.8000000000000052</v>
      </c>
      <c r="F129" s="79">
        <v>4.5801526717557302</v>
      </c>
      <c r="G129" s="28">
        <v>1241</v>
      </c>
      <c r="H129" s="28">
        <v>747.4</v>
      </c>
      <c r="I129" s="28">
        <v>1243.9000000000001</v>
      </c>
      <c r="J129" s="27">
        <v>63.64</v>
      </c>
      <c r="K129" s="27">
        <v>63.54</v>
      </c>
      <c r="L129" s="27">
        <v>63.64</v>
      </c>
      <c r="M129" s="27">
        <v>63.43</v>
      </c>
      <c r="N129" s="27">
        <v>63.5625</v>
      </c>
      <c r="O129" s="27">
        <v>14.25</v>
      </c>
      <c r="P129" s="27">
        <v>2.5499999999999998</v>
      </c>
      <c r="R129" s="27">
        <v>161</v>
      </c>
      <c r="S129" s="27">
        <v>91</v>
      </c>
      <c r="T129" s="27">
        <v>44</v>
      </c>
      <c r="U129" s="27">
        <v>15</v>
      </c>
    </row>
    <row r="130" spans="1:21">
      <c r="A130" s="25" t="s">
        <v>95</v>
      </c>
      <c r="B130" s="292"/>
      <c r="C130" s="25" t="s">
        <v>324</v>
      </c>
      <c r="D130" s="26" t="s">
        <v>310</v>
      </c>
      <c r="E130" s="79">
        <f t="shared" si="3"/>
        <v>4.8000000000000052</v>
      </c>
      <c r="F130" s="79">
        <v>4.5801526717557302</v>
      </c>
      <c r="G130" s="28">
        <v>1241.4000000000001</v>
      </c>
      <c r="H130" s="28">
        <v>748.5</v>
      </c>
      <c r="I130" s="28">
        <v>1244.9000000000001</v>
      </c>
      <c r="J130" s="27">
        <v>63.48</v>
      </c>
      <c r="K130" s="27">
        <v>63.5</v>
      </c>
      <c r="L130" s="27">
        <v>63.69</v>
      </c>
      <c r="M130" s="27">
        <v>63.66</v>
      </c>
      <c r="N130" s="27">
        <v>63.582500000000003</v>
      </c>
      <c r="O130" s="27">
        <v>15.17</v>
      </c>
      <c r="P130" s="27">
        <v>2.08</v>
      </c>
      <c r="R130" s="27">
        <v>161</v>
      </c>
      <c r="S130" s="27">
        <v>91</v>
      </c>
      <c r="T130" s="27">
        <v>44</v>
      </c>
      <c r="U130" s="27">
        <v>15</v>
      </c>
    </row>
    <row r="131" spans="1:21">
      <c r="A131" s="25" t="s">
        <v>95</v>
      </c>
      <c r="B131" s="293"/>
      <c r="C131" s="25" t="s">
        <v>324</v>
      </c>
      <c r="D131" s="26" t="s">
        <v>408</v>
      </c>
      <c r="E131" s="79">
        <f t="shared" si="3"/>
        <v>4.8000000000000052</v>
      </c>
      <c r="F131" s="79">
        <v>4.5801526717557302</v>
      </c>
      <c r="G131" s="28">
        <v>1242.2</v>
      </c>
      <c r="H131" s="28">
        <v>748.6</v>
      </c>
      <c r="I131" s="28">
        <v>1245</v>
      </c>
      <c r="J131" s="27">
        <v>65.34</v>
      </c>
      <c r="K131" s="27">
        <v>65.56</v>
      </c>
      <c r="L131" s="27">
        <v>65.59</v>
      </c>
      <c r="M131" s="27">
        <v>65.39</v>
      </c>
      <c r="N131" s="27">
        <v>65.47</v>
      </c>
      <c r="O131" s="27">
        <v>12.26</v>
      </c>
      <c r="P131" s="27">
        <v>3.44</v>
      </c>
      <c r="R131" s="27">
        <v>161</v>
      </c>
      <c r="S131" s="27">
        <v>91</v>
      </c>
      <c r="T131" s="27">
        <v>44</v>
      </c>
      <c r="U131" s="27">
        <v>15</v>
      </c>
    </row>
    <row r="132" spans="1:21">
      <c r="A132" s="25" t="s">
        <v>95</v>
      </c>
      <c r="B132" s="291" t="s">
        <v>251</v>
      </c>
      <c r="C132" s="25" t="s">
        <v>304</v>
      </c>
      <c r="D132" s="26" t="s">
        <v>406</v>
      </c>
      <c r="E132" s="79">
        <f t="shared" ref="E132:E156" si="4">100*F132/(100-F132)</f>
        <v>4.8000000000000052</v>
      </c>
      <c r="F132" s="79">
        <v>4.5801526717557302</v>
      </c>
      <c r="G132" s="28">
        <v>1214.8</v>
      </c>
      <c r="H132" s="28">
        <v>728.5</v>
      </c>
      <c r="I132" s="28">
        <v>1216.5999999999999</v>
      </c>
      <c r="J132" s="27">
        <v>64.75</v>
      </c>
      <c r="K132" s="27">
        <v>64.599999999999994</v>
      </c>
      <c r="L132" s="27">
        <v>64.52</v>
      </c>
      <c r="M132" s="27">
        <v>64.680000000000007</v>
      </c>
      <c r="N132" s="27">
        <v>64.637500000000003</v>
      </c>
      <c r="O132" s="27">
        <v>11.27</v>
      </c>
      <c r="P132" s="27">
        <v>3.16</v>
      </c>
      <c r="Q132" s="27">
        <f>100*AVERAGE(O132,O134,O136)/AVERAGEA(O133,O135)</f>
        <v>83.941983941983935</v>
      </c>
      <c r="R132" s="27">
        <v>144</v>
      </c>
      <c r="S132" s="27">
        <v>107.8</v>
      </c>
      <c r="T132" s="27">
        <v>43.95</v>
      </c>
      <c r="U132" s="27">
        <v>60.3</v>
      </c>
    </row>
    <row r="133" spans="1:21">
      <c r="A133" s="25" t="s">
        <v>95</v>
      </c>
      <c r="B133" s="292"/>
      <c r="C133" s="25" t="s">
        <v>304</v>
      </c>
      <c r="D133" s="26" t="s">
        <v>308</v>
      </c>
      <c r="E133" s="79">
        <f t="shared" si="4"/>
        <v>4.8000000000000052</v>
      </c>
      <c r="F133" s="79">
        <v>4.5801526717557302</v>
      </c>
      <c r="G133" s="28">
        <v>1218.8</v>
      </c>
      <c r="H133" s="28">
        <v>728.9</v>
      </c>
      <c r="I133" s="28">
        <v>1220.9000000000001</v>
      </c>
      <c r="J133" s="27">
        <v>64.28</v>
      </c>
      <c r="K133" s="27">
        <v>64.349999999999994</v>
      </c>
      <c r="L133" s="27">
        <v>64.37</v>
      </c>
      <c r="M133" s="27">
        <v>64.22</v>
      </c>
      <c r="N133" s="27">
        <v>64.305000000000007</v>
      </c>
      <c r="O133" s="27">
        <v>12.57</v>
      </c>
      <c r="P133" s="27">
        <v>1.84</v>
      </c>
      <c r="R133" s="27">
        <v>144</v>
      </c>
      <c r="S133" s="27">
        <v>107.8</v>
      </c>
      <c r="T133" s="27">
        <v>43.95</v>
      </c>
      <c r="U133" s="27">
        <v>60.3</v>
      </c>
    </row>
    <row r="134" spans="1:21">
      <c r="A134" s="25" t="s">
        <v>95</v>
      </c>
      <c r="B134" s="292"/>
      <c r="C134" s="25" t="s">
        <v>304</v>
      </c>
      <c r="D134" s="26" t="s">
        <v>407</v>
      </c>
      <c r="E134" s="79">
        <f t="shared" si="4"/>
        <v>4.8000000000000052</v>
      </c>
      <c r="F134" s="79">
        <v>4.5801526717557302</v>
      </c>
      <c r="G134" s="28">
        <v>1216</v>
      </c>
      <c r="H134" s="28">
        <v>726.1</v>
      </c>
      <c r="I134" s="28">
        <v>1218.5999999999999</v>
      </c>
      <c r="J134" s="27">
        <v>64.650000000000006</v>
      </c>
      <c r="K134" s="27">
        <v>64.2</v>
      </c>
      <c r="L134" s="27">
        <v>64.16</v>
      </c>
      <c r="M134" s="27">
        <v>64.36</v>
      </c>
      <c r="N134" s="27">
        <v>64.342500000000001</v>
      </c>
      <c r="O134" s="27">
        <v>10.94</v>
      </c>
      <c r="P134" s="27">
        <v>3.1</v>
      </c>
      <c r="R134" s="27">
        <v>144</v>
      </c>
      <c r="S134" s="27">
        <v>107.8</v>
      </c>
      <c r="T134" s="27">
        <v>43.95</v>
      </c>
      <c r="U134" s="27">
        <v>60.3</v>
      </c>
    </row>
    <row r="135" spans="1:21">
      <c r="A135" s="25" t="s">
        <v>95</v>
      </c>
      <c r="B135" s="292"/>
      <c r="C135" s="25" t="s">
        <v>304</v>
      </c>
      <c r="D135" s="26" t="s">
        <v>310</v>
      </c>
      <c r="E135" s="79">
        <f t="shared" si="4"/>
        <v>4.8000000000000052</v>
      </c>
      <c r="F135" s="79">
        <v>4.5801526717557302</v>
      </c>
      <c r="G135" s="28">
        <v>1216.5</v>
      </c>
      <c r="H135" s="28">
        <v>728.1</v>
      </c>
      <c r="I135" s="28">
        <v>1218.0999999999999</v>
      </c>
      <c r="J135" s="27">
        <v>64.55</v>
      </c>
      <c r="K135" s="27">
        <v>64.11</v>
      </c>
      <c r="L135" s="27">
        <v>64.27</v>
      </c>
      <c r="M135" s="27">
        <v>64.37</v>
      </c>
      <c r="N135" s="27">
        <v>64.325000000000003</v>
      </c>
      <c r="O135" s="27">
        <v>13.17</v>
      </c>
      <c r="P135" s="27">
        <v>1.72</v>
      </c>
      <c r="R135" s="27">
        <v>144</v>
      </c>
      <c r="S135" s="27">
        <v>107.8</v>
      </c>
      <c r="T135" s="27">
        <v>43.95</v>
      </c>
      <c r="U135" s="27">
        <v>60.3</v>
      </c>
    </row>
    <row r="136" spans="1:21">
      <c r="A136" s="25" t="s">
        <v>95</v>
      </c>
      <c r="B136" s="293"/>
      <c r="C136" s="25" t="s">
        <v>304</v>
      </c>
      <c r="D136" s="26" t="s">
        <v>408</v>
      </c>
      <c r="E136" s="79">
        <f t="shared" si="4"/>
        <v>4.8000000000000052</v>
      </c>
      <c r="F136" s="79">
        <v>4.5801526717557302</v>
      </c>
      <c r="G136" s="28">
        <v>1214.3</v>
      </c>
      <c r="H136" s="28">
        <v>725.4</v>
      </c>
      <c r="I136" s="28">
        <v>1217</v>
      </c>
      <c r="J136" s="27">
        <v>64.27</v>
      </c>
      <c r="K136" s="27">
        <v>64.349999999999994</v>
      </c>
      <c r="L136" s="27">
        <v>64.459999999999994</v>
      </c>
      <c r="M136" s="27">
        <v>64.150000000000006</v>
      </c>
      <c r="N136" s="27">
        <v>64.31</v>
      </c>
      <c r="O136" s="27">
        <v>10.199999999999999</v>
      </c>
      <c r="P136" s="27">
        <v>3.23</v>
      </c>
      <c r="R136" s="27">
        <v>144</v>
      </c>
      <c r="S136" s="27">
        <v>107.8</v>
      </c>
      <c r="T136" s="27">
        <v>43.95</v>
      </c>
      <c r="U136" s="27">
        <v>60.3</v>
      </c>
    </row>
    <row r="137" spans="1:21">
      <c r="A137" s="25" t="s">
        <v>95</v>
      </c>
      <c r="B137" s="291" t="s">
        <v>252</v>
      </c>
      <c r="C137" s="25" t="s">
        <v>305</v>
      </c>
      <c r="D137" s="26" t="s">
        <v>406</v>
      </c>
      <c r="E137" s="79">
        <f t="shared" si="4"/>
        <v>4.8000000000000052</v>
      </c>
      <c r="F137" s="79">
        <v>4.5801526717557302</v>
      </c>
      <c r="G137" s="28">
        <v>1218.3</v>
      </c>
      <c r="H137" s="28">
        <v>728.8</v>
      </c>
      <c r="I137" s="28">
        <v>1219.5</v>
      </c>
      <c r="J137" s="27">
        <v>65.260000000000005</v>
      </c>
      <c r="K137" s="27">
        <v>65.540000000000006</v>
      </c>
      <c r="L137" s="27">
        <v>65.260000000000005</v>
      </c>
      <c r="M137" s="27">
        <v>65.319999999999993</v>
      </c>
      <c r="N137" s="27">
        <v>65.344999999999999</v>
      </c>
      <c r="O137" s="27">
        <v>13.15</v>
      </c>
      <c r="P137" s="27">
        <v>2</v>
      </c>
      <c r="Q137" s="27">
        <f>100*AVERAGE(O137,O139,O141)/AVERAGEA(O138,O140)</f>
        <v>92.759657645153837</v>
      </c>
      <c r="R137" s="27">
        <v>111</v>
      </c>
      <c r="S137" s="27">
        <v>124</v>
      </c>
      <c r="T137" s="27">
        <v>41.5</v>
      </c>
      <c r="U137" s="27">
        <v>56</v>
      </c>
    </row>
    <row r="138" spans="1:21">
      <c r="A138" s="25" t="s">
        <v>95</v>
      </c>
      <c r="B138" s="292"/>
      <c r="C138" s="25" t="s">
        <v>305</v>
      </c>
      <c r="D138" s="26" t="s">
        <v>308</v>
      </c>
      <c r="E138" s="79">
        <f t="shared" si="4"/>
        <v>4.8000000000000052</v>
      </c>
      <c r="F138" s="79">
        <v>4.5801526717557302</v>
      </c>
      <c r="G138" s="28">
        <v>1235</v>
      </c>
      <c r="H138" s="28">
        <v>738.1</v>
      </c>
      <c r="I138" s="28">
        <v>1237.4000000000001</v>
      </c>
      <c r="J138" s="27">
        <v>64.41</v>
      </c>
      <c r="K138" s="27">
        <v>64.510000000000005</v>
      </c>
      <c r="L138" s="27">
        <v>64.8</v>
      </c>
      <c r="M138" s="27">
        <v>64.53</v>
      </c>
      <c r="N138" s="27">
        <v>64.5625</v>
      </c>
      <c r="O138" s="27">
        <v>13.65</v>
      </c>
      <c r="P138" s="27">
        <v>1.83</v>
      </c>
      <c r="R138" s="27">
        <v>111</v>
      </c>
      <c r="S138" s="27">
        <v>124</v>
      </c>
      <c r="T138" s="27">
        <v>41.5</v>
      </c>
      <c r="U138" s="27">
        <v>56</v>
      </c>
    </row>
    <row r="139" spans="1:21">
      <c r="A139" s="25" t="s">
        <v>95</v>
      </c>
      <c r="B139" s="292"/>
      <c r="C139" s="25" t="s">
        <v>305</v>
      </c>
      <c r="D139" s="26" t="s">
        <v>407</v>
      </c>
      <c r="E139" s="79">
        <f t="shared" si="4"/>
        <v>4.8000000000000052</v>
      </c>
      <c r="F139" s="79">
        <v>4.5801526717557302</v>
      </c>
      <c r="G139" s="28">
        <v>1228.0999999999999</v>
      </c>
      <c r="H139" s="28">
        <v>732.8</v>
      </c>
      <c r="I139" s="28">
        <v>1230</v>
      </c>
      <c r="J139" s="27">
        <v>65.31</v>
      </c>
      <c r="K139" s="27">
        <v>65</v>
      </c>
      <c r="L139" s="27">
        <v>64.989999999999995</v>
      </c>
      <c r="M139" s="27">
        <v>65.3</v>
      </c>
      <c r="N139" s="27">
        <v>65.150000000000006</v>
      </c>
      <c r="O139" s="27">
        <v>13.45</v>
      </c>
      <c r="P139" s="27">
        <v>2.2200000000000002</v>
      </c>
      <c r="R139" s="27">
        <v>111</v>
      </c>
      <c r="S139" s="27">
        <v>124</v>
      </c>
      <c r="T139" s="27">
        <v>41.5</v>
      </c>
      <c r="U139" s="27">
        <v>56</v>
      </c>
    </row>
    <row r="140" spans="1:21">
      <c r="A140" s="25" t="s">
        <v>95</v>
      </c>
      <c r="B140" s="292"/>
      <c r="C140" s="25" t="s">
        <v>305</v>
      </c>
      <c r="D140" s="26" t="s">
        <v>310</v>
      </c>
      <c r="E140" s="79">
        <f t="shared" si="4"/>
        <v>4.8000000000000052</v>
      </c>
      <c r="F140" s="79">
        <v>4.5801526717557302</v>
      </c>
      <c r="G140" s="28">
        <v>1226</v>
      </c>
      <c r="H140" s="28">
        <v>730.8</v>
      </c>
      <c r="I140" s="28">
        <v>1228.0999999999999</v>
      </c>
      <c r="J140" s="27">
        <v>64.180000000000007</v>
      </c>
      <c r="K140" s="27">
        <v>64.16</v>
      </c>
      <c r="L140" s="27">
        <v>64.17</v>
      </c>
      <c r="M140" s="27">
        <v>63.82</v>
      </c>
      <c r="N140" s="27">
        <v>64.082499999999996</v>
      </c>
      <c r="O140" s="27">
        <v>15.17</v>
      </c>
      <c r="P140" s="27">
        <v>1.64</v>
      </c>
      <c r="R140" s="27">
        <v>111</v>
      </c>
      <c r="S140" s="27">
        <v>124</v>
      </c>
      <c r="T140" s="27">
        <v>41.5</v>
      </c>
      <c r="U140" s="27">
        <v>56</v>
      </c>
    </row>
    <row r="141" spans="1:21">
      <c r="A141" s="25" t="s">
        <v>95</v>
      </c>
      <c r="B141" s="293"/>
      <c r="C141" s="25" t="s">
        <v>305</v>
      </c>
      <c r="D141" s="26" t="s">
        <v>408</v>
      </c>
      <c r="E141" s="79">
        <f t="shared" si="4"/>
        <v>4.8000000000000052</v>
      </c>
      <c r="F141" s="79">
        <v>4.5801526717557302</v>
      </c>
      <c r="G141" s="28">
        <v>1228.4000000000001</v>
      </c>
      <c r="H141" s="28">
        <v>734.1</v>
      </c>
      <c r="I141" s="28">
        <v>1230.8</v>
      </c>
      <c r="J141" s="27">
        <v>67.03</v>
      </c>
      <c r="K141" s="27">
        <v>67.13</v>
      </c>
      <c r="L141" s="27">
        <v>67.349999999999994</v>
      </c>
      <c r="M141" s="27">
        <v>67.290000000000006</v>
      </c>
      <c r="N141" s="27">
        <v>67.2</v>
      </c>
      <c r="O141" s="27">
        <v>13.5</v>
      </c>
      <c r="P141" s="27">
        <v>2.41</v>
      </c>
      <c r="R141" s="27">
        <v>111</v>
      </c>
      <c r="S141" s="27">
        <v>124</v>
      </c>
      <c r="T141" s="27">
        <v>41.5</v>
      </c>
      <c r="U141" s="27">
        <v>56</v>
      </c>
    </row>
    <row r="142" spans="1:21">
      <c r="A142" s="25" t="s">
        <v>98</v>
      </c>
      <c r="B142" s="291" t="s">
        <v>246</v>
      </c>
      <c r="C142" s="25" t="s">
        <v>304</v>
      </c>
      <c r="D142" s="26" t="s">
        <v>406</v>
      </c>
      <c r="E142" s="46">
        <f t="shared" si="4"/>
        <v>4.1999999999999984</v>
      </c>
      <c r="F142" s="27">
        <v>4.0307101727447199</v>
      </c>
      <c r="G142" s="28">
        <v>1188.5999999999999</v>
      </c>
      <c r="H142" s="28">
        <v>705.9</v>
      </c>
      <c r="I142" s="28">
        <v>1192.7</v>
      </c>
      <c r="J142" s="27">
        <v>62.67</v>
      </c>
      <c r="K142" s="27">
        <v>62.8</v>
      </c>
      <c r="L142" s="27">
        <v>63</v>
      </c>
      <c r="M142" s="27">
        <v>62.68</v>
      </c>
      <c r="N142" s="27">
        <v>62.787500000000001</v>
      </c>
      <c r="O142" s="27">
        <v>15.97</v>
      </c>
      <c r="P142" s="27">
        <v>1.74</v>
      </c>
      <c r="Q142" s="27">
        <f>100*AVERAGE(O142,O144,O146)/AVERAGEA(O143,O145)</f>
        <v>86.841615484831564</v>
      </c>
      <c r="R142" s="27">
        <v>144</v>
      </c>
      <c r="S142" s="27">
        <v>107.8</v>
      </c>
      <c r="T142" s="27">
        <v>43.95</v>
      </c>
      <c r="U142" s="27">
        <v>60.3</v>
      </c>
    </row>
    <row r="143" spans="1:21">
      <c r="A143" s="25" t="s">
        <v>98</v>
      </c>
      <c r="B143" s="292"/>
      <c r="C143" s="25" t="s">
        <v>304</v>
      </c>
      <c r="D143" s="26" t="s">
        <v>308</v>
      </c>
      <c r="E143" s="46">
        <f t="shared" si="4"/>
        <v>4.1999999999999984</v>
      </c>
      <c r="F143" s="27">
        <v>4.0307101727447199</v>
      </c>
      <c r="G143" s="28">
        <v>1189.5</v>
      </c>
      <c r="H143" s="28">
        <v>705.9</v>
      </c>
      <c r="I143" s="28">
        <v>1193.4000000000001</v>
      </c>
      <c r="J143" s="27">
        <v>64.8</v>
      </c>
      <c r="K143" s="27">
        <v>64.72</v>
      </c>
      <c r="L143" s="27">
        <v>64.67</v>
      </c>
      <c r="M143" s="27">
        <v>64.739999999999995</v>
      </c>
      <c r="N143" s="27">
        <v>64.732500000000002</v>
      </c>
      <c r="O143" s="27">
        <v>17.95</v>
      </c>
      <c r="P143" s="27">
        <v>1.38</v>
      </c>
      <c r="R143" s="27">
        <v>144</v>
      </c>
      <c r="S143" s="27">
        <v>107.8</v>
      </c>
      <c r="T143" s="27">
        <v>43.95</v>
      </c>
      <c r="U143" s="27">
        <v>60.3</v>
      </c>
    </row>
    <row r="144" spans="1:21">
      <c r="A144" s="25" t="s">
        <v>98</v>
      </c>
      <c r="B144" s="292"/>
      <c r="C144" s="25" t="s">
        <v>304</v>
      </c>
      <c r="D144" s="26" t="s">
        <v>407</v>
      </c>
      <c r="E144" s="46">
        <f t="shared" si="4"/>
        <v>4.1999999999999984</v>
      </c>
      <c r="F144" s="27">
        <v>4.0307101727447199</v>
      </c>
      <c r="G144" s="28">
        <v>1189.5999999999999</v>
      </c>
      <c r="H144" s="28">
        <v>707.2</v>
      </c>
      <c r="I144" s="28">
        <v>1193.7</v>
      </c>
      <c r="J144" s="27">
        <v>63.04</v>
      </c>
      <c r="K144" s="27">
        <v>62.82</v>
      </c>
      <c r="L144" s="27">
        <v>63.02</v>
      </c>
      <c r="M144" s="27">
        <v>62.83</v>
      </c>
      <c r="N144" s="27">
        <v>62.927500000000002</v>
      </c>
      <c r="O144" s="27">
        <v>15.17</v>
      </c>
      <c r="P144" s="27">
        <v>2.44</v>
      </c>
      <c r="R144" s="27">
        <v>144</v>
      </c>
      <c r="S144" s="27">
        <v>107.8</v>
      </c>
      <c r="T144" s="27">
        <v>43.95</v>
      </c>
      <c r="U144" s="27">
        <v>60.3</v>
      </c>
    </row>
    <row r="145" spans="1:21">
      <c r="A145" s="25" t="s">
        <v>98</v>
      </c>
      <c r="B145" s="292"/>
      <c r="C145" s="25" t="s">
        <v>304</v>
      </c>
      <c r="D145" s="26" t="s">
        <v>310</v>
      </c>
      <c r="E145" s="46">
        <f t="shared" si="4"/>
        <v>4.1999999999999984</v>
      </c>
      <c r="F145" s="27">
        <v>4.0307101727447199</v>
      </c>
      <c r="G145" s="28">
        <v>1189.5999999999999</v>
      </c>
      <c r="H145" s="28">
        <v>706.6</v>
      </c>
      <c r="I145" s="28">
        <v>1193.2</v>
      </c>
      <c r="J145" s="27">
        <v>63.71</v>
      </c>
      <c r="K145" s="27">
        <v>63.5</v>
      </c>
      <c r="L145" s="27">
        <v>63.61</v>
      </c>
      <c r="M145" s="27">
        <v>63.7</v>
      </c>
      <c r="N145" s="27">
        <v>63.63</v>
      </c>
      <c r="O145" s="27">
        <v>17.87</v>
      </c>
      <c r="P145" s="27">
        <v>1.8</v>
      </c>
      <c r="R145" s="27">
        <v>144</v>
      </c>
      <c r="S145" s="27">
        <v>107.8</v>
      </c>
      <c r="T145" s="27">
        <v>43.95</v>
      </c>
      <c r="U145" s="27">
        <v>60.3</v>
      </c>
    </row>
    <row r="146" spans="1:21">
      <c r="A146" s="25" t="s">
        <v>98</v>
      </c>
      <c r="B146" s="292"/>
      <c r="C146" s="25" t="s">
        <v>304</v>
      </c>
      <c r="D146" s="26" t="s">
        <v>408</v>
      </c>
      <c r="E146" s="46">
        <f t="shared" si="4"/>
        <v>4.1999999999999984</v>
      </c>
      <c r="F146" s="27">
        <v>4.0307101727447199</v>
      </c>
      <c r="G146" s="28">
        <v>1191.0999999999999</v>
      </c>
      <c r="H146" s="28">
        <v>706.7</v>
      </c>
      <c r="I146" s="28">
        <v>1194.2</v>
      </c>
      <c r="J146" s="27">
        <v>63.51</v>
      </c>
      <c r="K146" s="27">
        <v>63.57</v>
      </c>
      <c r="L146" s="27">
        <v>63.71</v>
      </c>
      <c r="M146" s="27">
        <v>63.82</v>
      </c>
      <c r="N146" s="27">
        <v>63.652500000000003</v>
      </c>
      <c r="O146" s="27">
        <v>15.52</v>
      </c>
      <c r="P146" s="27">
        <v>2.57</v>
      </c>
      <c r="R146" s="27">
        <v>144</v>
      </c>
      <c r="S146" s="27">
        <v>107.8</v>
      </c>
      <c r="T146" s="27">
        <v>43.95</v>
      </c>
      <c r="U146" s="27">
        <v>60.3</v>
      </c>
    </row>
    <row r="147" spans="1:21">
      <c r="A147" s="25" t="s">
        <v>98</v>
      </c>
      <c r="B147" s="292"/>
      <c r="C147" s="25" t="s">
        <v>332</v>
      </c>
      <c r="D147" s="26" t="s">
        <v>406</v>
      </c>
      <c r="E147" s="46">
        <f t="shared" si="4"/>
        <v>4.1999999999999984</v>
      </c>
      <c r="F147" s="27">
        <v>4.0307101727447199</v>
      </c>
      <c r="G147" s="28">
        <v>1210.4000000000001</v>
      </c>
      <c r="H147" s="28">
        <v>718.5</v>
      </c>
      <c r="I147" s="28">
        <v>1212.7</v>
      </c>
      <c r="J147" s="27">
        <v>64.17</v>
      </c>
      <c r="K147" s="27">
        <v>63.85</v>
      </c>
      <c r="L147" s="27">
        <v>63.87</v>
      </c>
      <c r="M147" s="27">
        <v>64.17</v>
      </c>
      <c r="N147" s="27">
        <v>64.015000000000001</v>
      </c>
      <c r="O147" s="27">
        <v>14.11</v>
      </c>
      <c r="P147" s="27">
        <v>2.35</v>
      </c>
      <c r="Q147" s="27">
        <f>100*AVERAGE(O147,O149,O151)/AVERAGEA(O148,O150)</f>
        <v>89.075967127680883</v>
      </c>
      <c r="R147" s="27">
        <v>144</v>
      </c>
      <c r="S147" s="27">
        <v>107.8</v>
      </c>
      <c r="T147" s="27">
        <v>43.95</v>
      </c>
      <c r="U147" s="27">
        <v>60.3</v>
      </c>
    </row>
    <row r="148" spans="1:21">
      <c r="A148" s="25" t="s">
        <v>98</v>
      </c>
      <c r="B148" s="292"/>
      <c r="C148" s="25" t="s">
        <v>332</v>
      </c>
      <c r="D148" s="26" t="s">
        <v>308</v>
      </c>
      <c r="E148" s="46">
        <f t="shared" si="4"/>
        <v>4.1999999999999984</v>
      </c>
      <c r="F148" s="27">
        <v>4.0307101727447199</v>
      </c>
      <c r="G148" s="28">
        <v>1204.8</v>
      </c>
      <c r="H148" s="28">
        <v>714.4</v>
      </c>
      <c r="I148" s="28">
        <v>1207.3</v>
      </c>
      <c r="J148" s="27">
        <v>63.48</v>
      </c>
      <c r="K148" s="27">
        <v>63.62</v>
      </c>
      <c r="L148" s="27">
        <v>63.72</v>
      </c>
      <c r="M148" s="27">
        <v>63.87</v>
      </c>
      <c r="N148" s="27">
        <v>63.672499999999999</v>
      </c>
      <c r="O148" s="27">
        <v>16.39</v>
      </c>
      <c r="P148" s="27">
        <v>1.04</v>
      </c>
      <c r="R148" s="27">
        <v>144</v>
      </c>
      <c r="S148" s="27">
        <v>107.8</v>
      </c>
      <c r="T148" s="27">
        <v>43.95</v>
      </c>
      <c r="U148" s="27">
        <v>60.3</v>
      </c>
    </row>
    <row r="149" spans="1:21">
      <c r="A149" s="25" t="s">
        <v>98</v>
      </c>
      <c r="B149" s="292"/>
      <c r="C149" s="25" t="s">
        <v>332</v>
      </c>
      <c r="D149" s="26" t="s">
        <v>407</v>
      </c>
      <c r="E149" s="46">
        <f t="shared" si="4"/>
        <v>4.1999999999999984</v>
      </c>
      <c r="F149" s="27">
        <v>4.0307101727447199</v>
      </c>
      <c r="G149" s="28">
        <v>1205.9000000000001</v>
      </c>
      <c r="H149" s="28">
        <v>715.9</v>
      </c>
      <c r="I149" s="28">
        <v>1210.2</v>
      </c>
      <c r="J149" s="27">
        <v>64.349999999999994</v>
      </c>
      <c r="K149" s="27">
        <v>64.52</v>
      </c>
      <c r="L149" s="27">
        <v>64.48</v>
      </c>
      <c r="M149" s="27">
        <v>64.290000000000006</v>
      </c>
      <c r="N149" s="27">
        <v>64.41</v>
      </c>
      <c r="O149" s="27">
        <v>15.9</v>
      </c>
      <c r="P149" s="27">
        <v>2.4</v>
      </c>
      <c r="R149" s="27">
        <v>144</v>
      </c>
      <c r="S149" s="27">
        <v>107.8</v>
      </c>
      <c r="T149" s="27">
        <v>43.95</v>
      </c>
      <c r="U149" s="27">
        <v>60.3</v>
      </c>
    </row>
    <row r="150" spans="1:21">
      <c r="A150" s="25" t="s">
        <v>98</v>
      </c>
      <c r="B150" s="292"/>
      <c r="C150" s="25" t="s">
        <v>332</v>
      </c>
      <c r="D150" s="26" t="s">
        <v>310</v>
      </c>
      <c r="E150" s="46">
        <f t="shared" si="4"/>
        <v>4.1999999999999984</v>
      </c>
      <c r="F150" s="27">
        <v>4.0307101727447199</v>
      </c>
      <c r="G150" s="28">
        <v>1207.3</v>
      </c>
      <c r="H150" s="28">
        <v>717.6</v>
      </c>
      <c r="I150" s="28">
        <v>1210.7</v>
      </c>
      <c r="J150" s="27">
        <v>64.27</v>
      </c>
      <c r="K150" s="27">
        <v>64.260000000000005</v>
      </c>
      <c r="L150" s="27">
        <v>64.459999999999994</v>
      </c>
      <c r="M150" s="27">
        <v>64.459999999999994</v>
      </c>
      <c r="N150" s="27">
        <v>64.362499999999997</v>
      </c>
      <c r="O150" s="27">
        <v>16.87</v>
      </c>
      <c r="P150" s="27">
        <v>1.41</v>
      </c>
      <c r="R150" s="27">
        <v>144</v>
      </c>
      <c r="S150" s="27">
        <v>107.8</v>
      </c>
      <c r="T150" s="27">
        <v>43.95</v>
      </c>
      <c r="U150" s="27">
        <v>60.3</v>
      </c>
    </row>
    <row r="151" spans="1:21">
      <c r="A151" s="25" t="s">
        <v>98</v>
      </c>
      <c r="B151" s="292"/>
      <c r="C151" s="25" t="s">
        <v>332</v>
      </c>
      <c r="D151" s="26" t="s">
        <v>408</v>
      </c>
      <c r="E151" s="46">
        <f t="shared" si="4"/>
        <v>4.1999999999999984</v>
      </c>
      <c r="F151" s="27">
        <v>4.0307101727447199</v>
      </c>
      <c r="G151" s="28">
        <v>1190</v>
      </c>
      <c r="H151" s="28">
        <v>705</v>
      </c>
      <c r="I151" s="28">
        <v>1191.4000000000001</v>
      </c>
      <c r="J151" s="27">
        <v>61.8</v>
      </c>
      <c r="K151" s="27">
        <v>61.96</v>
      </c>
      <c r="L151" s="27">
        <v>61.8</v>
      </c>
      <c r="M151" s="27">
        <v>61.6</v>
      </c>
      <c r="N151" s="27">
        <v>61.79</v>
      </c>
      <c r="O151" s="27">
        <v>14.43</v>
      </c>
      <c r="P151" s="27">
        <v>2.3199999999999998</v>
      </c>
      <c r="R151" s="27">
        <v>144</v>
      </c>
      <c r="S151" s="27">
        <v>107.8</v>
      </c>
      <c r="T151" s="27">
        <v>43.95</v>
      </c>
      <c r="U151" s="27">
        <v>60.3</v>
      </c>
    </row>
    <row r="152" spans="1:21">
      <c r="A152" s="25" t="s">
        <v>98</v>
      </c>
      <c r="B152" s="292"/>
      <c r="C152" s="25" t="s">
        <v>333</v>
      </c>
      <c r="D152" s="26" t="s">
        <v>406</v>
      </c>
      <c r="E152" s="46">
        <f t="shared" si="4"/>
        <v>4.1999999999999984</v>
      </c>
      <c r="F152" s="27">
        <v>4.0307101727447199</v>
      </c>
      <c r="G152" s="28">
        <v>1213.8</v>
      </c>
      <c r="H152" s="28">
        <v>718.5</v>
      </c>
      <c r="I152" s="28">
        <v>1215.7</v>
      </c>
      <c r="J152" s="27">
        <v>64.17</v>
      </c>
      <c r="K152" s="27">
        <v>63.85</v>
      </c>
      <c r="L152" s="27">
        <v>63.87</v>
      </c>
      <c r="M152" s="27">
        <v>64.17</v>
      </c>
      <c r="N152" s="27">
        <v>64.015000000000001</v>
      </c>
      <c r="O152" s="27">
        <v>15.2</v>
      </c>
      <c r="P152" s="27">
        <v>2.96</v>
      </c>
      <c r="Q152" s="27">
        <f>100*AVERAGE(O152,O154,O156)/AVERAGEA(O153,O155)</f>
        <v>90.249715055434649</v>
      </c>
      <c r="R152" s="27">
        <v>144</v>
      </c>
      <c r="S152" s="27">
        <v>107.8</v>
      </c>
      <c r="T152" s="27">
        <v>43.95</v>
      </c>
      <c r="U152" s="27">
        <v>60.3</v>
      </c>
    </row>
    <row r="153" spans="1:21">
      <c r="A153" s="25" t="s">
        <v>98</v>
      </c>
      <c r="B153" s="292"/>
      <c r="C153" s="25" t="s">
        <v>333</v>
      </c>
      <c r="D153" s="26" t="s">
        <v>308</v>
      </c>
      <c r="E153" s="46">
        <f t="shared" si="4"/>
        <v>4.1999999999999984</v>
      </c>
      <c r="F153" s="27">
        <v>4.0307101727447199</v>
      </c>
      <c r="G153" s="28">
        <v>1209.3</v>
      </c>
      <c r="H153" s="28">
        <v>715.1</v>
      </c>
      <c r="I153" s="28">
        <v>1211.8</v>
      </c>
      <c r="J153" s="27">
        <v>63.48</v>
      </c>
      <c r="K153" s="27">
        <v>63.62</v>
      </c>
      <c r="L153" s="27">
        <v>63.72</v>
      </c>
      <c r="M153" s="27">
        <v>63.87</v>
      </c>
      <c r="N153" s="27">
        <v>63.672499999999999</v>
      </c>
      <c r="O153" s="27">
        <v>16.97</v>
      </c>
      <c r="P153" s="27">
        <v>2.34</v>
      </c>
      <c r="R153" s="27">
        <v>144</v>
      </c>
      <c r="S153" s="27">
        <v>107.8</v>
      </c>
      <c r="T153" s="27">
        <v>43.95</v>
      </c>
      <c r="U153" s="27">
        <v>60.3</v>
      </c>
    </row>
    <row r="154" spans="1:21">
      <c r="A154" s="25" t="s">
        <v>98</v>
      </c>
      <c r="B154" s="292"/>
      <c r="C154" s="25" t="s">
        <v>333</v>
      </c>
      <c r="D154" s="26" t="s">
        <v>407</v>
      </c>
      <c r="E154" s="46">
        <f t="shared" si="4"/>
        <v>4.1999999999999984</v>
      </c>
      <c r="F154" s="27">
        <v>4.0307101727447199</v>
      </c>
      <c r="G154" s="28">
        <v>1212.5</v>
      </c>
      <c r="H154" s="28">
        <v>717.3</v>
      </c>
      <c r="I154" s="28">
        <v>1214.5</v>
      </c>
      <c r="J154" s="27">
        <v>64.349999999999994</v>
      </c>
      <c r="K154" s="27">
        <v>64.52</v>
      </c>
      <c r="L154" s="27">
        <v>64.48</v>
      </c>
      <c r="M154" s="27">
        <v>64.290000000000006</v>
      </c>
      <c r="N154" s="27">
        <v>64.41</v>
      </c>
      <c r="O154" s="27">
        <v>13.34</v>
      </c>
      <c r="P154" s="27">
        <v>2.41</v>
      </c>
      <c r="R154" s="27">
        <v>144</v>
      </c>
      <c r="S154" s="27">
        <v>107.8</v>
      </c>
      <c r="T154" s="27">
        <v>43.95</v>
      </c>
      <c r="U154" s="27">
        <v>60.3</v>
      </c>
    </row>
    <row r="155" spans="1:21">
      <c r="A155" s="25" t="s">
        <v>98</v>
      </c>
      <c r="B155" s="292"/>
      <c r="C155" s="25" t="s">
        <v>333</v>
      </c>
      <c r="D155" s="26" t="s">
        <v>310</v>
      </c>
      <c r="E155" s="46">
        <f t="shared" si="4"/>
        <v>4.1999999999999984</v>
      </c>
      <c r="F155" s="27">
        <v>4.0307101727447199</v>
      </c>
      <c r="G155" s="28">
        <v>1213.0999999999999</v>
      </c>
      <c r="H155" s="28">
        <v>718.5</v>
      </c>
      <c r="I155" s="28">
        <v>1215.4000000000001</v>
      </c>
      <c r="J155" s="27">
        <v>64.27</v>
      </c>
      <c r="K155" s="27">
        <v>64.260000000000005</v>
      </c>
      <c r="L155" s="27">
        <v>64.459999999999994</v>
      </c>
      <c r="M155" s="27">
        <v>64.459999999999994</v>
      </c>
      <c r="N155" s="27">
        <v>64.362499999999997</v>
      </c>
      <c r="O155" s="27">
        <v>15.2</v>
      </c>
      <c r="P155" s="27">
        <v>2.0099999999999998</v>
      </c>
      <c r="R155" s="27">
        <v>144</v>
      </c>
      <c r="S155" s="27">
        <v>107.8</v>
      </c>
      <c r="T155" s="27">
        <v>43.95</v>
      </c>
      <c r="U155" s="27">
        <v>60.3</v>
      </c>
    </row>
    <row r="156" spans="1:21">
      <c r="A156" s="25" t="s">
        <v>98</v>
      </c>
      <c r="B156" s="293"/>
      <c r="C156" s="25" t="s">
        <v>333</v>
      </c>
      <c r="D156" s="26" t="s">
        <v>408</v>
      </c>
      <c r="E156" s="46">
        <f t="shared" si="4"/>
        <v>4.1999999999999984</v>
      </c>
      <c r="F156" s="27">
        <v>4.0307101727447199</v>
      </c>
      <c r="G156" s="28">
        <v>1195</v>
      </c>
      <c r="H156" s="28">
        <v>708.2</v>
      </c>
      <c r="I156" s="28">
        <v>1197.4000000000001</v>
      </c>
      <c r="J156" s="27">
        <v>61.8</v>
      </c>
      <c r="K156" s="27">
        <v>61.96</v>
      </c>
      <c r="L156" s="27">
        <v>61.8</v>
      </c>
      <c r="M156" s="27">
        <v>61.6</v>
      </c>
      <c r="N156" s="27">
        <v>61.79</v>
      </c>
      <c r="O156" s="27">
        <v>15.01</v>
      </c>
      <c r="P156" s="27">
        <v>3.2</v>
      </c>
      <c r="R156" s="27">
        <v>144</v>
      </c>
      <c r="S156" s="27">
        <v>107.8</v>
      </c>
      <c r="T156" s="27">
        <v>43.95</v>
      </c>
      <c r="U156" s="27">
        <v>60.3</v>
      </c>
    </row>
    <row r="157" spans="1:21">
      <c r="A157" s="25" t="s">
        <v>100</v>
      </c>
      <c r="B157" s="291" t="s">
        <v>218</v>
      </c>
      <c r="C157" s="25" t="s">
        <v>324</v>
      </c>
      <c r="D157" s="26" t="s">
        <v>406</v>
      </c>
      <c r="E157" s="79">
        <v>4.8</v>
      </c>
      <c r="F157" s="79">
        <v>4.5801526717557302</v>
      </c>
      <c r="G157" s="28">
        <v>1204.8</v>
      </c>
      <c r="H157" s="28">
        <v>707.9</v>
      </c>
      <c r="I157" s="28">
        <v>1209.5</v>
      </c>
      <c r="J157" s="27">
        <v>64.099999999999994</v>
      </c>
      <c r="K157" s="27">
        <v>64.510000000000005</v>
      </c>
      <c r="L157" s="27">
        <v>64.28</v>
      </c>
      <c r="M157" s="27">
        <v>64.069999999999993</v>
      </c>
      <c r="N157" s="27">
        <v>64.239999999999995</v>
      </c>
      <c r="O157" s="27">
        <v>17.53</v>
      </c>
      <c r="P157" s="27">
        <v>1.66</v>
      </c>
      <c r="Q157" s="27">
        <f>100*AVERAGE(O157,O159,O161)/AVERAGEA(O158,O160)</f>
        <v>90.786670075854431</v>
      </c>
      <c r="R157" s="27">
        <v>161</v>
      </c>
      <c r="S157" s="27">
        <v>91</v>
      </c>
      <c r="T157" s="27">
        <v>44</v>
      </c>
      <c r="U157" s="27">
        <v>15</v>
      </c>
    </row>
    <row r="158" spans="1:21">
      <c r="A158" s="25" t="s">
        <v>100</v>
      </c>
      <c r="B158" s="292"/>
      <c r="C158" s="25" t="s">
        <v>324</v>
      </c>
      <c r="D158" s="26" t="s">
        <v>308</v>
      </c>
      <c r="E158" s="79">
        <v>4.8</v>
      </c>
      <c r="F158" s="79">
        <v>4.5801526717557302</v>
      </c>
      <c r="G158" s="28">
        <v>1214.3</v>
      </c>
      <c r="H158" s="28">
        <v>712.8</v>
      </c>
      <c r="I158" s="28">
        <v>1218.2</v>
      </c>
      <c r="J158" s="27">
        <v>64.52</v>
      </c>
      <c r="K158" s="27">
        <v>64.53</v>
      </c>
      <c r="L158" s="27">
        <v>64.69</v>
      </c>
      <c r="M158" s="27">
        <v>64.64</v>
      </c>
      <c r="N158" s="27">
        <v>64.594999999999999</v>
      </c>
      <c r="O158" s="27">
        <v>19.27</v>
      </c>
      <c r="P158" s="27">
        <v>1.51</v>
      </c>
      <c r="R158" s="27">
        <v>161</v>
      </c>
      <c r="S158" s="27">
        <v>91</v>
      </c>
      <c r="T158" s="27">
        <v>44</v>
      </c>
      <c r="U158" s="27">
        <v>15</v>
      </c>
    </row>
    <row r="159" spans="1:21">
      <c r="A159" s="25" t="s">
        <v>100</v>
      </c>
      <c r="B159" s="292"/>
      <c r="C159" s="25" t="s">
        <v>324</v>
      </c>
      <c r="D159" s="26" t="s">
        <v>407</v>
      </c>
      <c r="E159" s="79">
        <v>4.8</v>
      </c>
      <c r="F159" s="79">
        <v>4.5801526717557302</v>
      </c>
      <c r="G159" s="28">
        <v>1202.8</v>
      </c>
      <c r="H159" s="28">
        <v>704.9</v>
      </c>
      <c r="I159" s="28">
        <v>1208.0999999999999</v>
      </c>
      <c r="J159" s="27">
        <v>64.62</v>
      </c>
      <c r="K159" s="27">
        <v>64.98</v>
      </c>
      <c r="L159" s="27">
        <v>64.83</v>
      </c>
      <c r="M159" s="27">
        <v>64.48</v>
      </c>
      <c r="N159" s="27">
        <v>64.727500000000006</v>
      </c>
      <c r="O159" s="27">
        <v>17.43</v>
      </c>
      <c r="P159" s="27">
        <v>3.39</v>
      </c>
      <c r="R159" s="27">
        <v>161</v>
      </c>
      <c r="S159" s="27">
        <v>91</v>
      </c>
      <c r="T159" s="27">
        <v>44</v>
      </c>
      <c r="U159" s="27">
        <v>15</v>
      </c>
    </row>
    <row r="160" spans="1:21">
      <c r="A160" s="25" t="s">
        <v>100</v>
      </c>
      <c r="B160" s="292"/>
      <c r="C160" s="25" t="s">
        <v>324</v>
      </c>
      <c r="D160" s="26" t="s">
        <v>310</v>
      </c>
      <c r="E160" s="79">
        <v>4.8</v>
      </c>
      <c r="F160" s="79">
        <v>4.5801526717557302</v>
      </c>
      <c r="G160" s="28">
        <v>1211.2</v>
      </c>
      <c r="H160" s="28">
        <v>712.5</v>
      </c>
      <c r="I160" s="28">
        <v>1215.8</v>
      </c>
      <c r="J160" s="27">
        <v>64.61</v>
      </c>
      <c r="K160" s="27">
        <v>64.8</v>
      </c>
      <c r="L160" s="27">
        <v>64.48</v>
      </c>
      <c r="M160" s="27">
        <v>64.319999999999993</v>
      </c>
      <c r="N160" s="27">
        <v>64.552499999999995</v>
      </c>
      <c r="O160" s="27">
        <v>19.84</v>
      </c>
      <c r="P160" s="27">
        <v>1.7</v>
      </c>
      <c r="R160" s="27">
        <v>161</v>
      </c>
      <c r="S160" s="27">
        <v>91</v>
      </c>
      <c r="T160" s="27">
        <v>44</v>
      </c>
      <c r="U160" s="27">
        <v>15</v>
      </c>
    </row>
    <row r="161" spans="1:21">
      <c r="A161" s="25" t="s">
        <v>100</v>
      </c>
      <c r="B161" s="293"/>
      <c r="C161" s="25" t="s">
        <v>324</v>
      </c>
      <c r="D161" s="26" t="s">
        <v>408</v>
      </c>
      <c r="E161" s="79">
        <v>4.8</v>
      </c>
      <c r="F161" s="79">
        <v>4.5801526717557302</v>
      </c>
      <c r="G161" s="28">
        <v>1209.4000000000001</v>
      </c>
      <c r="H161" s="28">
        <v>711</v>
      </c>
      <c r="I161" s="28">
        <v>1215</v>
      </c>
      <c r="J161" s="27">
        <v>64.8</v>
      </c>
      <c r="K161" s="27">
        <v>64.83</v>
      </c>
      <c r="L161" s="27">
        <v>64.38</v>
      </c>
      <c r="M161" s="27">
        <v>64.25</v>
      </c>
      <c r="N161" s="27">
        <v>64.564999999999998</v>
      </c>
      <c r="O161" s="27">
        <v>18.3</v>
      </c>
      <c r="P161" s="27">
        <v>1.19</v>
      </c>
      <c r="R161" s="27">
        <v>161</v>
      </c>
      <c r="S161" s="27">
        <v>91</v>
      </c>
      <c r="T161" s="27">
        <v>44</v>
      </c>
      <c r="U161" s="27">
        <v>15</v>
      </c>
    </row>
    <row r="162" spans="1:21">
      <c r="A162" s="25" t="s">
        <v>101</v>
      </c>
      <c r="B162" s="291" t="s">
        <v>218</v>
      </c>
      <c r="C162" s="25" t="s">
        <v>324</v>
      </c>
      <c r="D162" s="26" t="s">
        <v>406</v>
      </c>
      <c r="E162" s="79">
        <v>4.8</v>
      </c>
      <c r="F162" s="79">
        <v>4.5801526717557302</v>
      </c>
      <c r="G162" s="28">
        <v>1224.2</v>
      </c>
      <c r="H162" s="28">
        <v>734.9</v>
      </c>
      <c r="I162" s="28">
        <v>1226.5</v>
      </c>
      <c r="J162" s="27">
        <v>63.11</v>
      </c>
      <c r="K162" s="27">
        <v>63.09</v>
      </c>
      <c r="L162" s="27">
        <v>63.28</v>
      </c>
      <c r="M162" s="27">
        <v>63.34</v>
      </c>
      <c r="N162" s="27">
        <v>63.204999999999998</v>
      </c>
      <c r="O162" s="27">
        <v>16.899999999999999</v>
      </c>
      <c r="P162" s="27">
        <v>1.31</v>
      </c>
      <c r="Q162" s="27">
        <f>100*AVERAGE(O162,O164,O166)/AVERAGEA(O163,O165)</f>
        <v>94.727939103467719</v>
      </c>
      <c r="R162" s="27">
        <v>161</v>
      </c>
      <c r="S162" s="27">
        <v>91</v>
      </c>
      <c r="T162" s="27">
        <v>44</v>
      </c>
      <c r="U162" s="27">
        <v>15</v>
      </c>
    </row>
    <row r="163" spans="1:21">
      <c r="A163" s="25" t="s">
        <v>101</v>
      </c>
      <c r="B163" s="292"/>
      <c r="C163" s="25" t="s">
        <v>324</v>
      </c>
      <c r="D163" s="26" t="s">
        <v>308</v>
      </c>
      <c r="E163" s="79">
        <v>4.8</v>
      </c>
      <c r="F163" s="79">
        <v>4.5801526717557302</v>
      </c>
      <c r="G163" s="28">
        <v>1224.8</v>
      </c>
      <c r="H163" s="28">
        <v>732.2</v>
      </c>
      <c r="I163" s="28">
        <v>1225.7</v>
      </c>
      <c r="J163" s="27">
        <v>63.1</v>
      </c>
      <c r="K163" s="27">
        <v>63.7</v>
      </c>
      <c r="L163" s="27">
        <v>64</v>
      </c>
      <c r="M163" s="27">
        <v>63.02</v>
      </c>
      <c r="N163" s="27">
        <v>63.454999999999998</v>
      </c>
      <c r="O163" s="27">
        <v>17.77</v>
      </c>
      <c r="P163" s="27">
        <v>1.43</v>
      </c>
      <c r="R163" s="27">
        <v>161</v>
      </c>
      <c r="S163" s="27">
        <v>91</v>
      </c>
      <c r="T163" s="27">
        <v>44</v>
      </c>
      <c r="U163" s="27">
        <v>15</v>
      </c>
    </row>
    <row r="164" spans="1:21">
      <c r="A164" s="25" t="s">
        <v>101</v>
      </c>
      <c r="B164" s="292"/>
      <c r="C164" s="25" t="s">
        <v>324</v>
      </c>
      <c r="D164" s="26" t="s">
        <v>407</v>
      </c>
      <c r="E164" s="79">
        <v>4.8</v>
      </c>
      <c r="F164" s="79">
        <v>4.5801526717557302</v>
      </c>
      <c r="G164" s="28">
        <v>1224.0999999999999</v>
      </c>
      <c r="H164" s="28">
        <v>734.6</v>
      </c>
      <c r="I164" s="28">
        <v>1225.9000000000001</v>
      </c>
      <c r="J164" s="27">
        <v>62.36</v>
      </c>
      <c r="K164" s="27">
        <v>62.5</v>
      </c>
      <c r="L164" s="27">
        <v>63.02</v>
      </c>
      <c r="M164" s="27">
        <v>62.42</v>
      </c>
      <c r="N164" s="27">
        <v>62.575000000000003</v>
      </c>
      <c r="O164" s="27">
        <v>16.8</v>
      </c>
      <c r="P164" s="27">
        <v>2.41</v>
      </c>
      <c r="R164" s="27">
        <v>161</v>
      </c>
      <c r="S164" s="27">
        <v>91</v>
      </c>
      <c r="T164" s="27">
        <v>44</v>
      </c>
      <c r="U164" s="27">
        <v>15</v>
      </c>
    </row>
    <row r="165" spans="1:21">
      <c r="A165" s="25" t="s">
        <v>101</v>
      </c>
      <c r="B165" s="292"/>
      <c r="C165" s="25" t="s">
        <v>324</v>
      </c>
      <c r="D165" s="26" t="s">
        <v>310</v>
      </c>
      <c r="E165" s="79">
        <v>4.8</v>
      </c>
      <c r="F165" s="79">
        <v>4.5801526717557302</v>
      </c>
      <c r="G165" s="28">
        <v>1227.8</v>
      </c>
      <c r="H165" s="28">
        <v>734.3</v>
      </c>
      <c r="I165" s="28">
        <v>1230.7</v>
      </c>
      <c r="J165" s="27">
        <v>63.71</v>
      </c>
      <c r="K165" s="27">
        <v>63.66</v>
      </c>
      <c r="L165" s="27">
        <v>63.06</v>
      </c>
      <c r="M165" s="27">
        <v>63.74</v>
      </c>
      <c r="N165" s="27">
        <v>63.542499999999997</v>
      </c>
      <c r="O165" s="27">
        <v>17.7</v>
      </c>
      <c r="P165" s="27">
        <v>1.53</v>
      </c>
      <c r="R165" s="27">
        <v>161</v>
      </c>
      <c r="S165" s="27">
        <v>91</v>
      </c>
      <c r="T165" s="27">
        <v>44</v>
      </c>
      <c r="U165" s="27">
        <v>15</v>
      </c>
    </row>
    <row r="166" spans="1:21">
      <c r="A166" s="25" t="s">
        <v>101</v>
      </c>
      <c r="B166" s="293"/>
      <c r="C166" s="25" t="s">
        <v>324</v>
      </c>
      <c r="D166" s="26" t="s">
        <v>408</v>
      </c>
      <c r="E166" s="79">
        <v>4.8</v>
      </c>
      <c r="F166" s="79">
        <v>4.5801526717557302</v>
      </c>
      <c r="G166" s="28">
        <v>1226.3</v>
      </c>
      <c r="H166" s="28">
        <v>733.6</v>
      </c>
      <c r="I166" s="28">
        <v>1229.8</v>
      </c>
      <c r="J166" s="27">
        <v>63</v>
      </c>
      <c r="K166" s="27">
        <v>63.56</v>
      </c>
      <c r="L166" s="27">
        <v>63.23</v>
      </c>
      <c r="M166" s="27">
        <v>63.55</v>
      </c>
      <c r="N166" s="27">
        <v>63.335000000000001</v>
      </c>
      <c r="O166" s="27">
        <v>16.7</v>
      </c>
      <c r="P166" s="27">
        <v>2.0299999999999998</v>
      </c>
      <c r="R166" s="27">
        <v>161</v>
      </c>
      <c r="S166" s="27">
        <v>91</v>
      </c>
      <c r="T166" s="27">
        <v>44</v>
      </c>
      <c r="U166" s="27">
        <v>15</v>
      </c>
    </row>
    <row r="167" spans="1:21">
      <c r="A167" s="25" t="s">
        <v>102</v>
      </c>
      <c r="B167" s="291" t="s">
        <v>218</v>
      </c>
      <c r="C167" s="25" t="s">
        <v>324</v>
      </c>
      <c r="D167" s="26" t="s">
        <v>406</v>
      </c>
      <c r="E167" s="79">
        <v>4.9000000000000004</v>
      </c>
      <c r="F167" s="79">
        <v>4.6711153479504297</v>
      </c>
      <c r="G167" s="28">
        <v>1191</v>
      </c>
      <c r="H167" s="28">
        <v>696.3</v>
      </c>
      <c r="I167" s="28">
        <v>1197</v>
      </c>
      <c r="J167" s="27">
        <v>63.5</v>
      </c>
      <c r="K167" s="27">
        <v>63.27</v>
      </c>
      <c r="L167" s="27">
        <v>63.24</v>
      </c>
      <c r="M167" s="27">
        <v>63.35</v>
      </c>
      <c r="N167" s="27">
        <v>63.34</v>
      </c>
      <c r="O167" s="27">
        <v>17.86</v>
      </c>
      <c r="P167" s="27">
        <v>1.96</v>
      </c>
      <c r="Q167" s="27">
        <f>100*AVERAGE(O167,O169,O171)/AVERAGEA(O168,O170)</f>
        <v>84.546376472423731</v>
      </c>
      <c r="R167" s="27">
        <v>161</v>
      </c>
      <c r="S167" s="27">
        <v>91</v>
      </c>
      <c r="T167" s="27">
        <v>44</v>
      </c>
      <c r="U167" s="27">
        <v>15</v>
      </c>
    </row>
    <row r="168" spans="1:21">
      <c r="A168" s="25" t="s">
        <v>102</v>
      </c>
      <c r="B168" s="292"/>
      <c r="C168" s="25" t="s">
        <v>324</v>
      </c>
      <c r="D168" s="26" t="s">
        <v>308</v>
      </c>
      <c r="E168" s="79">
        <v>4.9000000000000004</v>
      </c>
      <c r="F168" s="79">
        <v>4.6711153479504297</v>
      </c>
      <c r="G168" s="28">
        <v>1197.0999999999999</v>
      </c>
      <c r="H168" s="28">
        <v>696.6</v>
      </c>
      <c r="I168" s="28">
        <v>1202</v>
      </c>
      <c r="J168" s="27">
        <v>63.94</v>
      </c>
      <c r="K168" s="27">
        <v>64.040000000000006</v>
      </c>
      <c r="L168" s="27">
        <v>63.98</v>
      </c>
      <c r="M168" s="27">
        <v>64.11</v>
      </c>
      <c r="N168" s="27">
        <v>64.017499999999998</v>
      </c>
      <c r="O168" s="27">
        <v>21.07</v>
      </c>
      <c r="P168" s="27">
        <v>1.35</v>
      </c>
      <c r="R168" s="27">
        <v>161</v>
      </c>
      <c r="S168" s="27">
        <v>91</v>
      </c>
      <c r="T168" s="27">
        <v>44</v>
      </c>
      <c r="U168" s="27">
        <v>15</v>
      </c>
    </row>
    <row r="169" spans="1:21">
      <c r="A169" s="25" t="s">
        <v>102</v>
      </c>
      <c r="B169" s="292"/>
      <c r="C169" s="25" t="s">
        <v>324</v>
      </c>
      <c r="D169" s="26" t="s">
        <v>407</v>
      </c>
      <c r="E169" s="79">
        <v>4.9000000000000004</v>
      </c>
      <c r="F169" s="79">
        <v>4.6711153479504297</v>
      </c>
      <c r="G169" s="28">
        <v>1195.2</v>
      </c>
      <c r="H169" s="28">
        <v>697.1</v>
      </c>
      <c r="I169" s="28">
        <v>1199.7</v>
      </c>
      <c r="J169" s="27">
        <v>63.92</v>
      </c>
      <c r="K169" s="27">
        <v>63.88</v>
      </c>
      <c r="L169" s="27">
        <v>64.13</v>
      </c>
      <c r="M169" s="27">
        <v>64</v>
      </c>
      <c r="N169" s="27">
        <v>63.982500000000002</v>
      </c>
      <c r="O169" s="27">
        <v>17.11</v>
      </c>
      <c r="P169" s="27">
        <v>1.62</v>
      </c>
      <c r="R169" s="27">
        <v>161</v>
      </c>
      <c r="S169" s="27">
        <v>91</v>
      </c>
      <c r="T169" s="27">
        <v>44</v>
      </c>
      <c r="U169" s="27">
        <v>15</v>
      </c>
    </row>
    <row r="170" spans="1:21">
      <c r="A170" s="25" t="s">
        <v>102</v>
      </c>
      <c r="B170" s="292"/>
      <c r="C170" s="25" t="s">
        <v>324</v>
      </c>
      <c r="D170" s="26" t="s">
        <v>310</v>
      </c>
      <c r="E170" s="79">
        <v>4.9000000000000004</v>
      </c>
      <c r="F170" s="79">
        <v>4.6711153479504297</v>
      </c>
      <c r="G170" s="28">
        <v>1200.3</v>
      </c>
      <c r="H170" s="28">
        <v>700.8</v>
      </c>
      <c r="I170" s="28">
        <v>1203.5999999999999</v>
      </c>
      <c r="J170" s="27">
        <v>63.56</v>
      </c>
      <c r="K170" s="27">
        <v>63.64</v>
      </c>
      <c r="L170" s="27">
        <v>63.91</v>
      </c>
      <c r="M170" s="27">
        <v>63.9</v>
      </c>
      <c r="N170" s="27">
        <v>63.752499999999998</v>
      </c>
      <c r="O170" s="27">
        <v>21.66</v>
      </c>
      <c r="P170" s="27">
        <v>1.26</v>
      </c>
      <c r="R170" s="27">
        <v>161</v>
      </c>
      <c r="S170" s="27">
        <v>91</v>
      </c>
      <c r="T170" s="27">
        <v>44</v>
      </c>
      <c r="U170" s="27">
        <v>15</v>
      </c>
    </row>
    <row r="171" spans="1:21">
      <c r="A171" s="25" t="s">
        <v>102</v>
      </c>
      <c r="B171" s="293"/>
      <c r="C171" s="25" t="s">
        <v>324</v>
      </c>
      <c r="D171" s="26" t="s">
        <v>408</v>
      </c>
      <c r="E171" s="79">
        <v>4.9000000000000004</v>
      </c>
      <c r="F171" s="79">
        <v>4.6711153479504297</v>
      </c>
      <c r="G171" s="28">
        <v>1207.7</v>
      </c>
      <c r="H171" s="28">
        <v>705.2</v>
      </c>
      <c r="I171" s="28">
        <v>1211.8</v>
      </c>
      <c r="J171" s="27">
        <v>63.1</v>
      </c>
      <c r="K171" s="27">
        <v>62.76</v>
      </c>
      <c r="L171" s="27">
        <v>62.94</v>
      </c>
      <c r="M171" s="27">
        <v>62.94</v>
      </c>
      <c r="N171" s="27">
        <v>62.935000000000002</v>
      </c>
      <c r="O171" s="27">
        <v>19.22</v>
      </c>
      <c r="P171" s="27">
        <v>1.44</v>
      </c>
      <c r="R171" s="27">
        <v>161</v>
      </c>
      <c r="S171" s="27">
        <v>91</v>
      </c>
      <c r="T171" s="27">
        <v>44</v>
      </c>
      <c r="U171" s="27">
        <v>15</v>
      </c>
    </row>
    <row r="172" spans="1:21">
      <c r="A172" s="25" t="s">
        <v>103</v>
      </c>
      <c r="B172" s="291" t="s">
        <v>218</v>
      </c>
      <c r="C172" s="25" t="s">
        <v>324</v>
      </c>
      <c r="D172" s="26" t="s">
        <v>406</v>
      </c>
      <c r="E172" s="79">
        <v>4.8</v>
      </c>
      <c r="F172" s="79">
        <v>4.5801526717557302</v>
      </c>
      <c r="G172" s="28">
        <v>1237.9000000000001</v>
      </c>
      <c r="H172" s="28">
        <v>735.4</v>
      </c>
      <c r="I172" s="28">
        <v>1239</v>
      </c>
      <c r="J172" s="27">
        <v>63.27</v>
      </c>
      <c r="K172" s="27">
        <v>63.31</v>
      </c>
      <c r="L172" s="27">
        <v>63.41</v>
      </c>
      <c r="M172" s="27">
        <v>63.5</v>
      </c>
      <c r="N172" s="27">
        <v>63.372500000000002</v>
      </c>
      <c r="O172" s="27">
        <v>13.11</v>
      </c>
      <c r="P172" s="27" t="s">
        <v>91</v>
      </c>
      <c r="Q172" s="27">
        <f>100*AVERAGE(O172,O174,O176)/AVERAGEA(O173,O175)</f>
        <v>91.529152915291519</v>
      </c>
      <c r="R172" s="27">
        <v>161</v>
      </c>
      <c r="S172" s="27">
        <v>91</v>
      </c>
      <c r="T172" s="27">
        <v>44</v>
      </c>
      <c r="U172" s="27">
        <v>15</v>
      </c>
    </row>
    <row r="173" spans="1:21">
      <c r="A173" s="25" t="s">
        <v>103</v>
      </c>
      <c r="B173" s="292"/>
      <c r="C173" s="25" t="s">
        <v>324</v>
      </c>
      <c r="D173" s="26" t="s">
        <v>308</v>
      </c>
      <c r="E173" s="79">
        <v>4.8</v>
      </c>
      <c r="F173" s="79">
        <v>4.5801526717557302</v>
      </c>
      <c r="G173" s="28">
        <v>1249.2</v>
      </c>
      <c r="H173" s="28">
        <v>741.3</v>
      </c>
      <c r="I173" s="28">
        <v>1250.5</v>
      </c>
      <c r="J173" s="27">
        <v>63.21</v>
      </c>
      <c r="K173" s="27">
        <v>63.22</v>
      </c>
      <c r="L173" s="27">
        <v>63.09</v>
      </c>
      <c r="M173" s="27">
        <v>63.14</v>
      </c>
      <c r="N173" s="27">
        <v>63.164999999999999</v>
      </c>
      <c r="O173" s="27">
        <v>13.9</v>
      </c>
      <c r="P173" s="27" t="s">
        <v>91</v>
      </c>
      <c r="R173" s="27">
        <v>161</v>
      </c>
      <c r="S173" s="27">
        <v>91</v>
      </c>
      <c r="T173" s="27">
        <v>44</v>
      </c>
      <c r="U173" s="27">
        <v>15</v>
      </c>
    </row>
    <row r="174" spans="1:21">
      <c r="A174" s="25" t="s">
        <v>103</v>
      </c>
      <c r="B174" s="292"/>
      <c r="C174" s="25" t="s">
        <v>324</v>
      </c>
      <c r="D174" s="26" t="s">
        <v>407</v>
      </c>
      <c r="E174" s="79">
        <v>4.8</v>
      </c>
      <c r="F174" s="79">
        <v>4.5801526717557302</v>
      </c>
      <c r="G174" s="28">
        <v>1243.3</v>
      </c>
      <c r="H174" s="28">
        <v>738.4</v>
      </c>
      <c r="I174" s="28">
        <v>1244.5999999999999</v>
      </c>
      <c r="J174" s="27">
        <v>62.26</v>
      </c>
      <c r="K174" s="27">
        <v>62.2</v>
      </c>
      <c r="L174" s="27">
        <v>62.38</v>
      </c>
      <c r="M174" s="27">
        <v>62.45</v>
      </c>
      <c r="N174" s="27">
        <v>62.322499999999998</v>
      </c>
      <c r="O174" s="27">
        <v>11.95</v>
      </c>
      <c r="P174" s="27" t="s">
        <v>91</v>
      </c>
      <c r="R174" s="27">
        <v>161</v>
      </c>
      <c r="S174" s="27">
        <v>91</v>
      </c>
      <c r="T174" s="27">
        <v>44</v>
      </c>
      <c r="U174" s="27">
        <v>15</v>
      </c>
    </row>
    <row r="175" spans="1:21">
      <c r="A175" s="25" t="s">
        <v>103</v>
      </c>
      <c r="B175" s="292"/>
      <c r="C175" s="25" t="s">
        <v>324</v>
      </c>
      <c r="D175" s="26" t="s">
        <v>310</v>
      </c>
      <c r="E175" s="79">
        <v>4.8</v>
      </c>
      <c r="F175" s="79">
        <v>4.5801526717557302</v>
      </c>
      <c r="G175" s="28">
        <v>1242.9000000000001</v>
      </c>
      <c r="H175" s="28">
        <v>737.9</v>
      </c>
      <c r="I175" s="28">
        <v>1244.5999999999999</v>
      </c>
      <c r="J175" s="27">
        <v>62.66</v>
      </c>
      <c r="K175" s="27">
        <v>62.68</v>
      </c>
      <c r="L175" s="27">
        <v>62.53</v>
      </c>
      <c r="M175" s="27">
        <v>62.55</v>
      </c>
      <c r="N175" s="27">
        <v>62.604999999999997</v>
      </c>
      <c r="O175" s="27">
        <v>13.37</v>
      </c>
      <c r="P175" s="27" t="s">
        <v>91</v>
      </c>
      <c r="R175" s="27">
        <v>161</v>
      </c>
      <c r="S175" s="27">
        <v>91</v>
      </c>
      <c r="T175" s="27">
        <v>44</v>
      </c>
      <c r="U175" s="27">
        <v>15</v>
      </c>
    </row>
    <row r="176" spans="1:21">
      <c r="A176" s="25" t="s">
        <v>103</v>
      </c>
      <c r="B176" s="293"/>
      <c r="C176" s="25" t="s">
        <v>324</v>
      </c>
      <c r="D176" s="26" t="s">
        <v>408</v>
      </c>
      <c r="E176" s="79">
        <v>4.8</v>
      </c>
      <c r="F176" s="79">
        <v>4.5801526717557302</v>
      </c>
      <c r="G176" s="28">
        <v>1240.7</v>
      </c>
      <c r="H176" s="28">
        <v>738.2</v>
      </c>
      <c r="I176" s="28">
        <v>1241.7</v>
      </c>
      <c r="J176" s="27">
        <v>63.23</v>
      </c>
      <c r="K176" s="27">
        <v>63.1</v>
      </c>
      <c r="L176" s="27">
        <v>63.17</v>
      </c>
      <c r="M176" s="27">
        <v>63.23</v>
      </c>
      <c r="N176" s="27">
        <v>63.182499999999997</v>
      </c>
      <c r="O176" s="27">
        <v>12.38</v>
      </c>
      <c r="P176" s="27" t="s">
        <v>91</v>
      </c>
      <c r="R176" s="27">
        <v>161</v>
      </c>
      <c r="S176" s="27">
        <v>91</v>
      </c>
      <c r="T176" s="27">
        <v>44</v>
      </c>
      <c r="U176" s="27">
        <v>15</v>
      </c>
    </row>
    <row r="177" spans="1:21">
      <c r="A177" s="25" t="s">
        <v>104</v>
      </c>
      <c r="B177" s="291" t="s">
        <v>197</v>
      </c>
      <c r="C177" s="25" t="s">
        <v>324</v>
      </c>
      <c r="D177" s="26" t="s">
        <v>406</v>
      </c>
      <c r="E177" s="79">
        <v>4.5999999999999996</v>
      </c>
      <c r="F177" s="79">
        <v>4.3977055449330802</v>
      </c>
      <c r="G177" s="28">
        <v>1209.4000000000001</v>
      </c>
      <c r="H177" s="28">
        <v>713.3</v>
      </c>
      <c r="I177" s="28">
        <v>1211.3</v>
      </c>
      <c r="J177" s="27">
        <v>63.99</v>
      </c>
      <c r="K177" s="27">
        <v>63.86</v>
      </c>
      <c r="L177" s="27">
        <v>64.03</v>
      </c>
      <c r="M177" s="27">
        <v>63.92</v>
      </c>
      <c r="N177" s="27">
        <v>63.95</v>
      </c>
      <c r="O177" s="27">
        <v>11.99</v>
      </c>
      <c r="P177" s="27">
        <v>2.36</v>
      </c>
      <c r="Q177" s="27">
        <f>100*AVERAGE(O177,O179,O181)/AVERAGEA(O178,O180)</f>
        <v>92.772041302621133</v>
      </c>
      <c r="R177" s="27">
        <v>161</v>
      </c>
      <c r="S177" s="27">
        <v>91</v>
      </c>
      <c r="T177" s="27">
        <v>44</v>
      </c>
      <c r="U177" s="27">
        <v>15</v>
      </c>
    </row>
    <row r="178" spans="1:21">
      <c r="A178" s="25" t="s">
        <v>104</v>
      </c>
      <c r="B178" s="292"/>
      <c r="C178" s="25" t="s">
        <v>324</v>
      </c>
      <c r="D178" s="26" t="s">
        <v>308</v>
      </c>
      <c r="E178" s="79">
        <v>4.5999999999999996</v>
      </c>
      <c r="F178" s="79">
        <v>4.3977055449330802</v>
      </c>
      <c r="G178" s="28">
        <v>1218.5999999999999</v>
      </c>
      <c r="H178" s="28">
        <v>723.5</v>
      </c>
      <c r="I178" s="28">
        <v>1220.4000000000001</v>
      </c>
      <c r="J178" s="27">
        <v>64.569999999999993</v>
      </c>
      <c r="K178" s="27">
        <v>64.58</v>
      </c>
      <c r="L178" s="27">
        <v>64.78</v>
      </c>
      <c r="M178" s="27">
        <v>64.62</v>
      </c>
      <c r="N178" s="27">
        <v>64.637500000000003</v>
      </c>
      <c r="O178" s="27">
        <v>12.35</v>
      </c>
      <c r="P178" s="27">
        <v>2.94</v>
      </c>
      <c r="R178" s="27">
        <v>161</v>
      </c>
      <c r="S178" s="27">
        <v>91</v>
      </c>
      <c r="T178" s="27">
        <v>44</v>
      </c>
      <c r="U178" s="27">
        <v>15</v>
      </c>
    </row>
    <row r="179" spans="1:21">
      <c r="A179" s="25" t="s">
        <v>104</v>
      </c>
      <c r="B179" s="292"/>
      <c r="C179" s="25" t="s">
        <v>324</v>
      </c>
      <c r="D179" s="26" t="s">
        <v>407</v>
      </c>
      <c r="E179" s="79">
        <v>4.5999999999999996</v>
      </c>
      <c r="F179" s="79">
        <v>4.3977055449330802</v>
      </c>
      <c r="G179" s="28">
        <v>1213.4000000000001</v>
      </c>
      <c r="H179" s="28">
        <v>713.8</v>
      </c>
      <c r="I179" s="28">
        <v>1216</v>
      </c>
      <c r="J179" s="27">
        <v>62.98</v>
      </c>
      <c r="K179" s="27">
        <v>62.82</v>
      </c>
      <c r="L179" s="27">
        <v>63.1</v>
      </c>
      <c r="M179" s="27">
        <v>63.41</v>
      </c>
      <c r="N179" s="27">
        <v>63.077500000000001</v>
      </c>
      <c r="O179" s="27">
        <v>11.53</v>
      </c>
      <c r="P179" s="27">
        <v>2.2599999999999998</v>
      </c>
      <c r="R179" s="27">
        <v>161</v>
      </c>
      <c r="S179" s="27">
        <v>91</v>
      </c>
      <c r="T179" s="27">
        <v>44</v>
      </c>
      <c r="U179" s="27">
        <v>15</v>
      </c>
    </row>
    <row r="180" spans="1:21">
      <c r="A180" s="25" t="s">
        <v>104</v>
      </c>
      <c r="B180" s="292"/>
      <c r="C180" s="25" t="s">
        <v>324</v>
      </c>
      <c r="D180" s="26" t="s">
        <v>310</v>
      </c>
      <c r="E180" s="79">
        <v>4.5999999999999996</v>
      </c>
      <c r="F180" s="79">
        <v>4.3977055449330802</v>
      </c>
      <c r="G180" s="28">
        <v>1212.9000000000001</v>
      </c>
      <c r="H180" s="28">
        <v>716.5</v>
      </c>
      <c r="I180" s="28">
        <v>1214.4000000000001</v>
      </c>
      <c r="J180" s="27">
        <v>64.010000000000005</v>
      </c>
      <c r="K180" s="27">
        <v>63.67</v>
      </c>
      <c r="L180" s="27">
        <v>64.180000000000007</v>
      </c>
      <c r="M180" s="27">
        <v>63.58</v>
      </c>
      <c r="N180" s="27">
        <v>63.86</v>
      </c>
      <c r="O180" s="27">
        <v>12.83</v>
      </c>
      <c r="P180" s="27">
        <v>2.17</v>
      </c>
      <c r="R180" s="27">
        <v>161</v>
      </c>
      <c r="S180" s="27">
        <v>91</v>
      </c>
      <c r="T180" s="27">
        <v>44</v>
      </c>
      <c r="U180" s="27">
        <v>15</v>
      </c>
    </row>
    <row r="181" spans="1:21">
      <c r="A181" s="25" t="s">
        <v>104</v>
      </c>
      <c r="B181" s="293"/>
      <c r="C181" s="25" t="s">
        <v>324</v>
      </c>
      <c r="D181" s="26" t="s">
        <v>408</v>
      </c>
      <c r="E181" s="79">
        <v>4.5999999999999996</v>
      </c>
      <c r="F181" s="79">
        <v>4.3977055449330802</v>
      </c>
      <c r="G181" s="28">
        <v>1217.2</v>
      </c>
      <c r="H181" s="28">
        <v>719.5</v>
      </c>
      <c r="I181" s="28">
        <v>1219.5</v>
      </c>
      <c r="J181" s="27">
        <v>63.24</v>
      </c>
      <c r="K181" s="27">
        <v>63.45</v>
      </c>
      <c r="L181" s="27">
        <v>63.14</v>
      </c>
      <c r="M181" s="27">
        <v>63.2</v>
      </c>
      <c r="N181" s="27">
        <v>63.2575</v>
      </c>
      <c r="O181" s="27">
        <v>11.52</v>
      </c>
      <c r="P181" s="27">
        <v>2.82</v>
      </c>
      <c r="R181" s="27">
        <v>161</v>
      </c>
      <c r="S181" s="27">
        <v>91</v>
      </c>
      <c r="T181" s="27">
        <v>44</v>
      </c>
      <c r="U181" s="27">
        <v>15</v>
      </c>
    </row>
    <row r="182" spans="1:21">
      <c r="A182" s="25" t="s">
        <v>109</v>
      </c>
      <c r="B182" s="291" t="s">
        <v>255</v>
      </c>
      <c r="C182" s="25" t="s">
        <v>324</v>
      </c>
      <c r="D182" s="26" t="s">
        <v>406</v>
      </c>
      <c r="E182" s="25">
        <v>4.9000000000000004</v>
      </c>
      <c r="F182" s="27">
        <v>4.6711153479504297</v>
      </c>
      <c r="G182" s="28">
        <v>1213.0999999999999</v>
      </c>
      <c r="H182" s="28">
        <v>723.2</v>
      </c>
      <c r="I182" s="28">
        <v>1215.8</v>
      </c>
      <c r="J182" s="27">
        <v>63.55</v>
      </c>
      <c r="K182" s="27">
        <v>63.71</v>
      </c>
      <c r="L182" s="27">
        <v>63.75</v>
      </c>
      <c r="M182" s="27">
        <v>63.5</v>
      </c>
      <c r="N182" s="27">
        <v>63.627499999999998</v>
      </c>
      <c r="O182" s="27">
        <v>16.11</v>
      </c>
      <c r="P182" s="27">
        <v>2.2200000000000002</v>
      </c>
      <c r="Q182" s="27">
        <f>100*AVERAGE(O182,O184,O186)/AVERAGEA(O183,O185)</f>
        <v>87.236144794754338</v>
      </c>
      <c r="R182" s="27">
        <v>161</v>
      </c>
      <c r="S182" s="27">
        <v>91</v>
      </c>
      <c r="T182" s="27">
        <v>44</v>
      </c>
      <c r="U182" s="27">
        <v>15</v>
      </c>
    </row>
    <row r="183" spans="1:21">
      <c r="A183" s="25" t="s">
        <v>109</v>
      </c>
      <c r="B183" s="292"/>
      <c r="C183" s="25" t="s">
        <v>324</v>
      </c>
      <c r="D183" s="26" t="s">
        <v>308</v>
      </c>
      <c r="E183" s="25">
        <v>4.9000000000000004</v>
      </c>
      <c r="F183" s="27">
        <v>4.6711153479504297</v>
      </c>
      <c r="G183" s="28">
        <v>1212.4000000000001</v>
      </c>
      <c r="H183" s="28">
        <v>722.2</v>
      </c>
      <c r="I183" s="28">
        <v>1214.3</v>
      </c>
      <c r="J183" s="27">
        <v>62.96</v>
      </c>
      <c r="K183" s="27">
        <v>63.2</v>
      </c>
      <c r="L183" s="27">
        <v>62.95</v>
      </c>
      <c r="M183" s="27">
        <v>62.87</v>
      </c>
      <c r="N183" s="27">
        <v>62.994999999999997</v>
      </c>
      <c r="O183" s="27">
        <v>18.97</v>
      </c>
      <c r="P183" s="27">
        <v>1.94</v>
      </c>
      <c r="R183" s="27">
        <v>161</v>
      </c>
      <c r="S183" s="27">
        <v>91</v>
      </c>
      <c r="T183" s="27">
        <v>44</v>
      </c>
      <c r="U183" s="27">
        <v>15</v>
      </c>
    </row>
    <row r="184" spans="1:21">
      <c r="A184" s="25" t="s">
        <v>109</v>
      </c>
      <c r="B184" s="292"/>
      <c r="C184" s="25" t="s">
        <v>324</v>
      </c>
      <c r="D184" s="26" t="s">
        <v>407</v>
      </c>
      <c r="E184" s="25">
        <v>4.9000000000000004</v>
      </c>
      <c r="F184" s="27">
        <v>4.6711153479504297</v>
      </c>
      <c r="G184" s="28">
        <v>1214.2</v>
      </c>
      <c r="H184" s="28">
        <v>724.5</v>
      </c>
      <c r="I184" s="28">
        <v>1216.5</v>
      </c>
      <c r="J184" s="27">
        <v>62.69</v>
      </c>
      <c r="K184" s="27">
        <v>62.86</v>
      </c>
      <c r="L184" s="27">
        <v>62.71</v>
      </c>
      <c r="M184" s="27">
        <v>62.61</v>
      </c>
      <c r="N184" s="27">
        <v>62.717500000000001</v>
      </c>
      <c r="O184" s="27">
        <v>16.64</v>
      </c>
      <c r="P184" s="27">
        <v>2.77</v>
      </c>
      <c r="R184" s="27">
        <v>161</v>
      </c>
      <c r="S184" s="27">
        <v>91</v>
      </c>
      <c r="T184" s="27">
        <v>44</v>
      </c>
      <c r="U184" s="27">
        <v>15</v>
      </c>
    </row>
    <row r="185" spans="1:21">
      <c r="A185" s="25" t="s">
        <v>109</v>
      </c>
      <c r="B185" s="292"/>
      <c r="C185" s="25" t="s">
        <v>324</v>
      </c>
      <c r="D185" s="26" t="s">
        <v>310</v>
      </c>
      <c r="E185" s="25">
        <v>4.9000000000000004</v>
      </c>
      <c r="F185" s="27">
        <v>4.6711153479504297</v>
      </c>
      <c r="G185" s="28">
        <v>1214.5999999999999</v>
      </c>
      <c r="H185" s="28">
        <v>723.8</v>
      </c>
      <c r="I185" s="28">
        <v>1217.5</v>
      </c>
      <c r="J185" s="27">
        <v>62.87</v>
      </c>
      <c r="K185" s="27">
        <v>62.87</v>
      </c>
      <c r="L185" s="27">
        <v>63.15</v>
      </c>
      <c r="M185" s="27">
        <v>62.93</v>
      </c>
      <c r="N185" s="27">
        <v>62.954999999999998</v>
      </c>
      <c r="O185" s="27">
        <v>18.14</v>
      </c>
      <c r="P185" s="27">
        <v>2.1</v>
      </c>
      <c r="R185" s="27">
        <v>161</v>
      </c>
      <c r="S185" s="27">
        <v>91</v>
      </c>
      <c r="T185" s="27">
        <v>44</v>
      </c>
      <c r="U185" s="27">
        <v>15</v>
      </c>
    </row>
    <row r="186" spans="1:21">
      <c r="A186" s="25" t="s">
        <v>109</v>
      </c>
      <c r="B186" s="293"/>
      <c r="C186" s="25" t="s">
        <v>324</v>
      </c>
      <c r="D186" s="26" t="s">
        <v>408</v>
      </c>
      <c r="E186" s="25">
        <v>4.9000000000000004</v>
      </c>
      <c r="F186" s="27">
        <v>4.6711153479504297</v>
      </c>
      <c r="G186" s="28">
        <v>1209.5</v>
      </c>
      <c r="H186" s="28">
        <v>720.1</v>
      </c>
      <c r="I186" s="28">
        <v>1211.8</v>
      </c>
      <c r="J186" s="27">
        <v>62.89</v>
      </c>
      <c r="K186" s="27">
        <v>62.91</v>
      </c>
      <c r="L186" s="27">
        <v>62.69</v>
      </c>
      <c r="M186" s="27">
        <v>62.75</v>
      </c>
      <c r="N186" s="27">
        <v>62.81</v>
      </c>
      <c r="O186" s="27">
        <v>15.81</v>
      </c>
      <c r="P186" s="27">
        <v>2.67</v>
      </c>
      <c r="R186" s="27">
        <v>161</v>
      </c>
      <c r="S186" s="27">
        <v>91</v>
      </c>
      <c r="T186" s="27">
        <v>44</v>
      </c>
      <c r="U186" s="27">
        <v>15</v>
      </c>
    </row>
    <row r="187" spans="1:21">
      <c r="A187" s="25" t="s">
        <v>110</v>
      </c>
      <c r="B187" s="291" t="s">
        <v>218</v>
      </c>
      <c r="C187" s="25" t="s">
        <v>324</v>
      </c>
      <c r="D187" s="26" t="s">
        <v>406</v>
      </c>
      <c r="E187" s="25">
        <v>4.8</v>
      </c>
      <c r="F187" s="27">
        <v>4.6711153479504297</v>
      </c>
      <c r="G187" s="28">
        <v>1229.5</v>
      </c>
      <c r="H187" s="28">
        <v>730.4</v>
      </c>
      <c r="I187" s="28">
        <v>1231.9000000000001</v>
      </c>
      <c r="J187" s="27">
        <v>64.75</v>
      </c>
      <c r="K187" s="27">
        <v>64.75</v>
      </c>
      <c r="L187" s="27">
        <v>64.8</v>
      </c>
      <c r="M187" s="27">
        <v>64.790000000000006</v>
      </c>
      <c r="N187" s="27">
        <v>64.772499999999994</v>
      </c>
      <c r="O187" s="27">
        <v>12.66</v>
      </c>
      <c r="P187" s="27">
        <v>2.0099999999999998</v>
      </c>
      <c r="Q187" s="27">
        <f>100*AVERAGE(O187,O189,O191)/AVERAGEA(O188,O190)</f>
        <v>86.037910309754963</v>
      </c>
      <c r="R187" s="27">
        <v>161</v>
      </c>
      <c r="S187" s="27">
        <v>91</v>
      </c>
      <c r="T187" s="27">
        <v>44</v>
      </c>
      <c r="U187" s="27">
        <v>15</v>
      </c>
    </row>
    <row r="188" spans="1:21">
      <c r="A188" s="25" t="s">
        <v>110</v>
      </c>
      <c r="B188" s="292"/>
      <c r="C188" s="25" t="s">
        <v>324</v>
      </c>
      <c r="D188" s="26" t="s">
        <v>308</v>
      </c>
      <c r="E188" s="25">
        <v>4.8</v>
      </c>
      <c r="F188" s="39">
        <v>4.5801526717557302</v>
      </c>
      <c r="G188" s="28">
        <v>1237.7</v>
      </c>
      <c r="H188" s="28">
        <v>737.5</v>
      </c>
      <c r="I188" s="28">
        <v>1239.5999999999999</v>
      </c>
      <c r="J188" s="27">
        <v>64.09</v>
      </c>
      <c r="K188" s="27">
        <v>64.3</v>
      </c>
      <c r="L188" s="27">
        <v>64.14</v>
      </c>
      <c r="M188" s="27">
        <v>63.9</v>
      </c>
      <c r="N188" s="27">
        <v>64.107500000000002</v>
      </c>
      <c r="O188" s="27">
        <v>13.5</v>
      </c>
      <c r="P188" s="27">
        <v>1.98</v>
      </c>
      <c r="R188" s="27">
        <v>161</v>
      </c>
      <c r="S188" s="27">
        <v>91</v>
      </c>
      <c r="T188" s="27">
        <v>44</v>
      </c>
      <c r="U188" s="27">
        <v>15</v>
      </c>
    </row>
    <row r="189" spans="1:21">
      <c r="A189" s="25" t="s">
        <v>110</v>
      </c>
      <c r="B189" s="292"/>
      <c r="C189" s="25" t="s">
        <v>324</v>
      </c>
      <c r="D189" s="26" t="s">
        <v>407</v>
      </c>
      <c r="E189" s="25">
        <v>4.8</v>
      </c>
      <c r="F189" s="39">
        <v>4.5801526717557302</v>
      </c>
      <c r="G189" s="28">
        <v>1233.3</v>
      </c>
      <c r="H189" s="28">
        <v>733.1</v>
      </c>
      <c r="I189" s="28">
        <v>1234.7</v>
      </c>
      <c r="J189" s="27">
        <v>63.93</v>
      </c>
      <c r="K189" s="27">
        <v>63.69</v>
      </c>
      <c r="L189" s="27">
        <v>63.99</v>
      </c>
      <c r="M189" s="27">
        <v>63.58</v>
      </c>
      <c r="N189" s="27">
        <v>63.797499999999999</v>
      </c>
      <c r="O189" s="27">
        <v>12.66</v>
      </c>
      <c r="P189" s="27">
        <v>2.61</v>
      </c>
      <c r="R189" s="27">
        <v>161</v>
      </c>
      <c r="S189" s="27">
        <v>91</v>
      </c>
      <c r="T189" s="27">
        <v>44</v>
      </c>
      <c r="U189" s="27">
        <v>15</v>
      </c>
    </row>
    <row r="190" spans="1:21">
      <c r="A190" s="25" t="s">
        <v>110</v>
      </c>
      <c r="B190" s="292"/>
      <c r="C190" s="25" t="s">
        <v>324</v>
      </c>
      <c r="D190" s="26" t="s">
        <v>310</v>
      </c>
      <c r="E190" s="25">
        <v>4.8</v>
      </c>
      <c r="F190" s="39">
        <v>4.5801526717557302</v>
      </c>
      <c r="G190" s="28">
        <v>1232.5999999999999</v>
      </c>
      <c r="H190" s="28">
        <v>732.2</v>
      </c>
      <c r="I190" s="28">
        <v>1233.9000000000001</v>
      </c>
      <c r="J190" s="27">
        <v>62.96</v>
      </c>
      <c r="K190" s="27">
        <v>63.05</v>
      </c>
      <c r="L190" s="27">
        <v>62.91</v>
      </c>
      <c r="M190" s="27">
        <v>64.17</v>
      </c>
      <c r="N190" s="27">
        <v>63.272500000000001</v>
      </c>
      <c r="O190" s="27">
        <v>15.34</v>
      </c>
      <c r="P190" s="27">
        <v>1.45</v>
      </c>
      <c r="R190" s="27">
        <v>161</v>
      </c>
      <c r="S190" s="27">
        <v>91</v>
      </c>
      <c r="T190" s="27">
        <v>44</v>
      </c>
      <c r="U190" s="27">
        <v>15</v>
      </c>
    </row>
    <row r="191" spans="1:21">
      <c r="A191" s="25" t="s">
        <v>110</v>
      </c>
      <c r="B191" s="293"/>
      <c r="C191" s="25" t="s">
        <v>324</v>
      </c>
      <c r="D191" s="26" t="s">
        <v>408</v>
      </c>
      <c r="E191" s="25">
        <v>4.8</v>
      </c>
      <c r="F191" s="39">
        <v>4.5801526717557302</v>
      </c>
      <c r="G191" s="28">
        <v>1222.2</v>
      </c>
      <c r="H191" s="28">
        <v>725.3</v>
      </c>
      <c r="I191" s="28">
        <v>1223.7</v>
      </c>
      <c r="J191" s="27">
        <v>62.39</v>
      </c>
      <c r="K191" s="27">
        <v>62.62</v>
      </c>
      <c r="L191" s="27">
        <v>62.28</v>
      </c>
      <c r="M191" s="27">
        <v>64.67</v>
      </c>
      <c r="N191" s="27">
        <v>62.99</v>
      </c>
      <c r="O191" s="27">
        <v>11.9</v>
      </c>
      <c r="P191" s="27">
        <v>1.78</v>
      </c>
      <c r="R191" s="27">
        <v>161</v>
      </c>
      <c r="S191" s="27">
        <v>91</v>
      </c>
      <c r="T191" s="27">
        <v>44</v>
      </c>
      <c r="U191" s="27">
        <v>15</v>
      </c>
    </row>
    <row r="192" spans="1:21">
      <c r="A192" s="25" t="s">
        <v>112</v>
      </c>
      <c r="B192" s="291" t="s">
        <v>218</v>
      </c>
      <c r="C192" s="25" t="s">
        <v>324</v>
      </c>
      <c r="D192" s="26" t="s">
        <v>406</v>
      </c>
      <c r="E192" s="25">
        <v>4.8</v>
      </c>
      <c r="F192" s="39">
        <v>4.5801526717557302</v>
      </c>
      <c r="G192" s="28">
        <v>1253.4000000000001</v>
      </c>
      <c r="H192" s="28">
        <v>751.2</v>
      </c>
      <c r="I192" s="28">
        <v>1254.5999999999999</v>
      </c>
      <c r="J192" s="27">
        <v>63.66</v>
      </c>
      <c r="K192" s="27">
        <v>63.26</v>
      </c>
      <c r="L192" s="27">
        <v>63.43</v>
      </c>
      <c r="M192" s="27">
        <v>63.73</v>
      </c>
      <c r="N192" s="27">
        <v>63.52</v>
      </c>
      <c r="O192" s="27">
        <v>13.2</v>
      </c>
      <c r="P192" s="27" t="s">
        <v>91</v>
      </c>
      <c r="Q192" s="27">
        <f>100*AVERAGE(O192,O194,O196)/AVERAGEA(O193,O195)</f>
        <v>91.578202406227888</v>
      </c>
      <c r="R192" s="27">
        <v>161</v>
      </c>
      <c r="S192" s="27">
        <v>91</v>
      </c>
      <c r="T192" s="27">
        <v>44</v>
      </c>
      <c r="U192" s="27">
        <v>15</v>
      </c>
    </row>
    <row r="193" spans="1:21">
      <c r="A193" s="25" t="s">
        <v>112</v>
      </c>
      <c r="B193" s="292"/>
      <c r="C193" s="25" t="s">
        <v>324</v>
      </c>
      <c r="D193" s="26" t="s">
        <v>308</v>
      </c>
      <c r="E193" s="25">
        <v>4.8</v>
      </c>
      <c r="F193" s="39">
        <v>4.5801526717557302</v>
      </c>
      <c r="G193" s="28">
        <v>1238.0999999999999</v>
      </c>
      <c r="H193" s="28">
        <v>742</v>
      </c>
      <c r="I193" s="28">
        <v>1239</v>
      </c>
      <c r="J193" s="27">
        <v>62.77</v>
      </c>
      <c r="K193" s="27">
        <v>62.67</v>
      </c>
      <c r="L193" s="27">
        <v>62.56</v>
      </c>
      <c r="M193" s="27">
        <v>62.41</v>
      </c>
      <c r="N193" s="27">
        <v>62.602499999999999</v>
      </c>
      <c r="O193" s="27">
        <v>14.53</v>
      </c>
      <c r="P193" s="27" t="s">
        <v>91</v>
      </c>
      <c r="R193" s="27">
        <v>161</v>
      </c>
      <c r="S193" s="27">
        <v>91</v>
      </c>
      <c r="T193" s="27">
        <v>44</v>
      </c>
      <c r="U193" s="27">
        <v>15</v>
      </c>
    </row>
    <row r="194" spans="1:21">
      <c r="A194" s="25" t="s">
        <v>112</v>
      </c>
      <c r="B194" s="292"/>
      <c r="C194" s="25" t="s">
        <v>324</v>
      </c>
      <c r="D194" s="26" t="s">
        <v>407</v>
      </c>
      <c r="E194" s="25">
        <v>4.8</v>
      </c>
      <c r="F194" s="39">
        <v>4.5801526717557302</v>
      </c>
      <c r="G194" s="28">
        <v>1238.2</v>
      </c>
      <c r="H194" s="28">
        <v>742.1</v>
      </c>
      <c r="I194" s="28">
        <v>1239.3</v>
      </c>
      <c r="J194" s="27">
        <v>62.8</v>
      </c>
      <c r="K194" s="27">
        <v>62.86</v>
      </c>
      <c r="L194" s="27">
        <v>63.02</v>
      </c>
      <c r="M194" s="27">
        <v>63.08</v>
      </c>
      <c r="N194" s="27">
        <v>62.94</v>
      </c>
      <c r="O194" s="27">
        <v>13.87</v>
      </c>
      <c r="P194" s="27" t="s">
        <v>91</v>
      </c>
      <c r="R194" s="27">
        <v>161</v>
      </c>
      <c r="S194" s="27">
        <v>91</v>
      </c>
      <c r="T194" s="27">
        <v>44</v>
      </c>
      <c r="U194" s="27">
        <v>15</v>
      </c>
    </row>
    <row r="195" spans="1:21">
      <c r="A195" s="25" t="s">
        <v>112</v>
      </c>
      <c r="B195" s="292"/>
      <c r="C195" s="25" t="s">
        <v>324</v>
      </c>
      <c r="D195" s="26" t="s">
        <v>310</v>
      </c>
      <c r="E195" s="25">
        <v>4.8</v>
      </c>
      <c r="F195" s="39">
        <v>4.5801526717557302</v>
      </c>
      <c r="G195" s="28">
        <v>1245.5</v>
      </c>
      <c r="H195" s="28">
        <v>744.9</v>
      </c>
      <c r="I195" s="28">
        <v>1246.9000000000001</v>
      </c>
      <c r="J195" s="27">
        <v>62.92</v>
      </c>
      <c r="K195" s="27">
        <v>63.09</v>
      </c>
      <c r="L195" s="27">
        <v>63.07</v>
      </c>
      <c r="M195" s="27">
        <v>62.96</v>
      </c>
      <c r="N195" s="27">
        <v>63.01</v>
      </c>
      <c r="O195" s="27">
        <v>13.73</v>
      </c>
      <c r="P195" s="27" t="s">
        <v>91</v>
      </c>
      <c r="R195" s="27">
        <v>161</v>
      </c>
      <c r="S195" s="27">
        <v>91</v>
      </c>
      <c r="T195" s="27">
        <v>44</v>
      </c>
      <c r="U195" s="27">
        <v>15</v>
      </c>
    </row>
    <row r="196" spans="1:21">
      <c r="A196" s="25" t="s">
        <v>112</v>
      </c>
      <c r="B196" s="293"/>
      <c r="C196" s="25" t="s">
        <v>324</v>
      </c>
      <c r="D196" s="26" t="s">
        <v>408</v>
      </c>
      <c r="E196" s="25">
        <v>4.8</v>
      </c>
      <c r="F196" s="39">
        <v>4.5801526717557302</v>
      </c>
      <c r="G196" s="28">
        <v>1238.2</v>
      </c>
      <c r="H196" s="28">
        <v>739.9</v>
      </c>
      <c r="I196" s="28">
        <v>1239.7</v>
      </c>
      <c r="J196" s="27">
        <v>62.05</v>
      </c>
      <c r="K196" s="27">
        <v>63.24</v>
      </c>
      <c r="L196" s="27">
        <v>63.54</v>
      </c>
      <c r="M196" s="27">
        <v>63.66</v>
      </c>
      <c r="N196" s="27">
        <v>63.122500000000002</v>
      </c>
      <c r="O196" s="27">
        <v>11.75</v>
      </c>
      <c r="P196" s="27" t="s">
        <v>91</v>
      </c>
      <c r="R196" s="27">
        <v>161</v>
      </c>
      <c r="S196" s="27">
        <v>91</v>
      </c>
      <c r="T196" s="27">
        <v>44</v>
      </c>
      <c r="U196" s="27">
        <v>15</v>
      </c>
    </row>
    <row r="197" spans="1:21">
      <c r="A197" s="25" t="s">
        <v>256</v>
      </c>
      <c r="B197" s="291" t="s">
        <v>257</v>
      </c>
      <c r="C197" s="25" t="s">
        <v>324</v>
      </c>
      <c r="D197" s="26" t="s">
        <v>406</v>
      </c>
      <c r="E197" s="25">
        <v>4.9000000000000004</v>
      </c>
      <c r="F197" s="27">
        <v>4.6711153479504297</v>
      </c>
      <c r="G197" s="28">
        <v>1233.9000000000001</v>
      </c>
      <c r="H197" s="28">
        <v>732.1</v>
      </c>
      <c r="I197" s="28">
        <v>1236.0999999999999</v>
      </c>
      <c r="J197" s="27">
        <v>64.900000000000006</v>
      </c>
      <c r="K197" s="27">
        <v>65.36</v>
      </c>
      <c r="L197" s="27">
        <v>65.08</v>
      </c>
      <c r="M197" s="27">
        <v>64.86</v>
      </c>
      <c r="N197" s="27">
        <v>65.05</v>
      </c>
      <c r="O197" s="27">
        <v>12.14</v>
      </c>
      <c r="P197" s="27">
        <v>3.8</v>
      </c>
      <c r="Q197" s="27">
        <f>100*AVERAGE(O197,O199,O201)/AVERAGEA(O198,O200)</f>
        <v>88.283118125298898</v>
      </c>
      <c r="R197" s="27">
        <v>161</v>
      </c>
      <c r="S197" s="27">
        <v>91</v>
      </c>
      <c r="T197" s="27">
        <v>44</v>
      </c>
      <c r="U197" s="27">
        <v>15</v>
      </c>
    </row>
    <row r="198" spans="1:21">
      <c r="A198" s="25" t="s">
        <v>256</v>
      </c>
      <c r="B198" s="292"/>
      <c r="C198" s="25" t="s">
        <v>324</v>
      </c>
      <c r="D198" s="26" t="s">
        <v>308</v>
      </c>
      <c r="E198" s="25">
        <v>4.9000000000000004</v>
      </c>
      <c r="F198" s="27">
        <v>4.6711153479504297</v>
      </c>
      <c r="G198" s="28">
        <v>1219.0999999999999</v>
      </c>
      <c r="H198" s="28">
        <v>721</v>
      </c>
      <c r="I198" s="28">
        <v>1221.8</v>
      </c>
      <c r="J198" s="27">
        <v>64.86</v>
      </c>
      <c r="K198" s="27">
        <v>65.16</v>
      </c>
      <c r="L198" s="27">
        <v>65.36</v>
      </c>
      <c r="M198" s="27">
        <v>65.010000000000005</v>
      </c>
      <c r="N198" s="27">
        <v>65.097499999999997</v>
      </c>
      <c r="O198" s="27">
        <v>14.33</v>
      </c>
      <c r="P198" s="27">
        <v>2.13</v>
      </c>
      <c r="R198" s="27">
        <v>161</v>
      </c>
      <c r="S198" s="27">
        <v>91</v>
      </c>
      <c r="T198" s="27">
        <v>44</v>
      </c>
      <c r="U198" s="27">
        <v>15</v>
      </c>
    </row>
    <row r="199" spans="1:21">
      <c r="A199" s="25" t="s">
        <v>256</v>
      </c>
      <c r="B199" s="292"/>
      <c r="C199" s="25" t="s">
        <v>324</v>
      </c>
      <c r="D199" s="26" t="s">
        <v>407</v>
      </c>
      <c r="E199" s="25">
        <v>4.9000000000000004</v>
      </c>
      <c r="F199" s="27">
        <v>4.6711153479504297</v>
      </c>
      <c r="G199" s="28">
        <v>1209.7</v>
      </c>
      <c r="H199" s="28">
        <v>718</v>
      </c>
      <c r="I199" s="28">
        <v>1213.3</v>
      </c>
      <c r="J199" s="27">
        <v>64.290000000000006</v>
      </c>
      <c r="K199" s="27">
        <v>64.47</v>
      </c>
      <c r="L199" s="27">
        <v>64.08</v>
      </c>
      <c r="M199" s="27">
        <v>64.16</v>
      </c>
      <c r="N199" s="27">
        <v>64.25</v>
      </c>
      <c r="O199" s="27">
        <v>12.63</v>
      </c>
      <c r="P199" s="27">
        <v>3.41</v>
      </c>
      <c r="R199" s="27">
        <v>161</v>
      </c>
      <c r="S199" s="27">
        <v>91</v>
      </c>
      <c r="T199" s="27">
        <v>44</v>
      </c>
      <c r="U199" s="27">
        <v>15</v>
      </c>
    </row>
    <row r="200" spans="1:21">
      <c r="A200" s="25" t="s">
        <v>256</v>
      </c>
      <c r="B200" s="292"/>
      <c r="C200" s="25" t="s">
        <v>324</v>
      </c>
      <c r="D200" s="26" t="s">
        <v>310</v>
      </c>
      <c r="E200" s="25">
        <v>4.9000000000000004</v>
      </c>
      <c r="F200" s="27">
        <v>4.6711153479504297</v>
      </c>
      <c r="G200" s="28">
        <v>1209.5</v>
      </c>
      <c r="H200" s="28">
        <v>716.2</v>
      </c>
      <c r="I200" s="28">
        <v>1213.0999999999999</v>
      </c>
      <c r="J200" s="27">
        <v>64.13</v>
      </c>
      <c r="K200" s="27">
        <v>64.11</v>
      </c>
      <c r="L200" s="27">
        <v>63.78</v>
      </c>
      <c r="M200" s="27">
        <v>63.94</v>
      </c>
      <c r="N200" s="27">
        <v>63.99</v>
      </c>
      <c r="O200" s="27">
        <v>13.55</v>
      </c>
      <c r="P200" s="27">
        <v>2.5499999999999998</v>
      </c>
      <c r="R200" s="27">
        <v>161</v>
      </c>
      <c r="S200" s="27">
        <v>91</v>
      </c>
      <c r="T200" s="27">
        <v>44</v>
      </c>
      <c r="U200" s="27">
        <v>15</v>
      </c>
    </row>
    <row r="201" spans="1:21">
      <c r="A201" s="25" t="s">
        <v>256</v>
      </c>
      <c r="B201" s="293"/>
      <c r="C201" s="25" t="s">
        <v>324</v>
      </c>
      <c r="D201" s="26" t="s">
        <v>408</v>
      </c>
      <c r="E201" s="25">
        <v>4.9000000000000004</v>
      </c>
      <c r="F201" s="27">
        <v>4.6711153479504297</v>
      </c>
      <c r="G201" s="28">
        <v>1208.7</v>
      </c>
      <c r="H201" s="28">
        <v>713.6</v>
      </c>
      <c r="I201" s="28">
        <v>1212.5999999999999</v>
      </c>
      <c r="J201" s="27">
        <v>65.209999999999994</v>
      </c>
      <c r="K201" s="27">
        <v>64.78</v>
      </c>
      <c r="L201" s="27">
        <v>65.11</v>
      </c>
      <c r="M201" s="27">
        <v>65.040000000000006</v>
      </c>
      <c r="N201" s="27">
        <v>65.034999999999997</v>
      </c>
      <c r="O201" s="27">
        <v>12.15</v>
      </c>
      <c r="P201" s="27">
        <v>3.75</v>
      </c>
      <c r="R201" s="27">
        <v>161</v>
      </c>
      <c r="S201" s="27">
        <v>91</v>
      </c>
      <c r="T201" s="27">
        <v>44</v>
      </c>
      <c r="U201" s="27">
        <v>15</v>
      </c>
    </row>
    <row r="202" spans="1:21">
      <c r="A202" s="25" t="s">
        <v>113</v>
      </c>
      <c r="B202" s="291" t="s">
        <v>258</v>
      </c>
      <c r="C202" s="25" t="s">
        <v>528</v>
      </c>
      <c r="D202" s="26" t="s">
        <v>406</v>
      </c>
      <c r="E202" s="25">
        <v>4.2</v>
      </c>
      <c r="F202" s="39">
        <v>4.0307101727447199</v>
      </c>
      <c r="G202" s="28">
        <v>1201.0999999999999</v>
      </c>
      <c r="H202" s="28">
        <v>716.6</v>
      </c>
      <c r="I202" s="28">
        <v>1205.7</v>
      </c>
      <c r="J202" s="27">
        <v>62.75</v>
      </c>
      <c r="K202" s="27">
        <v>62.89</v>
      </c>
      <c r="L202" s="27">
        <v>63.22</v>
      </c>
      <c r="M202" s="27">
        <v>63.09</v>
      </c>
      <c r="N202" s="27">
        <v>62.987499999999997</v>
      </c>
      <c r="O202" s="27">
        <v>17.399999999999999</v>
      </c>
      <c r="P202" s="27">
        <v>2.78</v>
      </c>
      <c r="Q202" s="27">
        <f>100*AVERAGE(O202,O204,O206)/AVERAGEA(O203,O205)</f>
        <v>93.465275920477836</v>
      </c>
      <c r="R202" s="27">
        <v>161</v>
      </c>
      <c r="S202" s="27">
        <v>91</v>
      </c>
      <c r="T202" s="27">
        <v>44</v>
      </c>
      <c r="U202" s="27">
        <v>15</v>
      </c>
    </row>
    <row r="203" spans="1:21">
      <c r="A203" s="25" t="s">
        <v>113</v>
      </c>
      <c r="B203" s="292"/>
      <c r="C203" s="25" t="s">
        <v>528</v>
      </c>
      <c r="D203" s="26" t="s">
        <v>308</v>
      </c>
      <c r="E203" s="25">
        <v>4.2</v>
      </c>
      <c r="F203" s="39">
        <v>4.0307101727447199</v>
      </c>
      <c r="G203" s="28">
        <v>1199.4000000000001</v>
      </c>
      <c r="H203" s="28">
        <v>712.6</v>
      </c>
      <c r="I203" s="28">
        <v>1203.9000000000001</v>
      </c>
      <c r="J203" s="27">
        <v>63.44</v>
      </c>
      <c r="K203" s="27">
        <v>63.53</v>
      </c>
      <c r="L203" s="27">
        <v>63.84</v>
      </c>
      <c r="M203" s="27">
        <v>63.86</v>
      </c>
      <c r="N203" s="27">
        <v>63.667499999999997</v>
      </c>
      <c r="O203" s="27">
        <v>18.52</v>
      </c>
      <c r="P203" s="27">
        <v>3.53</v>
      </c>
      <c r="R203" s="27">
        <v>161</v>
      </c>
      <c r="S203" s="27">
        <v>91</v>
      </c>
      <c r="T203" s="27">
        <v>44</v>
      </c>
      <c r="U203" s="27">
        <v>15</v>
      </c>
    </row>
    <row r="204" spans="1:21">
      <c r="A204" s="25" t="s">
        <v>113</v>
      </c>
      <c r="B204" s="292"/>
      <c r="C204" s="25" t="s">
        <v>528</v>
      </c>
      <c r="D204" s="26" t="s">
        <v>407</v>
      </c>
      <c r="E204" s="25">
        <v>4.2</v>
      </c>
      <c r="F204" s="39">
        <v>4.0307101727447199</v>
      </c>
      <c r="G204" s="28">
        <v>1208.2</v>
      </c>
      <c r="H204" s="28">
        <v>718.4</v>
      </c>
      <c r="I204" s="28">
        <v>1211.2</v>
      </c>
      <c r="J204" s="27">
        <v>62.99</v>
      </c>
      <c r="K204" s="27">
        <v>62.13</v>
      </c>
      <c r="L204" s="27">
        <v>62.1</v>
      </c>
      <c r="M204" s="27">
        <v>62.06</v>
      </c>
      <c r="N204" s="27">
        <v>62.32</v>
      </c>
      <c r="O204" s="27">
        <v>17.510000000000002</v>
      </c>
      <c r="P204" s="27">
        <v>5.13</v>
      </c>
      <c r="R204" s="27">
        <v>161</v>
      </c>
      <c r="S204" s="27">
        <v>91</v>
      </c>
      <c r="T204" s="27">
        <v>44</v>
      </c>
      <c r="U204" s="27">
        <v>15</v>
      </c>
    </row>
    <row r="205" spans="1:21">
      <c r="A205" s="25" t="s">
        <v>113</v>
      </c>
      <c r="B205" s="292"/>
      <c r="C205" s="25" t="s">
        <v>528</v>
      </c>
      <c r="D205" s="26" t="s">
        <v>310</v>
      </c>
      <c r="E205" s="25">
        <v>4.2</v>
      </c>
      <c r="F205" s="39">
        <v>4.0307101727447199</v>
      </c>
      <c r="G205" s="28">
        <v>1205.9000000000001</v>
      </c>
      <c r="H205" s="28">
        <v>715.3</v>
      </c>
      <c r="I205" s="28">
        <v>1209.3</v>
      </c>
      <c r="J205" s="27">
        <v>63.3</v>
      </c>
      <c r="K205" s="27">
        <v>63.26</v>
      </c>
      <c r="L205" s="27">
        <v>63.12</v>
      </c>
      <c r="M205" s="27">
        <v>63.07</v>
      </c>
      <c r="N205" s="27">
        <v>63.1875</v>
      </c>
      <c r="O205" s="27">
        <v>18.87</v>
      </c>
      <c r="P205" s="27">
        <v>2.94</v>
      </c>
      <c r="R205" s="27">
        <v>161</v>
      </c>
      <c r="S205" s="27">
        <v>91</v>
      </c>
      <c r="T205" s="27">
        <v>44</v>
      </c>
      <c r="U205" s="27">
        <v>15</v>
      </c>
    </row>
    <row r="206" spans="1:21">
      <c r="A206" s="25" t="s">
        <v>113</v>
      </c>
      <c r="B206" s="292"/>
      <c r="C206" s="25" t="s">
        <v>528</v>
      </c>
      <c r="D206" s="26" t="s">
        <v>408</v>
      </c>
      <c r="E206" s="25">
        <v>4.2</v>
      </c>
      <c r="F206" s="39">
        <v>4.0307101727447199</v>
      </c>
      <c r="G206" s="28">
        <v>1203.0999999999999</v>
      </c>
      <c r="H206" s="28">
        <v>717.5</v>
      </c>
      <c r="I206" s="28">
        <v>1205.5</v>
      </c>
      <c r="J206" s="27">
        <v>62.68</v>
      </c>
      <c r="K206" s="27">
        <v>62.84</v>
      </c>
      <c r="L206" s="27">
        <v>62.84</v>
      </c>
      <c r="M206" s="27">
        <v>62.67</v>
      </c>
      <c r="N206" s="27">
        <v>62.7575</v>
      </c>
      <c r="O206" s="27">
        <v>17.510000000000002</v>
      </c>
      <c r="P206" s="27">
        <v>2.1</v>
      </c>
      <c r="R206" s="27">
        <v>161</v>
      </c>
      <c r="S206" s="27">
        <v>91</v>
      </c>
      <c r="T206" s="27">
        <v>44</v>
      </c>
      <c r="U206" s="27">
        <v>15</v>
      </c>
    </row>
    <row r="207" spans="1:21" ht="14.4">
      <c r="A207" s="25" t="s">
        <v>113</v>
      </c>
      <c r="B207" s="292"/>
      <c r="C207" s="25" t="s">
        <v>439</v>
      </c>
      <c r="D207" s="26" t="s">
        <v>406</v>
      </c>
      <c r="E207" s="25">
        <v>4.2</v>
      </c>
      <c r="F207" s="39">
        <v>4.0307101727447199</v>
      </c>
      <c r="G207" s="28">
        <v>1204.5999999999999</v>
      </c>
      <c r="H207" s="28">
        <v>718.4</v>
      </c>
      <c r="I207" s="28">
        <v>1207.5999999999999</v>
      </c>
      <c r="J207" s="27">
        <v>62.75</v>
      </c>
      <c r="K207" s="27">
        <v>62.89</v>
      </c>
      <c r="L207" s="27">
        <v>63.22</v>
      </c>
      <c r="M207" s="27">
        <v>63.09</v>
      </c>
      <c r="N207" s="27">
        <v>62.987499999999997</v>
      </c>
      <c r="O207" s="27">
        <v>16.670000000000002</v>
      </c>
      <c r="P207" s="27">
        <v>3.28</v>
      </c>
      <c r="Q207" s="27">
        <f>100*AVERAGE(O207,O209,O211)/AVERAGEA(O208,O210)</f>
        <v>90.35422343324251</v>
      </c>
      <c r="R207" s="27">
        <v>161</v>
      </c>
      <c r="S207" s="27">
        <v>91</v>
      </c>
      <c r="T207" s="27">
        <v>44</v>
      </c>
      <c r="U207" s="27">
        <v>15</v>
      </c>
    </row>
    <row r="208" spans="1:21" ht="14.4">
      <c r="A208" s="25" t="s">
        <v>113</v>
      </c>
      <c r="B208" s="292"/>
      <c r="C208" s="25" t="s">
        <v>439</v>
      </c>
      <c r="D208" s="26" t="s">
        <v>308</v>
      </c>
      <c r="E208" s="25">
        <v>4.2</v>
      </c>
      <c r="F208" s="39">
        <v>4.0307101727447199</v>
      </c>
      <c r="G208" s="28">
        <v>1208.5999999999999</v>
      </c>
      <c r="H208" s="28">
        <v>721.5</v>
      </c>
      <c r="I208" s="28">
        <v>1211.3</v>
      </c>
      <c r="J208" s="27">
        <v>63.44</v>
      </c>
      <c r="K208" s="27">
        <v>63.53</v>
      </c>
      <c r="L208" s="27">
        <v>63.84</v>
      </c>
      <c r="M208" s="27">
        <v>63.86</v>
      </c>
      <c r="N208" s="27">
        <v>63.667499999999997</v>
      </c>
      <c r="O208" s="27">
        <v>18.41</v>
      </c>
      <c r="P208" s="27">
        <v>2.0499999999999998</v>
      </c>
      <c r="R208" s="27">
        <v>161</v>
      </c>
      <c r="S208" s="27">
        <v>91</v>
      </c>
      <c r="T208" s="27">
        <v>44</v>
      </c>
      <c r="U208" s="27">
        <v>15</v>
      </c>
    </row>
    <row r="209" spans="1:21" ht="14.4">
      <c r="A209" s="25" t="s">
        <v>113</v>
      </c>
      <c r="B209" s="292"/>
      <c r="C209" s="25" t="s">
        <v>439</v>
      </c>
      <c r="D209" s="26" t="s">
        <v>407</v>
      </c>
      <c r="E209" s="25">
        <v>4.2</v>
      </c>
      <c r="F209" s="39">
        <v>4.0307101727447199</v>
      </c>
      <c r="G209" s="28">
        <v>1207.9000000000001</v>
      </c>
      <c r="H209" s="28">
        <v>718.2</v>
      </c>
      <c r="I209" s="28">
        <v>1210.5999999999999</v>
      </c>
      <c r="J209" s="27">
        <v>62.99</v>
      </c>
      <c r="K209" s="27">
        <v>62.13</v>
      </c>
      <c r="L209" s="27">
        <v>62.1</v>
      </c>
      <c r="M209" s="27">
        <v>62.06</v>
      </c>
      <c r="N209" s="27">
        <v>62.32</v>
      </c>
      <c r="O209" s="27">
        <v>16.46</v>
      </c>
      <c r="P209" s="27">
        <v>3.27</v>
      </c>
      <c r="R209" s="27">
        <v>161</v>
      </c>
      <c r="S209" s="27">
        <v>91</v>
      </c>
      <c r="T209" s="27">
        <v>44</v>
      </c>
      <c r="U209" s="27">
        <v>15</v>
      </c>
    </row>
    <row r="210" spans="1:21" ht="14.4">
      <c r="A210" s="25" t="s">
        <v>113</v>
      </c>
      <c r="B210" s="292"/>
      <c r="C210" s="25" t="s">
        <v>439</v>
      </c>
      <c r="D210" s="26" t="s">
        <v>310</v>
      </c>
      <c r="E210" s="25">
        <v>4.2</v>
      </c>
      <c r="F210" s="39">
        <v>4.0307101727447199</v>
      </c>
      <c r="G210" s="28">
        <v>1204.9000000000001</v>
      </c>
      <c r="H210" s="28">
        <v>716.9</v>
      </c>
      <c r="I210" s="28">
        <v>1209.0999999999999</v>
      </c>
      <c r="J210" s="27">
        <v>63.3</v>
      </c>
      <c r="K210" s="27">
        <v>63.26</v>
      </c>
      <c r="L210" s="27">
        <v>63.12</v>
      </c>
      <c r="M210" s="27">
        <v>63.07</v>
      </c>
      <c r="N210" s="27">
        <v>63.1875</v>
      </c>
      <c r="O210" s="27">
        <v>18.29</v>
      </c>
      <c r="P210" s="27">
        <v>2.46</v>
      </c>
      <c r="R210" s="27">
        <v>161</v>
      </c>
      <c r="S210" s="27">
        <v>91</v>
      </c>
      <c r="T210" s="27">
        <v>44</v>
      </c>
      <c r="U210" s="27">
        <v>15</v>
      </c>
    </row>
    <row r="211" spans="1:21" ht="14.4">
      <c r="A211" s="25" t="s">
        <v>113</v>
      </c>
      <c r="B211" s="292"/>
      <c r="C211" s="25" t="s">
        <v>439</v>
      </c>
      <c r="D211" s="26" t="s">
        <v>408</v>
      </c>
      <c r="E211" s="25">
        <v>4.2</v>
      </c>
      <c r="F211" s="39">
        <v>4.0307101727447199</v>
      </c>
      <c r="G211" s="28">
        <v>1202.8</v>
      </c>
      <c r="H211" s="28">
        <v>714.8</v>
      </c>
      <c r="I211" s="28">
        <v>1205.7</v>
      </c>
      <c r="J211" s="27">
        <v>62.68</v>
      </c>
      <c r="K211" s="27">
        <v>62.84</v>
      </c>
      <c r="L211" s="27">
        <v>62.84</v>
      </c>
      <c r="M211" s="27">
        <v>62.67</v>
      </c>
      <c r="N211" s="27">
        <v>62.7575</v>
      </c>
      <c r="O211" s="27">
        <v>16.61</v>
      </c>
      <c r="P211" s="27">
        <v>3.6</v>
      </c>
      <c r="R211" s="27">
        <v>161</v>
      </c>
      <c r="S211" s="27">
        <v>91</v>
      </c>
      <c r="T211" s="27">
        <v>44</v>
      </c>
      <c r="U211" s="27">
        <v>15</v>
      </c>
    </row>
    <row r="212" spans="1:21" ht="14.4">
      <c r="A212" s="25" t="s">
        <v>113</v>
      </c>
      <c r="B212" s="292"/>
      <c r="C212" s="25" t="s">
        <v>440</v>
      </c>
      <c r="D212" s="26" t="s">
        <v>406</v>
      </c>
      <c r="E212" s="25">
        <v>4.2</v>
      </c>
      <c r="F212" s="39">
        <v>4.0307101727447199</v>
      </c>
      <c r="G212" s="28">
        <v>1213</v>
      </c>
      <c r="H212" s="28">
        <v>723.1</v>
      </c>
      <c r="I212" s="28">
        <v>1215.5</v>
      </c>
      <c r="J212" s="27">
        <v>63.33</v>
      </c>
      <c r="K212" s="27">
        <v>63.38</v>
      </c>
      <c r="L212" s="27">
        <v>63.2</v>
      </c>
      <c r="M212" s="27">
        <v>63.09</v>
      </c>
      <c r="N212" s="27">
        <v>63.25</v>
      </c>
      <c r="O212" s="27">
        <v>15.57</v>
      </c>
      <c r="P212" s="27">
        <v>3.02</v>
      </c>
      <c r="Q212" s="27">
        <f>100*AVERAGE(O212,O214,O216)/AVERAGEA(O213,O215)</f>
        <v>89.764988009592315</v>
      </c>
      <c r="R212" s="27">
        <v>161</v>
      </c>
      <c r="S212" s="27">
        <v>91</v>
      </c>
      <c r="T212" s="27">
        <v>44</v>
      </c>
      <c r="U212" s="27">
        <v>15</v>
      </c>
    </row>
    <row r="213" spans="1:21" ht="14.4">
      <c r="A213" s="25" t="s">
        <v>113</v>
      </c>
      <c r="B213" s="292"/>
      <c r="C213" s="25" t="s">
        <v>440</v>
      </c>
      <c r="D213" s="26" t="s">
        <v>308</v>
      </c>
      <c r="E213" s="25">
        <v>4.2</v>
      </c>
      <c r="F213" s="39">
        <v>4.0307101727447199</v>
      </c>
      <c r="G213" s="28">
        <v>1218.0999999999999</v>
      </c>
      <c r="H213" s="28">
        <v>720.5</v>
      </c>
      <c r="I213" s="28">
        <v>1221</v>
      </c>
      <c r="J213" s="27">
        <v>65.650000000000006</v>
      </c>
      <c r="K213" s="27">
        <v>65.72</v>
      </c>
      <c r="L213" s="27">
        <v>65.430000000000007</v>
      </c>
      <c r="M213" s="27">
        <v>63.86</v>
      </c>
      <c r="N213" s="27">
        <v>65.165000000000006</v>
      </c>
      <c r="O213" s="27">
        <v>17.57</v>
      </c>
      <c r="P213" s="27">
        <v>2.5</v>
      </c>
      <c r="R213" s="27">
        <v>161</v>
      </c>
      <c r="S213" s="27">
        <v>91</v>
      </c>
      <c r="T213" s="27">
        <v>44</v>
      </c>
      <c r="U213" s="27">
        <v>15</v>
      </c>
    </row>
    <row r="214" spans="1:21" ht="14.4">
      <c r="A214" s="25" t="s">
        <v>113</v>
      </c>
      <c r="B214" s="292"/>
      <c r="C214" s="25" t="s">
        <v>440</v>
      </c>
      <c r="D214" s="26" t="s">
        <v>407</v>
      </c>
      <c r="E214" s="25">
        <v>4.2</v>
      </c>
      <c r="F214" s="39">
        <v>4.0307101727447199</v>
      </c>
      <c r="G214" s="28">
        <v>1208.3</v>
      </c>
      <c r="H214" s="28">
        <v>722.2</v>
      </c>
      <c r="I214" s="28">
        <v>1212.0999999999999</v>
      </c>
      <c r="J214" s="27">
        <v>62.5</v>
      </c>
      <c r="K214" s="27">
        <v>62.71</v>
      </c>
      <c r="L214" s="27">
        <v>62.71</v>
      </c>
      <c r="M214" s="27">
        <v>62.06</v>
      </c>
      <c r="N214" s="27">
        <v>62.494999999999997</v>
      </c>
      <c r="O214" s="27">
        <v>15.57</v>
      </c>
      <c r="P214" s="27">
        <v>3.68</v>
      </c>
      <c r="R214" s="27">
        <v>161</v>
      </c>
      <c r="S214" s="27">
        <v>91</v>
      </c>
      <c r="T214" s="27">
        <v>44</v>
      </c>
      <c r="U214" s="27">
        <v>15</v>
      </c>
    </row>
    <row r="215" spans="1:21" ht="14.4">
      <c r="A215" s="25" t="s">
        <v>113</v>
      </c>
      <c r="B215" s="292"/>
      <c r="C215" s="25" t="s">
        <v>440</v>
      </c>
      <c r="D215" s="26" t="s">
        <v>310</v>
      </c>
      <c r="E215" s="25">
        <v>4.2</v>
      </c>
      <c r="F215" s="39">
        <v>4.0307101727447199</v>
      </c>
      <c r="G215" s="28">
        <v>1193.3</v>
      </c>
      <c r="H215" s="28">
        <v>708.6</v>
      </c>
      <c r="I215" s="28">
        <v>1196.5999999999999</v>
      </c>
      <c r="J215" s="27">
        <v>62.96</v>
      </c>
      <c r="K215" s="27">
        <v>62.74</v>
      </c>
      <c r="L215" s="27">
        <v>62.62</v>
      </c>
      <c r="M215" s="27">
        <v>63.07</v>
      </c>
      <c r="N215" s="27">
        <v>62.847499999999997</v>
      </c>
      <c r="O215" s="27">
        <v>17.18</v>
      </c>
      <c r="P215" s="27">
        <v>2.0099999999999998</v>
      </c>
      <c r="R215" s="27">
        <v>161</v>
      </c>
      <c r="S215" s="27">
        <v>91</v>
      </c>
      <c r="T215" s="27">
        <v>44</v>
      </c>
      <c r="U215" s="27">
        <v>15</v>
      </c>
    </row>
    <row r="216" spans="1:21" ht="14.4">
      <c r="A216" s="25" t="s">
        <v>113</v>
      </c>
      <c r="B216" s="292"/>
      <c r="C216" s="25" t="s">
        <v>440</v>
      </c>
      <c r="D216" s="26" t="s">
        <v>408</v>
      </c>
      <c r="E216" s="25">
        <v>4.2</v>
      </c>
      <c r="F216" s="39">
        <v>4.0307101727447199</v>
      </c>
      <c r="G216" s="28">
        <v>1202.2</v>
      </c>
      <c r="H216" s="28">
        <v>711.1</v>
      </c>
      <c r="I216" s="28">
        <v>1205.0999999999999</v>
      </c>
      <c r="J216" s="27">
        <v>64.62</v>
      </c>
      <c r="K216" s="27">
        <v>64.760000000000005</v>
      </c>
      <c r="L216" s="27">
        <v>64.760000000000005</v>
      </c>
      <c r="M216" s="27">
        <v>62.67</v>
      </c>
      <c r="N216" s="27">
        <v>64.202500000000001</v>
      </c>
      <c r="O216" s="27">
        <v>15.65</v>
      </c>
      <c r="P216" s="27">
        <v>3.56</v>
      </c>
      <c r="R216" s="27">
        <v>161</v>
      </c>
      <c r="S216" s="27">
        <v>91</v>
      </c>
      <c r="T216" s="27">
        <v>44</v>
      </c>
      <c r="U216" s="27">
        <v>15</v>
      </c>
    </row>
    <row r="217" spans="1:21">
      <c r="A217" s="25" t="s">
        <v>113</v>
      </c>
      <c r="B217" s="292"/>
      <c r="C217" s="25" t="s">
        <v>441</v>
      </c>
      <c r="D217" s="26" t="s">
        <v>406</v>
      </c>
      <c r="E217" s="25">
        <v>4.2</v>
      </c>
      <c r="F217" s="39">
        <v>4.0307101727447199</v>
      </c>
      <c r="G217" s="28">
        <v>1218.2</v>
      </c>
      <c r="H217" s="28">
        <v>727.4</v>
      </c>
      <c r="I217" s="28">
        <v>1222.9000000000001</v>
      </c>
      <c r="J217" s="27">
        <v>62.36</v>
      </c>
      <c r="K217" s="27">
        <v>62.2</v>
      </c>
      <c r="L217" s="27">
        <v>62.48</v>
      </c>
      <c r="M217" s="27">
        <v>62.21</v>
      </c>
      <c r="N217" s="27">
        <v>62.3125</v>
      </c>
      <c r="O217" s="27">
        <v>17.579999999999998</v>
      </c>
      <c r="P217" s="27">
        <v>4.0999999999999996</v>
      </c>
      <c r="Q217" s="27">
        <f>100*AVERAGE(O217,O219,O221)/AVERAGEA(O218,O220)</f>
        <v>94.736842105263165</v>
      </c>
      <c r="R217" s="27">
        <v>161</v>
      </c>
      <c r="S217" s="27">
        <v>91</v>
      </c>
      <c r="T217" s="27">
        <v>44</v>
      </c>
      <c r="U217" s="27">
        <v>15</v>
      </c>
    </row>
    <row r="218" spans="1:21">
      <c r="A218" s="25" t="s">
        <v>113</v>
      </c>
      <c r="B218" s="292"/>
      <c r="C218" s="25" t="s">
        <v>441</v>
      </c>
      <c r="D218" s="26" t="s">
        <v>308</v>
      </c>
      <c r="E218" s="25">
        <v>4.2</v>
      </c>
      <c r="F218" s="39">
        <v>4.0307101727447199</v>
      </c>
      <c r="G218" s="28">
        <v>1221.9000000000001</v>
      </c>
      <c r="H218" s="28">
        <v>728.9</v>
      </c>
      <c r="I218" s="28">
        <v>1225.2</v>
      </c>
      <c r="J218" s="27">
        <v>63.52</v>
      </c>
      <c r="K218" s="27">
        <v>63.76</v>
      </c>
      <c r="L218" s="27">
        <v>63.8</v>
      </c>
      <c r="M218" s="27">
        <v>63.43</v>
      </c>
      <c r="N218" s="27">
        <v>63.627499999999998</v>
      </c>
      <c r="O218" s="27">
        <v>18.28</v>
      </c>
      <c r="P218" s="27">
        <v>3.27</v>
      </c>
      <c r="R218" s="27">
        <v>161</v>
      </c>
      <c r="S218" s="27">
        <v>91</v>
      </c>
      <c r="T218" s="27">
        <v>44</v>
      </c>
      <c r="U218" s="27">
        <v>15</v>
      </c>
    </row>
    <row r="219" spans="1:21">
      <c r="A219" s="25" t="s">
        <v>113</v>
      </c>
      <c r="B219" s="292"/>
      <c r="C219" s="25" t="s">
        <v>441</v>
      </c>
      <c r="D219" s="26" t="s">
        <v>407</v>
      </c>
      <c r="E219" s="25">
        <v>4.2</v>
      </c>
      <c r="F219" s="39">
        <v>4.0307101727447199</v>
      </c>
      <c r="G219" s="28">
        <v>1218.5999999999999</v>
      </c>
      <c r="H219" s="28">
        <v>726.7</v>
      </c>
      <c r="I219" s="28">
        <v>1222.2</v>
      </c>
      <c r="J219" s="27">
        <v>62.35</v>
      </c>
      <c r="K219" s="27">
        <v>62.2</v>
      </c>
      <c r="L219" s="27">
        <v>62.2</v>
      </c>
      <c r="M219" s="27">
        <v>62.37</v>
      </c>
      <c r="N219" s="27">
        <v>62.28</v>
      </c>
      <c r="O219" s="27">
        <v>17.71</v>
      </c>
      <c r="P219" s="27">
        <v>4.0599999999999996</v>
      </c>
      <c r="R219" s="27">
        <v>161</v>
      </c>
      <c r="S219" s="27">
        <v>91</v>
      </c>
      <c r="T219" s="27">
        <v>44</v>
      </c>
      <c r="U219" s="27">
        <v>15</v>
      </c>
    </row>
    <row r="220" spans="1:21">
      <c r="A220" s="25" t="s">
        <v>113</v>
      </c>
      <c r="B220" s="292"/>
      <c r="C220" s="25" t="s">
        <v>441</v>
      </c>
      <c r="D220" s="26" t="s">
        <v>310</v>
      </c>
      <c r="E220" s="25">
        <v>4.2</v>
      </c>
      <c r="F220" s="39">
        <v>4.0307101727447199</v>
      </c>
      <c r="G220" s="28">
        <v>1216.5999999999999</v>
      </c>
      <c r="H220" s="28">
        <v>726.3</v>
      </c>
      <c r="I220" s="28">
        <v>1220.7</v>
      </c>
      <c r="J220" s="27">
        <v>62.82</v>
      </c>
      <c r="K220" s="27">
        <v>62.25</v>
      </c>
      <c r="L220" s="27">
        <v>62.25</v>
      </c>
      <c r="M220" s="27">
        <v>62.46</v>
      </c>
      <c r="N220" s="27">
        <v>62.445</v>
      </c>
      <c r="O220" s="27">
        <v>19.149999999999999</v>
      </c>
      <c r="P220" s="27">
        <v>3.65</v>
      </c>
      <c r="R220" s="27">
        <v>161</v>
      </c>
      <c r="S220" s="27">
        <v>91</v>
      </c>
      <c r="T220" s="27">
        <v>44</v>
      </c>
      <c r="U220" s="27">
        <v>15</v>
      </c>
    </row>
    <row r="221" spans="1:21">
      <c r="A221" s="25" t="s">
        <v>113</v>
      </c>
      <c r="B221" s="293"/>
      <c r="C221" s="25" t="s">
        <v>441</v>
      </c>
      <c r="D221" s="26" t="s">
        <v>408</v>
      </c>
      <c r="E221" s="25">
        <v>4.2</v>
      </c>
      <c r="F221" s="39">
        <v>4.0307101727447199</v>
      </c>
      <c r="G221" s="28">
        <v>1209.3</v>
      </c>
      <c r="H221" s="28">
        <v>720.3</v>
      </c>
      <c r="I221" s="28">
        <v>1213.3</v>
      </c>
      <c r="J221" s="27">
        <v>62.53</v>
      </c>
      <c r="K221" s="27">
        <v>61.93</v>
      </c>
      <c r="L221" s="27">
        <v>61.79</v>
      </c>
      <c r="M221" s="27">
        <v>61.83</v>
      </c>
      <c r="N221" s="27">
        <v>62.02</v>
      </c>
      <c r="O221" s="27">
        <v>17.899999999999999</v>
      </c>
      <c r="P221" s="27">
        <v>4.17</v>
      </c>
      <c r="R221" s="27">
        <v>161</v>
      </c>
      <c r="S221" s="27">
        <v>91</v>
      </c>
      <c r="T221" s="27">
        <v>44</v>
      </c>
      <c r="U221" s="27">
        <v>15</v>
      </c>
    </row>
    <row r="222" spans="1:21">
      <c r="A222" s="25" t="s">
        <v>113</v>
      </c>
      <c r="B222" s="291" t="s">
        <v>260</v>
      </c>
      <c r="C222" s="25" t="s">
        <v>313</v>
      </c>
      <c r="D222" s="26" t="s">
        <v>406</v>
      </c>
      <c r="E222" s="25">
        <v>4.2</v>
      </c>
      <c r="F222" s="39">
        <v>4.0307101727447199</v>
      </c>
      <c r="G222" s="28">
        <v>1213.0999999999999</v>
      </c>
      <c r="H222" s="28">
        <v>723.5</v>
      </c>
      <c r="I222" s="28">
        <v>1215.5</v>
      </c>
      <c r="J222" s="27">
        <v>64.08</v>
      </c>
      <c r="K222" s="27">
        <v>63.55</v>
      </c>
      <c r="L222" s="27">
        <v>63.77</v>
      </c>
      <c r="M222" s="27">
        <v>64.02</v>
      </c>
      <c r="N222" s="27">
        <v>63.854999999999997</v>
      </c>
      <c r="O222" s="27">
        <v>17.690000000000001</v>
      </c>
      <c r="P222" s="27">
        <v>2.92</v>
      </c>
      <c r="Q222" s="27">
        <f>100*AVERAGE(O222,O224,O226)/AVERAGEA(O223,O225)</f>
        <v>93.664795509222145</v>
      </c>
      <c r="R222" s="27">
        <v>161</v>
      </c>
      <c r="S222" s="27">
        <v>91</v>
      </c>
      <c r="T222" s="27">
        <v>44</v>
      </c>
      <c r="U222" s="27">
        <v>15</v>
      </c>
    </row>
    <row r="223" spans="1:21">
      <c r="A223" s="25" t="s">
        <v>113</v>
      </c>
      <c r="B223" s="292"/>
      <c r="C223" s="25" t="s">
        <v>313</v>
      </c>
      <c r="D223" s="26" t="s">
        <v>308</v>
      </c>
      <c r="E223" s="25">
        <v>4.2</v>
      </c>
      <c r="F223" s="39">
        <v>4.0307101727447199</v>
      </c>
      <c r="G223" s="28">
        <v>1209.4000000000001</v>
      </c>
      <c r="H223" s="28">
        <v>721</v>
      </c>
      <c r="I223" s="28">
        <v>1212.5</v>
      </c>
      <c r="J223" s="27">
        <v>62.33</v>
      </c>
      <c r="K223" s="27">
        <v>63.25</v>
      </c>
      <c r="L223" s="27">
        <v>62.24</v>
      </c>
      <c r="M223" s="27">
        <v>62.25</v>
      </c>
      <c r="N223" s="27">
        <v>62.517499999999998</v>
      </c>
      <c r="O223" s="27">
        <v>18.71</v>
      </c>
      <c r="P223" s="27">
        <v>3.54</v>
      </c>
      <c r="R223" s="27">
        <v>161</v>
      </c>
      <c r="S223" s="27">
        <v>91</v>
      </c>
      <c r="T223" s="27">
        <v>44</v>
      </c>
      <c r="U223" s="27">
        <v>15</v>
      </c>
    </row>
    <row r="224" spans="1:21">
      <c r="A224" s="25" t="s">
        <v>113</v>
      </c>
      <c r="B224" s="292"/>
      <c r="C224" s="25" t="s">
        <v>313</v>
      </c>
      <c r="D224" s="26" t="s">
        <v>407</v>
      </c>
      <c r="E224" s="25">
        <v>4.2</v>
      </c>
      <c r="F224" s="39">
        <v>4.0307101727447199</v>
      </c>
      <c r="G224" s="28">
        <v>1210.8</v>
      </c>
      <c r="H224" s="28">
        <v>723</v>
      </c>
      <c r="I224" s="28">
        <v>1213.8</v>
      </c>
      <c r="J224" s="27">
        <v>63.4</v>
      </c>
      <c r="K224" s="27">
        <v>63.09</v>
      </c>
      <c r="L224" s="27">
        <v>63.08</v>
      </c>
      <c r="M224" s="27">
        <v>63.29</v>
      </c>
      <c r="N224" s="27">
        <v>63.215000000000003</v>
      </c>
      <c r="O224" s="27">
        <v>17.739999999999998</v>
      </c>
      <c r="P224" s="27">
        <v>2.61</v>
      </c>
      <c r="R224" s="27">
        <v>161</v>
      </c>
      <c r="S224" s="27">
        <v>91</v>
      </c>
      <c r="T224" s="27">
        <v>44</v>
      </c>
      <c r="U224" s="27">
        <v>15</v>
      </c>
    </row>
    <row r="225" spans="1:21">
      <c r="A225" s="25" t="s">
        <v>113</v>
      </c>
      <c r="B225" s="292"/>
      <c r="C225" s="25" t="s">
        <v>313</v>
      </c>
      <c r="D225" s="26" t="s">
        <v>310</v>
      </c>
      <c r="E225" s="25">
        <v>4.2</v>
      </c>
      <c r="F225" s="39">
        <v>4.0307101727447199</v>
      </c>
      <c r="G225" s="28">
        <v>1208.7</v>
      </c>
      <c r="H225" s="28">
        <v>721.3</v>
      </c>
      <c r="I225" s="28">
        <v>1211.2</v>
      </c>
      <c r="J225" s="27">
        <v>63.77</v>
      </c>
      <c r="K225" s="27">
        <v>63.9</v>
      </c>
      <c r="L225" s="27">
        <v>63.98</v>
      </c>
      <c r="M225" s="27">
        <v>63.9</v>
      </c>
      <c r="N225" s="27">
        <v>63.887500000000003</v>
      </c>
      <c r="O225" s="27">
        <v>18.7</v>
      </c>
      <c r="P225" s="27">
        <v>3.52</v>
      </c>
      <c r="R225" s="27">
        <v>161</v>
      </c>
      <c r="S225" s="27">
        <v>91</v>
      </c>
      <c r="T225" s="27">
        <v>44</v>
      </c>
      <c r="U225" s="27">
        <v>15</v>
      </c>
    </row>
    <row r="226" spans="1:21">
      <c r="A226" s="25" t="s">
        <v>113</v>
      </c>
      <c r="B226" s="293"/>
      <c r="C226" s="25" t="s">
        <v>313</v>
      </c>
      <c r="D226" s="26" t="s">
        <v>408</v>
      </c>
      <c r="E226" s="25">
        <v>4.2</v>
      </c>
      <c r="F226" s="39">
        <v>4.0307101727447199</v>
      </c>
      <c r="G226" s="28">
        <v>1212.8</v>
      </c>
      <c r="H226" s="28">
        <v>721.2</v>
      </c>
      <c r="I226" s="28">
        <v>1216</v>
      </c>
      <c r="J226" s="27">
        <v>63.17</v>
      </c>
      <c r="K226" s="27">
        <v>63.09</v>
      </c>
      <c r="L226" s="27">
        <v>62.95</v>
      </c>
      <c r="M226" s="27">
        <v>63.07</v>
      </c>
      <c r="N226" s="27">
        <v>63.07</v>
      </c>
      <c r="O226" s="27">
        <v>17.13</v>
      </c>
      <c r="P226" s="27">
        <v>2.11</v>
      </c>
      <c r="R226" s="27">
        <v>161</v>
      </c>
      <c r="S226" s="27">
        <v>91</v>
      </c>
      <c r="T226" s="27">
        <v>44</v>
      </c>
      <c r="U226" s="27">
        <v>15</v>
      </c>
    </row>
    <row r="227" spans="1:21">
      <c r="A227" s="25" t="s">
        <v>113</v>
      </c>
      <c r="B227" s="291" t="s">
        <v>261</v>
      </c>
      <c r="C227" s="25" t="s">
        <v>325</v>
      </c>
      <c r="D227" s="26" t="s">
        <v>406</v>
      </c>
      <c r="E227" s="25">
        <v>4.2</v>
      </c>
      <c r="F227" s="39">
        <v>4.0307101727447199</v>
      </c>
      <c r="G227" s="28">
        <v>1207.8</v>
      </c>
      <c r="H227" s="28">
        <v>717.2</v>
      </c>
      <c r="I227" s="28">
        <v>1210.8</v>
      </c>
      <c r="J227" s="27">
        <v>64.08</v>
      </c>
      <c r="K227" s="27">
        <v>63.55</v>
      </c>
      <c r="L227" s="27">
        <v>63.77</v>
      </c>
      <c r="M227" s="27">
        <v>64.02</v>
      </c>
      <c r="N227" s="27">
        <v>63.854999999999997</v>
      </c>
      <c r="O227" s="27">
        <v>17.760000000000002</v>
      </c>
      <c r="P227" s="27">
        <v>2.96</v>
      </c>
      <c r="Q227" s="27">
        <f>100*AVERAGE(O227,O229,O231)/AVERAGEA(O228,O230)</f>
        <v>92.572032778218357</v>
      </c>
      <c r="R227" s="27">
        <v>161</v>
      </c>
      <c r="S227" s="27">
        <v>91</v>
      </c>
      <c r="T227" s="27">
        <v>44</v>
      </c>
      <c r="U227" s="27">
        <v>15</v>
      </c>
    </row>
    <row r="228" spans="1:21">
      <c r="A228" s="25" t="s">
        <v>113</v>
      </c>
      <c r="B228" s="292"/>
      <c r="C228" s="25" t="s">
        <v>325</v>
      </c>
      <c r="D228" s="26" t="s">
        <v>308</v>
      </c>
      <c r="E228" s="25">
        <v>4.2</v>
      </c>
      <c r="F228" s="39">
        <v>4.0307101727447199</v>
      </c>
      <c r="G228" s="28">
        <v>1199.0999999999999</v>
      </c>
      <c r="H228" s="28">
        <v>714.7</v>
      </c>
      <c r="I228" s="28">
        <v>1201</v>
      </c>
      <c r="J228" s="27">
        <v>62.33</v>
      </c>
      <c r="K228" s="27">
        <v>63.25</v>
      </c>
      <c r="L228" s="27">
        <v>62.24</v>
      </c>
      <c r="M228" s="27">
        <v>62.25</v>
      </c>
      <c r="N228" s="27">
        <v>62.517499999999998</v>
      </c>
      <c r="O228" s="27">
        <v>18.73</v>
      </c>
      <c r="P228" s="27">
        <v>1.96</v>
      </c>
      <c r="R228" s="27">
        <v>161</v>
      </c>
      <c r="S228" s="27">
        <v>91</v>
      </c>
      <c r="T228" s="27">
        <v>44</v>
      </c>
      <c r="U228" s="27">
        <v>15</v>
      </c>
    </row>
    <row r="229" spans="1:21">
      <c r="A229" s="25" t="s">
        <v>113</v>
      </c>
      <c r="B229" s="292"/>
      <c r="C229" s="25" t="s">
        <v>325</v>
      </c>
      <c r="D229" s="26" t="s">
        <v>407</v>
      </c>
      <c r="E229" s="25">
        <v>4.2</v>
      </c>
      <c r="F229" s="39">
        <v>4.0307101727447199</v>
      </c>
      <c r="G229" s="28">
        <v>1205.7</v>
      </c>
      <c r="H229" s="28">
        <v>715.6</v>
      </c>
      <c r="I229" s="28">
        <v>1208.8</v>
      </c>
      <c r="J229" s="27">
        <v>63.4</v>
      </c>
      <c r="K229" s="27">
        <v>63.09</v>
      </c>
      <c r="L229" s="27">
        <v>63.08</v>
      </c>
      <c r="M229" s="27">
        <v>63.29</v>
      </c>
      <c r="N229" s="27">
        <v>63.215000000000003</v>
      </c>
      <c r="O229" s="27">
        <v>17.579999999999998</v>
      </c>
      <c r="P229" s="27">
        <v>4.58</v>
      </c>
      <c r="R229" s="27">
        <v>161</v>
      </c>
      <c r="S229" s="27">
        <v>91</v>
      </c>
      <c r="T229" s="27">
        <v>44</v>
      </c>
      <c r="U229" s="27">
        <v>15</v>
      </c>
    </row>
    <row r="230" spans="1:21">
      <c r="A230" s="25" t="s">
        <v>113</v>
      </c>
      <c r="B230" s="292"/>
      <c r="C230" s="25" t="s">
        <v>325</v>
      </c>
      <c r="D230" s="26" t="s">
        <v>310</v>
      </c>
      <c r="E230" s="25">
        <v>4.2</v>
      </c>
      <c r="F230" s="39">
        <v>4.0307101727447199</v>
      </c>
      <c r="G230" s="28">
        <v>1205</v>
      </c>
      <c r="H230" s="28">
        <v>715.9</v>
      </c>
      <c r="I230" s="28">
        <v>1209.2</v>
      </c>
      <c r="J230" s="27">
        <v>63.77</v>
      </c>
      <c r="K230" s="27">
        <v>63.9</v>
      </c>
      <c r="L230" s="27">
        <v>63.98</v>
      </c>
      <c r="M230" s="27">
        <v>63.9</v>
      </c>
      <c r="N230" s="27">
        <v>63.887500000000003</v>
      </c>
      <c r="O230" s="27">
        <v>19.100000000000001</v>
      </c>
      <c r="P230" s="27">
        <v>2.95</v>
      </c>
      <c r="R230" s="27">
        <v>161</v>
      </c>
      <c r="S230" s="27">
        <v>91</v>
      </c>
      <c r="T230" s="27">
        <v>44</v>
      </c>
      <c r="U230" s="27">
        <v>15</v>
      </c>
    </row>
    <row r="231" spans="1:21">
      <c r="A231" s="25" t="s">
        <v>113</v>
      </c>
      <c r="B231" s="292"/>
      <c r="C231" s="25" t="s">
        <v>325</v>
      </c>
      <c r="D231" s="26" t="s">
        <v>408</v>
      </c>
      <c r="E231" s="25">
        <v>4.2</v>
      </c>
      <c r="F231" s="39">
        <v>4.0307101727447199</v>
      </c>
      <c r="G231" s="28">
        <v>1205.7</v>
      </c>
      <c r="H231" s="28">
        <v>715.4</v>
      </c>
      <c r="I231" s="28">
        <v>1208</v>
      </c>
      <c r="J231" s="27">
        <v>63.17</v>
      </c>
      <c r="K231" s="27">
        <v>63.09</v>
      </c>
      <c r="L231" s="27">
        <v>62.95</v>
      </c>
      <c r="M231" s="27">
        <v>63.07</v>
      </c>
      <c r="N231" s="27">
        <v>63.07</v>
      </c>
      <c r="O231" s="27">
        <v>17.190000000000001</v>
      </c>
      <c r="P231" s="27">
        <v>4.2699999999999996</v>
      </c>
      <c r="R231" s="27">
        <v>161</v>
      </c>
      <c r="S231" s="27">
        <v>91</v>
      </c>
      <c r="T231" s="27">
        <v>44</v>
      </c>
      <c r="U231" s="27">
        <v>15</v>
      </c>
    </row>
    <row r="232" spans="1:21">
      <c r="A232" s="25" t="s">
        <v>113</v>
      </c>
      <c r="B232" s="292"/>
      <c r="C232" s="92" t="s">
        <v>417</v>
      </c>
      <c r="D232" s="26" t="s">
        <v>406</v>
      </c>
      <c r="E232" s="25">
        <v>4.2</v>
      </c>
      <c r="F232" s="39">
        <v>4.0307101727447199</v>
      </c>
      <c r="G232" s="28">
        <v>1200.9000000000001</v>
      </c>
      <c r="H232" s="28">
        <v>709.4</v>
      </c>
      <c r="I232" s="28">
        <v>1203.4000000000001</v>
      </c>
      <c r="J232" s="27">
        <v>64.08</v>
      </c>
      <c r="K232" s="27">
        <v>63.55</v>
      </c>
      <c r="L232" s="27">
        <v>63.77</v>
      </c>
      <c r="M232" s="27">
        <v>64.02</v>
      </c>
      <c r="N232" s="27">
        <v>63.854999999999997</v>
      </c>
      <c r="O232" s="27">
        <v>12.75</v>
      </c>
      <c r="P232" s="27">
        <v>3.15</v>
      </c>
      <c r="Q232" s="27">
        <f>100*AVERAGE(O232,O234,O236)/AVERAGEA(O233,O235)</f>
        <v>87.081891580161496</v>
      </c>
      <c r="R232" s="27">
        <v>258</v>
      </c>
      <c r="S232" s="27">
        <v>72</v>
      </c>
      <c r="T232" s="27">
        <v>47.6</v>
      </c>
      <c r="U232" s="27">
        <v>8.1999999999999993</v>
      </c>
    </row>
    <row r="233" spans="1:21">
      <c r="A233" s="25" t="s">
        <v>113</v>
      </c>
      <c r="B233" s="292"/>
      <c r="C233" s="92" t="s">
        <v>417</v>
      </c>
      <c r="D233" s="26" t="s">
        <v>308</v>
      </c>
      <c r="E233" s="25">
        <v>4.2</v>
      </c>
      <c r="F233" s="39">
        <v>4.0307101727447199</v>
      </c>
      <c r="G233" s="28">
        <v>1203.5999999999999</v>
      </c>
      <c r="H233" s="28">
        <v>709.3</v>
      </c>
      <c r="I233" s="28">
        <v>1207.2</v>
      </c>
      <c r="J233" s="27">
        <v>62.33</v>
      </c>
      <c r="K233" s="27">
        <v>63.25</v>
      </c>
      <c r="L233" s="27">
        <v>62.24</v>
      </c>
      <c r="M233" s="27">
        <v>62.25</v>
      </c>
      <c r="N233" s="27">
        <v>62.517499999999998</v>
      </c>
      <c r="O233" s="27">
        <v>14.38</v>
      </c>
      <c r="P233" s="27">
        <v>2.29</v>
      </c>
      <c r="R233" s="27">
        <v>258</v>
      </c>
      <c r="S233" s="27">
        <v>72</v>
      </c>
      <c r="T233" s="27">
        <v>47.6</v>
      </c>
      <c r="U233" s="27">
        <v>8.1999999999999993</v>
      </c>
    </row>
    <row r="234" spans="1:21">
      <c r="A234" s="25" t="s">
        <v>113</v>
      </c>
      <c r="B234" s="292"/>
      <c r="C234" s="92" t="s">
        <v>417</v>
      </c>
      <c r="D234" s="26" t="s">
        <v>407</v>
      </c>
      <c r="E234" s="25">
        <v>4.2</v>
      </c>
      <c r="F234" s="39">
        <v>4.0307101727447199</v>
      </c>
      <c r="G234" s="28">
        <v>1201.3</v>
      </c>
      <c r="H234" s="28">
        <v>710.4</v>
      </c>
      <c r="I234" s="28">
        <v>1204.9000000000001</v>
      </c>
      <c r="J234" s="27">
        <v>63.4</v>
      </c>
      <c r="K234" s="27">
        <v>63.09</v>
      </c>
      <c r="L234" s="27">
        <v>63.08</v>
      </c>
      <c r="M234" s="27">
        <v>63.29</v>
      </c>
      <c r="N234" s="27">
        <v>63.215000000000003</v>
      </c>
      <c r="O234" s="27">
        <v>12.21</v>
      </c>
      <c r="P234" s="27">
        <v>3.99</v>
      </c>
      <c r="R234" s="27">
        <v>258</v>
      </c>
      <c r="S234" s="27">
        <v>72</v>
      </c>
      <c r="T234" s="27">
        <v>47.6</v>
      </c>
      <c r="U234" s="27">
        <v>8.1999999999999993</v>
      </c>
    </row>
    <row r="235" spans="1:21">
      <c r="A235" s="25" t="s">
        <v>113</v>
      </c>
      <c r="B235" s="292"/>
      <c r="C235" s="92" t="s">
        <v>417</v>
      </c>
      <c r="D235" s="26" t="s">
        <v>310</v>
      </c>
      <c r="E235" s="25">
        <v>4.2</v>
      </c>
      <c r="F235" s="39">
        <v>4.0307101727447199</v>
      </c>
      <c r="G235" s="28">
        <v>1200.5999999999999</v>
      </c>
      <c r="H235" s="28">
        <v>706.5</v>
      </c>
      <c r="I235" s="28">
        <v>1203.3</v>
      </c>
      <c r="J235" s="27">
        <v>63.77</v>
      </c>
      <c r="K235" s="27">
        <v>63.9</v>
      </c>
      <c r="L235" s="27">
        <v>63.98</v>
      </c>
      <c r="M235" s="27">
        <v>63.9</v>
      </c>
      <c r="N235" s="27">
        <v>63.887500000000003</v>
      </c>
      <c r="O235" s="27">
        <v>14.52</v>
      </c>
      <c r="P235" s="27">
        <v>1.8</v>
      </c>
      <c r="R235" s="27">
        <v>258</v>
      </c>
      <c r="S235" s="27">
        <v>72</v>
      </c>
      <c r="T235" s="27">
        <v>47.6</v>
      </c>
      <c r="U235" s="27">
        <v>8.1999999999999993</v>
      </c>
    </row>
    <row r="236" spans="1:21">
      <c r="A236" s="25" t="s">
        <v>113</v>
      </c>
      <c r="B236" s="293"/>
      <c r="C236" s="92" t="s">
        <v>417</v>
      </c>
      <c r="D236" s="26" t="s">
        <v>408</v>
      </c>
      <c r="E236" s="25">
        <v>4.2</v>
      </c>
      <c r="F236" s="39">
        <v>4.0307101727447199</v>
      </c>
      <c r="G236" s="28">
        <v>1203.8</v>
      </c>
      <c r="H236" s="28">
        <v>708.4</v>
      </c>
      <c r="I236" s="28">
        <v>1207.9000000000001</v>
      </c>
      <c r="J236" s="27">
        <v>63.17</v>
      </c>
      <c r="K236" s="27">
        <v>63.09</v>
      </c>
      <c r="L236" s="27">
        <v>62.95</v>
      </c>
      <c r="M236" s="27">
        <v>63.07</v>
      </c>
      <c r="N236" s="27">
        <v>63.07</v>
      </c>
      <c r="O236" s="27">
        <v>12.79</v>
      </c>
      <c r="P236" s="27">
        <v>3.9</v>
      </c>
      <c r="R236" s="27">
        <v>258</v>
      </c>
      <c r="S236" s="27">
        <v>72</v>
      </c>
      <c r="T236" s="27">
        <v>47.6</v>
      </c>
      <c r="U236" s="27">
        <v>8.1999999999999993</v>
      </c>
    </row>
    <row r="237" spans="1:21">
      <c r="A237" s="25" t="s">
        <v>114</v>
      </c>
      <c r="B237" s="291" t="s">
        <v>218</v>
      </c>
      <c r="C237" s="25" t="s">
        <v>314</v>
      </c>
      <c r="D237" s="26" t="s">
        <v>406</v>
      </c>
      <c r="E237" s="25">
        <v>5.2</v>
      </c>
      <c r="F237" s="27">
        <v>4.9429657794676798</v>
      </c>
      <c r="G237" s="28">
        <v>1214.9000000000001</v>
      </c>
      <c r="H237" s="28">
        <v>712.3</v>
      </c>
      <c r="I237" s="28">
        <v>1216.7</v>
      </c>
      <c r="J237" s="27">
        <v>64.44</v>
      </c>
      <c r="K237" s="27">
        <v>64.25</v>
      </c>
      <c r="L237" s="27">
        <v>63.93</v>
      </c>
      <c r="M237" s="27">
        <v>64.3</v>
      </c>
      <c r="N237" s="27">
        <v>64.23</v>
      </c>
      <c r="O237" s="27">
        <v>11.25</v>
      </c>
      <c r="P237" s="27">
        <v>3.06</v>
      </c>
      <c r="Q237" s="27">
        <f>100*AVERAGE(O237,O239,O241)/AVERAGEA(O238,O240)</f>
        <v>89.304743339831063</v>
      </c>
      <c r="R237" s="27">
        <v>258</v>
      </c>
      <c r="S237" s="27">
        <v>72</v>
      </c>
      <c r="T237" s="27">
        <v>47.6</v>
      </c>
      <c r="U237" s="27">
        <v>8.1999999999999993</v>
      </c>
    </row>
    <row r="238" spans="1:21">
      <c r="A238" s="25" t="s">
        <v>114</v>
      </c>
      <c r="B238" s="297"/>
      <c r="C238" s="25" t="s">
        <v>314</v>
      </c>
      <c r="D238" s="26" t="s">
        <v>308</v>
      </c>
      <c r="E238" s="25">
        <v>5.2</v>
      </c>
      <c r="F238" s="27">
        <v>4.9429657794676798</v>
      </c>
      <c r="G238" s="28">
        <v>1213</v>
      </c>
      <c r="H238" s="28">
        <v>708.4</v>
      </c>
      <c r="I238" s="28">
        <v>1215</v>
      </c>
      <c r="J238" s="27">
        <v>63.85</v>
      </c>
      <c r="K238" s="27">
        <v>64.13</v>
      </c>
      <c r="L238" s="27">
        <v>64.09</v>
      </c>
      <c r="M238" s="27">
        <v>64</v>
      </c>
      <c r="N238" s="27">
        <v>64.017499999999998</v>
      </c>
      <c r="O238" s="27">
        <v>12.07</v>
      </c>
      <c r="P238" s="27">
        <v>1.91</v>
      </c>
      <c r="R238" s="27">
        <v>258</v>
      </c>
      <c r="S238" s="27">
        <v>72</v>
      </c>
      <c r="T238" s="27">
        <v>47.6</v>
      </c>
      <c r="U238" s="27">
        <v>8.1999999999999993</v>
      </c>
    </row>
    <row r="239" spans="1:21">
      <c r="A239" s="25" t="s">
        <v>114</v>
      </c>
      <c r="B239" s="297"/>
      <c r="C239" s="25" t="s">
        <v>314</v>
      </c>
      <c r="D239" s="26" t="s">
        <v>407</v>
      </c>
      <c r="E239" s="25">
        <v>5.2</v>
      </c>
      <c r="F239" s="27">
        <v>4.9429657794676798</v>
      </c>
      <c r="G239" s="28">
        <v>1208.9000000000001</v>
      </c>
      <c r="H239" s="28">
        <v>706.3</v>
      </c>
      <c r="I239" s="28">
        <v>1210.8</v>
      </c>
      <c r="J239" s="27">
        <v>64.45</v>
      </c>
      <c r="K239" s="27">
        <v>64.2</v>
      </c>
      <c r="L239" s="27">
        <v>64.260000000000005</v>
      </c>
      <c r="M239" s="27">
        <v>64.77</v>
      </c>
      <c r="N239" s="27">
        <v>64.42</v>
      </c>
      <c r="O239" s="27">
        <v>11.01</v>
      </c>
      <c r="P239" s="27">
        <v>2.65</v>
      </c>
      <c r="R239" s="27">
        <v>258</v>
      </c>
      <c r="S239" s="27">
        <v>72</v>
      </c>
      <c r="T239" s="27">
        <v>47.6</v>
      </c>
      <c r="U239" s="27">
        <v>8.1999999999999993</v>
      </c>
    </row>
    <row r="240" spans="1:21">
      <c r="A240" s="25" t="s">
        <v>114</v>
      </c>
      <c r="B240" s="297"/>
      <c r="C240" s="25" t="s">
        <v>314</v>
      </c>
      <c r="D240" s="26" t="s">
        <v>310</v>
      </c>
      <c r="E240" s="25">
        <v>5.2</v>
      </c>
      <c r="F240" s="27">
        <v>4.9429657794676798</v>
      </c>
      <c r="G240" s="28">
        <v>1211.7</v>
      </c>
      <c r="H240" s="28">
        <v>707.9</v>
      </c>
      <c r="I240" s="28">
        <v>1213.9000000000001</v>
      </c>
      <c r="J240" s="27">
        <v>64.180000000000007</v>
      </c>
      <c r="K240" s="27">
        <v>64.290000000000006</v>
      </c>
      <c r="L240" s="27">
        <v>64.14</v>
      </c>
      <c r="M240" s="27">
        <v>64.05</v>
      </c>
      <c r="N240" s="27">
        <v>64.165000000000006</v>
      </c>
      <c r="O240" s="27">
        <v>13.58</v>
      </c>
      <c r="P240" s="27">
        <v>2.23</v>
      </c>
      <c r="R240" s="27">
        <v>258</v>
      </c>
      <c r="S240" s="27">
        <v>72</v>
      </c>
      <c r="T240" s="27">
        <v>47.6</v>
      </c>
      <c r="U240" s="27">
        <v>8.1999999999999993</v>
      </c>
    </row>
    <row r="241" spans="1:21">
      <c r="A241" s="25" t="s">
        <v>114</v>
      </c>
      <c r="B241" s="297"/>
      <c r="C241" s="25" t="s">
        <v>314</v>
      </c>
      <c r="D241" s="26" t="s">
        <v>408</v>
      </c>
      <c r="E241" s="25">
        <v>5.2</v>
      </c>
      <c r="F241" s="27">
        <v>4.9429657794676798</v>
      </c>
      <c r="G241" s="28">
        <v>1212.2</v>
      </c>
      <c r="H241" s="28">
        <v>709.2</v>
      </c>
      <c r="I241" s="28">
        <v>1215.3</v>
      </c>
      <c r="J241" s="27">
        <v>64.650000000000006</v>
      </c>
      <c r="K241" s="27">
        <v>64.489999999999995</v>
      </c>
      <c r="L241" s="27">
        <v>64.569999999999993</v>
      </c>
      <c r="M241" s="27">
        <v>63.01</v>
      </c>
      <c r="N241" s="27">
        <v>64.180000000000007</v>
      </c>
      <c r="O241" s="27">
        <v>12.1</v>
      </c>
      <c r="P241" s="27">
        <v>2.94</v>
      </c>
      <c r="R241" s="27">
        <v>258</v>
      </c>
      <c r="S241" s="27">
        <v>72</v>
      </c>
      <c r="T241" s="27">
        <v>47.6</v>
      </c>
      <c r="U241" s="27">
        <v>8.1999999999999993</v>
      </c>
    </row>
    <row r="242" spans="1:21">
      <c r="A242" s="25" t="s">
        <v>114</v>
      </c>
      <c r="B242" s="297"/>
      <c r="C242" s="25" t="s">
        <v>324</v>
      </c>
      <c r="D242" s="26" t="s">
        <v>406</v>
      </c>
      <c r="E242" s="25">
        <v>5.2</v>
      </c>
      <c r="F242" s="27">
        <v>4.9429657794676798</v>
      </c>
      <c r="G242" s="28">
        <v>1214.8</v>
      </c>
      <c r="H242" s="28">
        <v>706</v>
      </c>
      <c r="I242" s="28">
        <v>1217.2</v>
      </c>
      <c r="J242" s="27">
        <v>64.62</v>
      </c>
      <c r="K242" s="27">
        <v>64.680000000000007</v>
      </c>
      <c r="L242" s="27">
        <v>64.59</v>
      </c>
      <c r="M242" s="27">
        <v>64.489999999999995</v>
      </c>
      <c r="N242" s="27">
        <v>64.594999999999999</v>
      </c>
      <c r="O242" s="27">
        <v>12.95</v>
      </c>
      <c r="P242" s="27">
        <v>3.8</v>
      </c>
      <c r="Q242" s="27">
        <f>100*AVERAGE(O242,O244,O246)/AVERAGEA(O243,O245)</f>
        <v>92.692261691185251</v>
      </c>
      <c r="R242" s="27">
        <v>161</v>
      </c>
      <c r="S242" s="27">
        <v>91</v>
      </c>
      <c r="T242" s="27">
        <v>44</v>
      </c>
      <c r="U242" s="27">
        <v>15</v>
      </c>
    </row>
    <row r="243" spans="1:21">
      <c r="A243" s="25" t="s">
        <v>114</v>
      </c>
      <c r="B243" s="297"/>
      <c r="C243" s="25" t="s">
        <v>324</v>
      </c>
      <c r="D243" s="26" t="s">
        <v>308</v>
      </c>
      <c r="E243" s="25">
        <v>5.2</v>
      </c>
      <c r="F243" s="27">
        <v>4.9429657794676798</v>
      </c>
      <c r="G243" s="28">
        <v>1211.5</v>
      </c>
      <c r="H243" s="28">
        <v>702</v>
      </c>
      <c r="I243" s="28">
        <v>1213.5999999999999</v>
      </c>
      <c r="J243" s="27">
        <v>65.02</v>
      </c>
      <c r="K243" s="27">
        <v>64.75</v>
      </c>
      <c r="L243" s="27">
        <v>64.900000000000006</v>
      </c>
      <c r="M243" s="27">
        <v>64.680000000000007</v>
      </c>
      <c r="N243" s="27">
        <v>64.837500000000006</v>
      </c>
      <c r="O243" s="27">
        <v>14.21</v>
      </c>
      <c r="P243" s="27">
        <v>2.52</v>
      </c>
      <c r="R243" s="27">
        <v>161</v>
      </c>
      <c r="S243" s="27">
        <v>91</v>
      </c>
      <c r="T243" s="27">
        <v>44</v>
      </c>
      <c r="U243" s="27">
        <v>15</v>
      </c>
    </row>
    <row r="244" spans="1:21">
      <c r="A244" s="25" t="s">
        <v>114</v>
      </c>
      <c r="B244" s="297"/>
      <c r="C244" s="25" t="s">
        <v>324</v>
      </c>
      <c r="D244" s="26" t="s">
        <v>407</v>
      </c>
      <c r="E244" s="25">
        <v>5.2</v>
      </c>
      <c r="F244" s="27">
        <v>4.9429657794676798</v>
      </c>
      <c r="G244" s="28">
        <v>1208.4000000000001</v>
      </c>
      <c r="H244" s="28">
        <v>701.1</v>
      </c>
      <c r="I244" s="28">
        <v>1211.8</v>
      </c>
      <c r="J244" s="27">
        <v>64.98</v>
      </c>
      <c r="K244" s="27">
        <v>65</v>
      </c>
      <c r="L244" s="27">
        <v>65.209999999999994</v>
      </c>
      <c r="M244" s="27">
        <v>64.81</v>
      </c>
      <c r="N244" s="27">
        <v>65</v>
      </c>
      <c r="O244" s="27">
        <v>13.23</v>
      </c>
      <c r="P244" s="27">
        <v>3.5</v>
      </c>
      <c r="R244" s="27">
        <v>161</v>
      </c>
      <c r="S244" s="27">
        <v>91</v>
      </c>
      <c r="T244" s="27">
        <v>44</v>
      </c>
      <c r="U244" s="27">
        <v>15</v>
      </c>
    </row>
    <row r="245" spans="1:21">
      <c r="A245" s="25" t="s">
        <v>114</v>
      </c>
      <c r="B245" s="297"/>
      <c r="C245" s="25" t="s">
        <v>324</v>
      </c>
      <c r="D245" s="26" t="s">
        <v>310</v>
      </c>
      <c r="E245" s="25">
        <v>5.2</v>
      </c>
      <c r="F245" s="27">
        <v>4.9429657794676798</v>
      </c>
      <c r="G245" s="28">
        <v>1206.5999999999999</v>
      </c>
      <c r="H245" s="28">
        <v>699.4</v>
      </c>
      <c r="I245" s="28">
        <v>1208.5999999999999</v>
      </c>
      <c r="J245" s="27">
        <v>64.61</v>
      </c>
      <c r="K245" s="27">
        <v>64.91</v>
      </c>
      <c r="L245" s="27">
        <v>64.77</v>
      </c>
      <c r="M245" s="27">
        <v>64.680000000000007</v>
      </c>
      <c r="N245" s="27">
        <v>64.742500000000007</v>
      </c>
      <c r="O245" s="27">
        <v>13.66</v>
      </c>
      <c r="P245" s="27">
        <v>2</v>
      </c>
      <c r="R245" s="27">
        <v>161</v>
      </c>
      <c r="S245" s="27">
        <v>91</v>
      </c>
      <c r="T245" s="27">
        <v>44</v>
      </c>
      <c r="U245" s="27">
        <v>15</v>
      </c>
    </row>
    <row r="246" spans="1:21">
      <c r="A246" s="25" t="s">
        <v>114</v>
      </c>
      <c r="B246" s="298"/>
      <c r="C246" s="25" t="s">
        <v>324</v>
      </c>
      <c r="D246" s="26" t="s">
        <v>408</v>
      </c>
      <c r="E246" s="25">
        <v>5.2</v>
      </c>
      <c r="F246" s="27">
        <v>4.9429657794676798</v>
      </c>
      <c r="G246" s="28">
        <v>1198.2</v>
      </c>
      <c r="H246" s="28">
        <v>695.9</v>
      </c>
      <c r="I246" s="28">
        <v>1203.5999999999999</v>
      </c>
      <c r="J246" s="27">
        <v>64.58</v>
      </c>
      <c r="K246" s="27">
        <v>64.61</v>
      </c>
      <c r="L246" s="27">
        <v>64.8</v>
      </c>
      <c r="M246" s="27">
        <v>64.77</v>
      </c>
      <c r="N246" s="27">
        <v>64.69</v>
      </c>
      <c r="O246" s="27">
        <v>12.57</v>
      </c>
      <c r="P246" s="27">
        <v>4.78</v>
      </c>
      <c r="R246" s="27">
        <v>161</v>
      </c>
      <c r="S246" s="27">
        <v>91</v>
      </c>
      <c r="T246" s="27">
        <v>44</v>
      </c>
      <c r="U246" s="27">
        <v>15</v>
      </c>
    </row>
    <row r="247" spans="1:21">
      <c r="A247" s="25" t="s">
        <v>118</v>
      </c>
      <c r="B247" s="291" t="s">
        <v>218</v>
      </c>
      <c r="C247" s="25" t="s">
        <v>314</v>
      </c>
      <c r="D247" s="26" t="s">
        <v>406</v>
      </c>
      <c r="E247" s="25">
        <v>5.5</v>
      </c>
      <c r="F247" s="27">
        <v>5.2132701421800904</v>
      </c>
      <c r="G247" s="28">
        <v>1236.0999999999999</v>
      </c>
      <c r="H247" s="28">
        <v>731.8</v>
      </c>
      <c r="I247" s="28">
        <v>1238.7</v>
      </c>
      <c r="J247" s="27">
        <v>62.92</v>
      </c>
      <c r="K247" s="27">
        <v>63.16</v>
      </c>
      <c r="L247" s="27">
        <v>62.83</v>
      </c>
      <c r="M247" s="27">
        <v>62.81</v>
      </c>
      <c r="N247" s="27">
        <v>62.93</v>
      </c>
      <c r="O247" s="27">
        <v>22.29</v>
      </c>
      <c r="P247" s="27">
        <v>2.94</v>
      </c>
      <c r="Q247" s="27">
        <f>100*AVERAGE(O247,O248)/AVERAGEA(O249,O250)</f>
        <v>87.813757424794019</v>
      </c>
      <c r="R247" s="27">
        <v>258</v>
      </c>
      <c r="S247" s="27">
        <v>72</v>
      </c>
      <c r="T247" s="27">
        <v>47.6</v>
      </c>
      <c r="U247" s="27">
        <v>8.1999999999999993</v>
      </c>
    </row>
    <row r="248" spans="1:21">
      <c r="A248" s="25" t="s">
        <v>118</v>
      </c>
      <c r="B248" s="292"/>
      <c r="C248" s="25" t="s">
        <v>314</v>
      </c>
      <c r="D248" s="26" t="s">
        <v>410</v>
      </c>
      <c r="E248" s="25">
        <v>5.5</v>
      </c>
      <c r="F248" s="27">
        <v>5.2132701421800904</v>
      </c>
      <c r="G248" s="28">
        <v>1237.8</v>
      </c>
      <c r="H248" s="28">
        <v>733.3</v>
      </c>
      <c r="I248" s="28">
        <v>1240.0999999999999</v>
      </c>
      <c r="J248" s="27">
        <v>62.97</v>
      </c>
      <c r="K248" s="27">
        <v>63.06</v>
      </c>
      <c r="L248" s="27">
        <v>63.08</v>
      </c>
      <c r="M248" s="27">
        <v>62.87</v>
      </c>
      <c r="N248" s="27">
        <v>62.994999999999997</v>
      </c>
      <c r="O248" s="27">
        <v>23.54</v>
      </c>
      <c r="P248" s="27">
        <v>2.2599999999999998</v>
      </c>
      <c r="R248" s="27">
        <v>258</v>
      </c>
      <c r="S248" s="27">
        <v>72</v>
      </c>
      <c r="T248" s="27">
        <v>47.6</v>
      </c>
      <c r="U248" s="27">
        <v>8.1999999999999993</v>
      </c>
    </row>
    <row r="249" spans="1:21">
      <c r="A249" s="25" t="s">
        <v>118</v>
      </c>
      <c r="B249" s="292"/>
      <c r="C249" s="25" t="s">
        <v>314</v>
      </c>
      <c r="D249" s="26" t="s">
        <v>309</v>
      </c>
      <c r="E249" s="25">
        <v>5.5</v>
      </c>
      <c r="F249" s="27">
        <v>5.2132701421800904</v>
      </c>
      <c r="G249" s="28">
        <v>1234.8</v>
      </c>
      <c r="H249" s="28">
        <v>730.7</v>
      </c>
      <c r="I249" s="28">
        <v>1236.9000000000001</v>
      </c>
      <c r="J249" s="27">
        <v>63.11</v>
      </c>
      <c r="K249" s="27">
        <v>63.52</v>
      </c>
      <c r="L249" s="27">
        <v>64.12</v>
      </c>
      <c r="M249" s="27">
        <v>63.7</v>
      </c>
      <c r="N249" s="27">
        <v>63.612499999999997</v>
      </c>
      <c r="O249" s="27">
        <v>25.31</v>
      </c>
      <c r="P249" s="27">
        <v>2.17</v>
      </c>
      <c r="R249" s="27">
        <v>258</v>
      </c>
      <c r="S249" s="27">
        <v>72</v>
      </c>
      <c r="T249" s="27">
        <v>47.6</v>
      </c>
      <c r="U249" s="27">
        <v>8.1999999999999993</v>
      </c>
    </row>
    <row r="250" spans="1:21" ht="14.4">
      <c r="A250" s="25" t="s">
        <v>118</v>
      </c>
      <c r="B250" s="292"/>
      <c r="C250" s="25" t="s">
        <v>314</v>
      </c>
      <c r="D250" s="93" t="s">
        <v>310</v>
      </c>
      <c r="E250" s="25">
        <v>5.5</v>
      </c>
      <c r="F250" s="27">
        <v>5.2132701421800904</v>
      </c>
      <c r="G250" s="28">
        <v>1233.9000000000001</v>
      </c>
      <c r="H250" s="28">
        <v>729.6</v>
      </c>
      <c r="I250" s="28">
        <v>1235.9000000000001</v>
      </c>
      <c r="J250" s="27">
        <v>62.96</v>
      </c>
      <c r="K250" s="27">
        <v>62.6</v>
      </c>
      <c r="L250" s="27">
        <v>63.13</v>
      </c>
      <c r="M250" s="27">
        <v>62.63</v>
      </c>
      <c r="N250" s="27">
        <v>62.83</v>
      </c>
      <c r="O250" s="27">
        <v>26.88</v>
      </c>
      <c r="P250" s="27">
        <v>2.82</v>
      </c>
      <c r="R250" s="27">
        <v>258</v>
      </c>
      <c r="S250" s="27">
        <v>72</v>
      </c>
      <c r="T250" s="27">
        <v>47.6</v>
      </c>
      <c r="U250" s="27">
        <v>8.1999999999999993</v>
      </c>
    </row>
    <row r="251" spans="1:21">
      <c r="A251" s="25" t="s">
        <v>118</v>
      </c>
      <c r="B251" s="292"/>
      <c r="C251" s="25" t="s">
        <v>332</v>
      </c>
      <c r="D251" s="26" t="s">
        <v>406</v>
      </c>
      <c r="E251" s="25">
        <v>5.5</v>
      </c>
      <c r="F251" s="27">
        <v>5.2132701421800904</v>
      </c>
      <c r="G251" s="28">
        <v>1235.3</v>
      </c>
      <c r="H251" s="28">
        <v>728.5</v>
      </c>
      <c r="I251" s="28">
        <v>1239.5</v>
      </c>
      <c r="J251" s="27">
        <v>64.599999999999994</v>
      </c>
      <c r="K251" s="27">
        <v>63.15</v>
      </c>
      <c r="L251" s="27">
        <v>64.59</v>
      </c>
      <c r="M251" s="27">
        <v>64.08</v>
      </c>
      <c r="N251" s="27">
        <v>64.105000000000004</v>
      </c>
      <c r="O251" s="27">
        <v>14.69</v>
      </c>
      <c r="P251" s="27">
        <v>3.23</v>
      </c>
      <c r="Q251" s="27">
        <f>100*AVERAGE(O251,O252)/AVERAGEA(O253,O254)</f>
        <v>86.170814479638011</v>
      </c>
      <c r="R251" s="27">
        <v>144</v>
      </c>
      <c r="S251" s="27">
        <v>107.8</v>
      </c>
      <c r="T251" s="27">
        <v>43.95</v>
      </c>
      <c r="U251" s="27">
        <v>60.3</v>
      </c>
    </row>
    <row r="252" spans="1:21">
      <c r="A252" s="25" t="s">
        <v>118</v>
      </c>
      <c r="B252" s="292"/>
      <c r="C252" s="25" t="s">
        <v>332</v>
      </c>
      <c r="D252" s="26" t="s">
        <v>410</v>
      </c>
      <c r="E252" s="25">
        <v>5.5</v>
      </c>
      <c r="F252" s="27">
        <v>5.2132701421800904</v>
      </c>
      <c r="G252" s="28">
        <v>1230.3</v>
      </c>
      <c r="H252" s="28">
        <v>727.7</v>
      </c>
      <c r="I252" s="28">
        <v>1232.9000000000001</v>
      </c>
      <c r="J252" s="27">
        <v>64.150000000000006</v>
      </c>
      <c r="K252" s="27">
        <v>63.85</v>
      </c>
      <c r="L252" s="27">
        <v>64.239999999999995</v>
      </c>
      <c r="M252" s="27">
        <v>64.739999999999995</v>
      </c>
      <c r="N252" s="27">
        <v>64.245000000000005</v>
      </c>
      <c r="O252" s="27">
        <v>15.78</v>
      </c>
      <c r="P252" s="27">
        <v>2</v>
      </c>
      <c r="R252" s="27">
        <v>144</v>
      </c>
      <c r="S252" s="27">
        <v>107.8</v>
      </c>
      <c r="T252" s="27">
        <v>43.95</v>
      </c>
      <c r="U252" s="27">
        <v>60.3</v>
      </c>
    </row>
    <row r="253" spans="1:21">
      <c r="A253" s="25" t="s">
        <v>118</v>
      </c>
      <c r="B253" s="292"/>
      <c r="C253" s="25" t="s">
        <v>332</v>
      </c>
      <c r="D253" s="26" t="s">
        <v>309</v>
      </c>
      <c r="E253" s="25">
        <v>5.5</v>
      </c>
      <c r="F253" s="27">
        <v>5.2132701421800904</v>
      </c>
      <c r="G253" s="28">
        <v>1232.9000000000001</v>
      </c>
      <c r="H253" s="28">
        <v>728.3</v>
      </c>
      <c r="I253" s="28">
        <v>1235.0999999999999</v>
      </c>
      <c r="J253" s="27">
        <v>63.97</v>
      </c>
      <c r="K253" s="27">
        <v>63.85</v>
      </c>
      <c r="L253" s="27">
        <v>63.91</v>
      </c>
      <c r="M253" s="27">
        <v>64.34</v>
      </c>
      <c r="N253" s="27">
        <v>64.017499999999998</v>
      </c>
      <c r="O253" s="27">
        <v>18.399999999999999</v>
      </c>
      <c r="P253" s="27">
        <v>1.83</v>
      </c>
      <c r="R253" s="27">
        <v>144</v>
      </c>
      <c r="S253" s="27">
        <v>107.8</v>
      </c>
      <c r="T253" s="27">
        <v>43.95</v>
      </c>
      <c r="U253" s="27">
        <v>60.3</v>
      </c>
    </row>
    <row r="254" spans="1:21" ht="14.4">
      <c r="A254" s="25" t="s">
        <v>118</v>
      </c>
      <c r="B254" s="292"/>
      <c r="C254" s="25" t="s">
        <v>332</v>
      </c>
      <c r="D254" s="93" t="s">
        <v>310</v>
      </c>
      <c r="E254" s="25">
        <v>5.5</v>
      </c>
      <c r="F254" s="27">
        <v>5.2132701421800904</v>
      </c>
      <c r="G254" s="28">
        <v>1234.5999999999999</v>
      </c>
      <c r="H254" s="28">
        <v>728.4</v>
      </c>
      <c r="I254" s="28">
        <v>1237.0999999999999</v>
      </c>
      <c r="J254" s="27">
        <v>64.66</v>
      </c>
      <c r="K254" s="27">
        <v>64.22</v>
      </c>
      <c r="L254" s="27">
        <v>64.11</v>
      </c>
      <c r="M254" s="27">
        <v>64.36</v>
      </c>
      <c r="N254" s="27">
        <v>64.337500000000006</v>
      </c>
      <c r="O254" s="27">
        <v>16.96</v>
      </c>
      <c r="P254" s="27">
        <v>2.2200000000000002</v>
      </c>
      <c r="R254" s="27">
        <v>144</v>
      </c>
      <c r="S254" s="27">
        <v>107.8</v>
      </c>
      <c r="T254" s="27">
        <v>43.95</v>
      </c>
      <c r="U254" s="27">
        <v>60.3</v>
      </c>
    </row>
    <row r="255" spans="1:21">
      <c r="A255" s="25" t="s">
        <v>118</v>
      </c>
      <c r="B255" s="292"/>
      <c r="C255" s="25" t="s">
        <v>333</v>
      </c>
      <c r="D255" s="26" t="s">
        <v>406</v>
      </c>
      <c r="E255" s="25">
        <v>5.5</v>
      </c>
      <c r="F255" s="27">
        <v>5.2132701421800904</v>
      </c>
      <c r="G255" s="28">
        <v>1232.7</v>
      </c>
      <c r="H255" s="28">
        <v>727.8</v>
      </c>
      <c r="I255" s="28">
        <v>1235.4000000000001</v>
      </c>
      <c r="J255" s="27">
        <v>62.41</v>
      </c>
      <c r="K255" s="27">
        <v>62.69</v>
      </c>
      <c r="L255" s="27">
        <v>62.35</v>
      </c>
      <c r="M255" s="27">
        <v>62.33</v>
      </c>
      <c r="N255" s="27">
        <v>62.445</v>
      </c>
      <c r="O255" s="27">
        <v>16.46</v>
      </c>
      <c r="P255" s="27">
        <v>1.41</v>
      </c>
      <c r="Q255" s="27">
        <f>100*AVERAGE(O255,O256)/AVERAGEA(O257,O258)</f>
        <v>87.265376840889402</v>
      </c>
      <c r="R255" s="27">
        <v>144</v>
      </c>
      <c r="S255" s="27">
        <v>107.8</v>
      </c>
      <c r="T255" s="27">
        <v>43.95</v>
      </c>
      <c r="U255" s="27">
        <v>60.3</v>
      </c>
    </row>
    <row r="256" spans="1:21">
      <c r="A256" s="25" t="s">
        <v>118</v>
      </c>
      <c r="B256" s="292"/>
      <c r="C256" s="25" t="s">
        <v>333</v>
      </c>
      <c r="D256" s="26" t="s">
        <v>410</v>
      </c>
      <c r="E256" s="25">
        <v>5.5</v>
      </c>
      <c r="F256" s="27">
        <v>5.2132701421800904</v>
      </c>
      <c r="G256" s="28">
        <v>1227.4000000000001</v>
      </c>
      <c r="H256" s="28">
        <v>724.6</v>
      </c>
      <c r="I256" s="28">
        <v>1231.2</v>
      </c>
      <c r="J256" s="27">
        <v>62.6</v>
      </c>
      <c r="K256" s="27">
        <v>61.82</v>
      </c>
      <c r="L256" s="27">
        <v>62.26</v>
      </c>
      <c r="M256" s="27">
        <v>62.39</v>
      </c>
      <c r="N256" s="27">
        <v>62.267499999999998</v>
      </c>
      <c r="O256" s="27">
        <v>13.76</v>
      </c>
      <c r="P256" s="27">
        <v>2.3199999999999998</v>
      </c>
      <c r="R256" s="27">
        <v>144</v>
      </c>
      <c r="S256" s="27">
        <v>107.8</v>
      </c>
      <c r="T256" s="27">
        <v>43.95</v>
      </c>
      <c r="U256" s="27">
        <v>60.3</v>
      </c>
    </row>
    <row r="257" spans="1:21">
      <c r="A257" s="25" t="s">
        <v>118</v>
      </c>
      <c r="B257" s="292"/>
      <c r="C257" s="25" t="s">
        <v>333</v>
      </c>
      <c r="D257" s="26" t="s">
        <v>309</v>
      </c>
      <c r="E257" s="25">
        <v>5.5</v>
      </c>
      <c r="F257" s="27">
        <v>5.2132701421800904</v>
      </c>
      <c r="G257" s="28">
        <v>1229.5999999999999</v>
      </c>
      <c r="H257" s="28">
        <v>724.7</v>
      </c>
      <c r="I257" s="28">
        <v>1231.8</v>
      </c>
      <c r="J257" s="27">
        <v>63.12</v>
      </c>
      <c r="K257" s="27">
        <v>63.8</v>
      </c>
      <c r="L257" s="27">
        <v>63.42</v>
      </c>
      <c r="M257" s="27">
        <v>63.82</v>
      </c>
      <c r="N257" s="27">
        <v>63.54</v>
      </c>
      <c r="O257" s="27">
        <v>18.170000000000002</v>
      </c>
      <c r="P257" s="27">
        <v>2.96</v>
      </c>
      <c r="R257" s="27">
        <v>144</v>
      </c>
      <c r="S257" s="27">
        <v>107.8</v>
      </c>
      <c r="T257" s="27">
        <v>43.95</v>
      </c>
      <c r="U257" s="27">
        <v>60.3</v>
      </c>
    </row>
    <row r="258" spans="1:21" ht="14.4">
      <c r="A258" s="25" t="s">
        <v>118</v>
      </c>
      <c r="B258" s="293"/>
      <c r="C258" s="25" t="s">
        <v>333</v>
      </c>
      <c r="D258" s="93" t="s">
        <v>310</v>
      </c>
      <c r="E258" s="25">
        <v>5.5</v>
      </c>
      <c r="F258" s="27">
        <v>5.2132701421800904</v>
      </c>
      <c r="G258" s="28">
        <v>1225.4000000000001</v>
      </c>
      <c r="H258" s="28">
        <v>721.1</v>
      </c>
      <c r="I258" s="28">
        <v>1228</v>
      </c>
      <c r="J258" s="27">
        <v>63.73</v>
      </c>
      <c r="K258" s="27">
        <v>63.7</v>
      </c>
      <c r="L258" s="27">
        <v>63.35</v>
      </c>
      <c r="M258" s="27">
        <v>62.94</v>
      </c>
      <c r="N258" s="27">
        <v>63.43</v>
      </c>
      <c r="O258" s="27">
        <v>16.46</v>
      </c>
      <c r="P258" s="27">
        <v>2.34</v>
      </c>
      <c r="R258" s="27">
        <v>144</v>
      </c>
      <c r="S258" s="27">
        <v>107.8</v>
      </c>
      <c r="T258" s="27">
        <v>43.95</v>
      </c>
      <c r="U258" s="27">
        <v>60.3</v>
      </c>
    </row>
    <row r="259" spans="1:21">
      <c r="A259" s="25" t="s">
        <v>119</v>
      </c>
      <c r="B259" s="291" t="s">
        <v>245</v>
      </c>
      <c r="C259" s="25" t="s">
        <v>324</v>
      </c>
      <c r="D259" s="26" t="s">
        <v>406</v>
      </c>
      <c r="E259" s="25">
        <v>4.2</v>
      </c>
      <c r="F259" s="39">
        <v>4.0307101727447199</v>
      </c>
      <c r="G259" s="28">
        <v>1194.3</v>
      </c>
      <c r="H259" s="28">
        <v>694.1</v>
      </c>
      <c r="I259" s="28">
        <v>1196.4000000000001</v>
      </c>
      <c r="J259" s="27">
        <v>64.48</v>
      </c>
      <c r="K259" s="27">
        <v>64.87</v>
      </c>
      <c r="L259" s="27">
        <v>64.23</v>
      </c>
      <c r="M259" s="27">
        <v>64.760000000000005</v>
      </c>
      <c r="N259" s="27">
        <v>64.584999999999994</v>
      </c>
      <c r="O259" s="27">
        <v>16.25</v>
      </c>
      <c r="P259" s="27">
        <v>3.07</v>
      </c>
      <c r="Q259" s="27">
        <f>100*AVERAGE(O259,O261,O263)/AVERAGEA(O260,O262)</f>
        <v>88.604840902909984</v>
      </c>
      <c r="R259" s="27">
        <v>161</v>
      </c>
      <c r="S259" s="27">
        <v>91</v>
      </c>
      <c r="T259" s="27">
        <v>44</v>
      </c>
      <c r="U259" s="27">
        <v>15</v>
      </c>
    </row>
    <row r="260" spans="1:21">
      <c r="A260" s="25" t="s">
        <v>119</v>
      </c>
      <c r="B260" s="292"/>
      <c r="C260" s="25" t="s">
        <v>324</v>
      </c>
      <c r="D260" s="26" t="s">
        <v>308</v>
      </c>
      <c r="E260" s="25">
        <v>4.2</v>
      </c>
      <c r="F260" s="39">
        <v>4.0307101727447199</v>
      </c>
      <c r="G260" s="28">
        <v>1197.0999999999999</v>
      </c>
      <c r="H260" s="28">
        <v>697.6</v>
      </c>
      <c r="I260" s="28">
        <v>1199.9000000000001</v>
      </c>
      <c r="J260" s="27">
        <v>63.3</v>
      </c>
      <c r="K260" s="27">
        <v>63.98</v>
      </c>
      <c r="L260" s="27">
        <v>64.03</v>
      </c>
      <c r="M260" s="27">
        <v>62.97</v>
      </c>
      <c r="N260" s="27">
        <v>63.57</v>
      </c>
      <c r="O260" s="27">
        <v>19.22</v>
      </c>
      <c r="P260" s="27">
        <v>2.97</v>
      </c>
      <c r="R260" s="27">
        <v>161</v>
      </c>
      <c r="S260" s="27">
        <v>91</v>
      </c>
      <c r="T260" s="27">
        <v>44</v>
      </c>
      <c r="U260" s="27">
        <v>15</v>
      </c>
    </row>
    <row r="261" spans="1:21">
      <c r="A261" s="25" t="s">
        <v>119</v>
      </c>
      <c r="B261" s="292"/>
      <c r="C261" s="25" t="s">
        <v>324</v>
      </c>
      <c r="D261" s="26" t="s">
        <v>407</v>
      </c>
      <c r="E261" s="25">
        <v>4.2</v>
      </c>
      <c r="F261" s="39">
        <v>4.0307101727447199</v>
      </c>
      <c r="G261" s="28">
        <v>1184.2</v>
      </c>
      <c r="H261" s="28">
        <v>688.5</v>
      </c>
      <c r="I261" s="28">
        <v>1185.8</v>
      </c>
      <c r="J261" s="27">
        <v>63.14</v>
      </c>
      <c r="K261" s="27">
        <v>63.5</v>
      </c>
      <c r="L261" s="27">
        <v>63.54</v>
      </c>
      <c r="M261" s="27">
        <v>63.18</v>
      </c>
      <c r="N261" s="27">
        <v>63.34</v>
      </c>
      <c r="O261" s="27">
        <v>16.68</v>
      </c>
      <c r="P261" s="27">
        <v>2.63</v>
      </c>
      <c r="R261" s="27">
        <v>161</v>
      </c>
      <c r="S261" s="27">
        <v>91</v>
      </c>
      <c r="T261" s="27">
        <v>44</v>
      </c>
      <c r="U261" s="27">
        <v>15</v>
      </c>
    </row>
    <row r="262" spans="1:21">
      <c r="A262" s="25" t="s">
        <v>119</v>
      </c>
      <c r="B262" s="292"/>
      <c r="C262" s="25" t="s">
        <v>324</v>
      </c>
      <c r="D262" s="26" t="s">
        <v>310</v>
      </c>
      <c r="E262" s="25">
        <v>4.2</v>
      </c>
      <c r="F262" s="39">
        <v>4.0307101727447199</v>
      </c>
      <c r="G262" s="28">
        <v>1192.9000000000001</v>
      </c>
      <c r="H262" s="28">
        <v>691</v>
      </c>
      <c r="I262" s="28">
        <v>1194.3</v>
      </c>
      <c r="J262" s="27">
        <v>64.62</v>
      </c>
      <c r="K262" s="27">
        <v>64.63</v>
      </c>
      <c r="L262" s="27">
        <v>64.349999999999994</v>
      </c>
      <c r="M262" s="27">
        <v>64.72</v>
      </c>
      <c r="N262" s="27">
        <v>64.58</v>
      </c>
      <c r="O262" s="27">
        <v>17.55</v>
      </c>
      <c r="P262" s="27">
        <v>2.23</v>
      </c>
      <c r="R262" s="27">
        <v>161</v>
      </c>
      <c r="S262" s="27">
        <v>91</v>
      </c>
      <c r="T262" s="27">
        <v>44</v>
      </c>
      <c r="U262" s="27">
        <v>15</v>
      </c>
    </row>
    <row r="263" spans="1:21">
      <c r="A263" s="25" t="s">
        <v>119</v>
      </c>
      <c r="B263" s="293"/>
      <c r="C263" s="25" t="s">
        <v>324</v>
      </c>
      <c r="D263" s="26" t="s">
        <v>408</v>
      </c>
      <c r="E263" s="25">
        <v>4.2</v>
      </c>
      <c r="F263" s="39">
        <v>4.0307101727447199</v>
      </c>
      <c r="G263" s="28">
        <v>1191.5</v>
      </c>
      <c r="H263" s="28">
        <v>690.4</v>
      </c>
      <c r="I263" s="28">
        <v>1194.5999999999999</v>
      </c>
      <c r="J263" s="27">
        <v>64.61</v>
      </c>
      <c r="K263" s="27">
        <v>64.069999999999993</v>
      </c>
      <c r="L263" s="27">
        <v>64.78</v>
      </c>
      <c r="M263" s="27">
        <v>64.67</v>
      </c>
      <c r="N263" s="27">
        <v>64.532499999999999</v>
      </c>
      <c r="O263" s="27">
        <v>15.94</v>
      </c>
      <c r="P263" s="27">
        <v>3.41</v>
      </c>
      <c r="R263" s="27">
        <v>161</v>
      </c>
      <c r="S263" s="27">
        <v>91</v>
      </c>
      <c r="T263" s="27">
        <v>44</v>
      </c>
      <c r="U263" s="27">
        <v>15</v>
      </c>
    </row>
    <row r="264" spans="1:21">
      <c r="A264" s="25" t="s">
        <v>123</v>
      </c>
      <c r="B264" s="291" t="s">
        <v>218</v>
      </c>
      <c r="C264" s="25" t="s">
        <v>304</v>
      </c>
      <c r="D264" s="26" t="s">
        <v>406</v>
      </c>
      <c r="E264" s="25">
        <v>4.8</v>
      </c>
      <c r="F264" s="27">
        <v>4.58</v>
      </c>
      <c r="G264" s="28">
        <v>1221.8</v>
      </c>
      <c r="H264" s="28">
        <v>723.3</v>
      </c>
      <c r="I264" s="28">
        <v>1223</v>
      </c>
      <c r="J264" s="27">
        <v>63.5</v>
      </c>
      <c r="K264" s="27">
        <v>63.27</v>
      </c>
      <c r="L264" s="27">
        <v>63.24</v>
      </c>
      <c r="M264" s="27">
        <v>63.35</v>
      </c>
      <c r="N264" s="27">
        <v>63.34</v>
      </c>
      <c r="O264" s="27">
        <v>14.3</v>
      </c>
      <c r="P264" s="27">
        <v>3.83</v>
      </c>
      <c r="Q264" s="27">
        <v>93.43</v>
      </c>
      <c r="R264" s="27">
        <v>144</v>
      </c>
      <c r="S264" s="27">
        <v>107.8</v>
      </c>
      <c r="T264" s="27">
        <v>43.95</v>
      </c>
      <c r="U264" s="27">
        <v>60.3</v>
      </c>
    </row>
    <row r="265" spans="1:21">
      <c r="A265" s="25" t="s">
        <v>123</v>
      </c>
      <c r="B265" s="292"/>
      <c r="C265" s="25" t="s">
        <v>304</v>
      </c>
      <c r="D265" s="26" t="s">
        <v>308</v>
      </c>
      <c r="E265" s="25">
        <v>4.8</v>
      </c>
      <c r="F265" s="27">
        <v>4.58</v>
      </c>
      <c r="G265" s="28">
        <v>1224.0999999999999</v>
      </c>
      <c r="H265" s="28">
        <v>724.4</v>
      </c>
      <c r="I265" s="28">
        <v>1225.5999999999999</v>
      </c>
      <c r="J265" s="27">
        <v>63.94</v>
      </c>
      <c r="K265" s="27">
        <v>64.040000000000006</v>
      </c>
      <c r="L265" s="27">
        <v>63.98</v>
      </c>
      <c r="M265" s="27">
        <v>64.11</v>
      </c>
      <c r="N265" s="27">
        <v>64.02</v>
      </c>
      <c r="O265" s="27">
        <v>14.27</v>
      </c>
      <c r="P265" s="27">
        <v>2.66</v>
      </c>
      <c r="R265" s="27">
        <v>144</v>
      </c>
      <c r="S265" s="27">
        <v>107.8</v>
      </c>
      <c r="T265" s="27">
        <v>43.95</v>
      </c>
      <c r="U265" s="27">
        <v>60.3</v>
      </c>
    </row>
    <row r="266" spans="1:21">
      <c r="A266" s="25" t="s">
        <v>123</v>
      </c>
      <c r="B266" s="292"/>
      <c r="C266" s="25" t="s">
        <v>304</v>
      </c>
      <c r="D266" s="26" t="s">
        <v>407</v>
      </c>
      <c r="E266" s="25">
        <v>4.8</v>
      </c>
      <c r="F266" s="27">
        <v>4.58</v>
      </c>
      <c r="G266" s="28">
        <v>1220.0999999999999</v>
      </c>
      <c r="H266" s="28">
        <v>723.4</v>
      </c>
      <c r="I266" s="28">
        <v>1222.0999999999999</v>
      </c>
      <c r="J266" s="27">
        <v>63.92</v>
      </c>
      <c r="K266" s="27">
        <v>63.88</v>
      </c>
      <c r="L266" s="27">
        <v>64.13</v>
      </c>
      <c r="M266" s="27">
        <v>64</v>
      </c>
      <c r="N266" s="27">
        <v>63.98</v>
      </c>
      <c r="O266" s="27">
        <v>14.2</v>
      </c>
      <c r="P266" s="27">
        <v>3.41</v>
      </c>
      <c r="R266" s="27">
        <v>144</v>
      </c>
      <c r="S266" s="27">
        <v>107.8</v>
      </c>
      <c r="T266" s="27">
        <v>43.95</v>
      </c>
      <c r="U266" s="27">
        <v>60.3</v>
      </c>
    </row>
    <row r="267" spans="1:21">
      <c r="A267" s="25" t="s">
        <v>123</v>
      </c>
      <c r="B267" s="292"/>
      <c r="C267" s="25" t="s">
        <v>304</v>
      </c>
      <c r="D267" s="26" t="s">
        <v>310</v>
      </c>
      <c r="E267" s="25">
        <v>4.8</v>
      </c>
      <c r="F267" s="27">
        <v>4.58</v>
      </c>
      <c r="G267" s="28">
        <v>1225.3</v>
      </c>
      <c r="H267" s="28">
        <v>729.1</v>
      </c>
      <c r="I267" s="28">
        <v>1227.5999999999999</v>
      </c>
      <c r="J267" s="27">
        <v>63.56</v>
      </c>
      <c r="K267" s="27">
        <v>63.64</v>
      </c>
      <c r="L267" s="27">
        <v>63.91</v>
      </c>
      <c r="M267" s="27">
        <v>63.9</v>
      </c>
      <c r="N267" s="27">
        <v>63.75</v>
      </c>
      <c r="O267" s="27">
        <v>15.4</v>
      </c>
      <c r="P267" s="27">
        <v>2.4900000000000002</v>
      </c>
      <c r="R267" s="27">
        <v>144</v>
      </c>
      <c r="S267" s="27">
        <v>107.8</v>
      </c>
      <c r="T267" s="27">
        <v>43.95</v>
      </c>
      <c r="U267" s="27">
        <v>60.3</v>
      </c>
    </row>
    <row r="268" spans="1:21">
      <c r="A268" s="25" t="s">
        <v>123</v>
      </c>
      <c r="B268" s="293"/>
      <c r="C268" s="25" t="s">
        <v>304</v>
      </c>
      <c r="D268" s="26" t="s">
        <v>408</v>
      </c>
      <c r="E268" s="25">
        <v>4.8</v>
      </c>
      <c r="F268" s="27">
        <v>4.58</v>
      </c>
      <c r="G268" s="28">
        <v>1230.8</v>
      </c>
      <c r="H268" s="28">
        <v>732.2</v>
      </c>
      <c r="I268" s="28">
        <v>1231.8</v>
      </c>
      <c r="J268" s="27">
        <v>63.1</v>
      </c>
      <c r="K268" s="27">
        <v>62.76</v>
      </c>
      <c r="L268" s="27">
        <v>62.94</v>
      </c>
      <c r="M268" s="27">
        <v>62.94</v>
      </c>
      <c r="N268" s="27">
        <v>62.94</v>
      </c>
      <c r="O268" s="27">
        <v>13.08</v>
      </c>
      <c r="P268" s="27">
        <v>3.27</v>
      </c>
      <c r="R268" s="27">
        <v>144</v>
      </c>
      <c r="S268" s="27">
        <v>107.8</v>
      </c>
      <c r="T268" s="27">
        <v>43.95</v>
      </c>
      <c r="U268" s="27">
        <v>60.3</v>
      </c>
    </row>
    <row r="269" spans="1:21">
      <c r="A269" s="25" t="s">
        <v>124</v>
      </c>
      <c r="B269" s="291" t="s">
        <v>254</v>
      </c>
      <c r="C269" s="25" t="s">
        <v>306</v>
      </c>
      <c r="D269" s="26" t="s">
        <v>406</v>
      </c>
      <c r="E269" s="25">
        <v>4.5999999999999996</v>
      </c>
      <c r="F269" s="27">
        <v>4.4000000000000004</v>
      </c>
      <c r="G269" s="28">
        <v>1211.5</v>
      </c>
      <c r="H269" s="28">
        <v>707.6</v>
      </c>
      <c r="I269" s="28">
        <v>1213.9000000000001</v>
      </c>
      <c r="J269" s="27">
        <v>63.5</v>
      </c>
      <c r="K269" s="27">
        <v>63.27</v>
      </c>
      <c r="L269" s="27">
        <v>63.24</v>
      </c>
      <c r="M269" s="27">
        <v>63.35</v>
      </c>
      <c r="N269" s="27">
        <v>63.34</v>
      </c>
      <c r="O269" s="27">
        <v>12.76</v>
      </c>
      <c r="P269" s="27">
        <v>3.29</v>
      </c>
      <c r="Q269" s="27">
        <v>89.6</v>
      </c>
      <c r="R269" s="27">
        <v>161</v>
      </c>
      <c r="S269" s="27">
        <v>91</v>
      </c>
      <c r="T269" s="27">
        <v>44</v>
      </c>
      <c r="U269" s="27">
        <v>15</v>
      </c>
    </row>
    <row r="270" spans="1:21">
      <c r="A270" s="25" t="s">
        <v>124</v>
      </c>
      <c r="B270" s="292"/>
      <c r="C270" s="25" t="s">
        <v>306</v>
      </c>
      <c r="D270" s="26" t="s">
        <v>308</v>
      </c>
      <c r="E270" s="25">
        <v>4.5999999999999996</v>
      </c>
      <c r="F270" s="27">
        <v>4.4000000000000004</v>
      </c>
      <c r="G270" s="28">
        <v>1210.8</v>
      </c>
      <c r="H270" s="28">
        <v>707.2</v>
      </c>
      <c r="I270" s="28">
        <v>1214.4000000000001</v>
      </c>
      <c r="J270" s="27">
        <v>63.94</v>
      </c>
      <c r="K270" s="27">
        <v>64.040000000000006</v>
      </c>
      <c r="L270" s="27">
        <v>63.98</v>
      </c>
      <c r="M270" s="27">
        <v>64.11</v>
      </c>
      <c r="N270" s="27">
        <v>64.02</v>
      </c>
      <c r="O270" s="27">
        <v>15.61</v>
      </c>
      <c r="P270" s="27">
        <v>2.0299999999999998</v>
      </c>
      <c r="R270" s="27">
        <v>161</v>
      </c>
      <c r="S270" s="27">
        <v>91</v>
      </c>
      <c r="T270" s="27">
        <v>44</v>
      </c>
      <c r="U270" s="27">
        <v>15</v>
      </c>
    </row>
    <row r="271" spans="1:21">
      <c r="A271" s="25" t="s">
        <v>124</v>
      </c>
      <c r="B271" s="292"/>
      <c r="C271" s="25" t="s">
        <v>306</v>
      </c>
      <c r="D271" s="26" t="s">
        <v>407</v>
      </c>
      <c r="E271" s="25">
        <v>4.5999999999999996</v>
      </c>
      <c r="F271" s="27">
        <v>4.4000000000000004</v>
      </c>
      <c r="G271" s="28">
        <v>1213.5999999999999</v>
      </c>
      <c r="H271" s="28">
        <v>709</v>
      </c>
      <c r="I271" s="28">
        <v>1216.8</v>
      </c>
      <c r="J271" s="27">
        <v>63.92</v>
      </c>
      <c r="K271" s="27">
        <v>63.88</v>
      </c>
      <c r="L271" s="27">
        <v>64.13</v>
      </c>
      <c r="M271" s="27">
        <v>64</v>
      </c>
      <c r="N271" s="27">
        <v>63.98</v>
      </c>
      <c r="O271" s="27">
        <v>13.86</v>
      </c>
      <c r="P271" s="27">
        <v>2.77</v>
      </c>
      <c r="R271" s="27">
        <v>161</v>
      </c>
      <c r="S271" s="27">
        <v>91</v>
      </c>
      <c r="T271" s="27">
        <v>44</v>
      </c>
      <c r="U271" s="27">
        <v>15</v>
      </c>
    </row>
    <row r="272" spans="1:21">
      <c r="A272" s="25" t="s">
        <v>124</v>
      </c>
      <c r="B272" s="292"/>
      <c r="C272" s="25" t="s">
        <v>306</v>
      </c>
      <c r="D272" s="26" t="s">
        <v>310</v>
      </c>
      <c r="E272" s="25">
        <v>4.5999999999999996</v>
      </c>
      <c r="F272" s="27">
        <v>4.4000000000000004</v>
      </c>
      <c r="G272" s="28">
        <v>1209.4000000000001</v>
      </c>
      <c r="H272" s="28">
        <v>706.1</v>
      </c>
      <c r="I272" s="28">
        <v>1212.5999999999999</v>
      </c>
      <c r="J272" s="27">
        <v>63.56</v>
      </c>
      <c r="K272" s="27">
        <v>63.64</v>
      </c>
      <c r="L272" s="27">
        <v>63.91</v>
      </c>
      <c r="M272" s="27">
        <v>63.9</v>
      </c>
      <c r="N272" s="27">
        <v>63.75</v>
      </c>
      <c r="O272" s="27">
        <v>14.21</v>
      </c>
      <c r="P272" s="27">
        <v>1.61</v>
      </c>
      <c r="R272" s="27">
        <v>161</v>
      </c>
      <c r="S272" s="27">
        <v>91</v>
      </c>
      <c r="T272" s="27">
        <v>44</v>
      </c>
      <c r="U272" s="27">
        <v>15</v>
      </c>
    </row>
    <row r="273" spans="1:21">
      <c r="A273" s="25" t="s">
        <v>124</v>
      </c>
      <c r="B273" s="292"/>
      <c r="C273" s="25" t="s">
        <v>306</v>
      </c>
      <c r="D273" s="26" t="s">
        <v>408</v>
      </c>
      <c r="E273" s="25">
        <v>4.5999999999999996</v>
      </c>
      <c r="F273" s="27">
        <v>4.4000000000000004</v>
      </c>
      <c r="G273" s="28">
        <v>1207.7</v>
      </c>
      <c r="H273" s="28">
        <v>705.2</v>
      </c>
      <c r="I273" s="28">
        <v>1211.3</v>
      </c>
      <c r="J273" s="27">
        <v>63.1</v>
      </c>
      <c r="K273" s="27">
        <v>62.76</v>
      </c>
      <c r="L273" s="27">
        <v>62.94</v>
      </c>
      <c r="M273" s="27">
        <v>62.94</v>
      </c>
      <c r="N273" s="27">
        <v>62.94</v>
      </c>
      <c r="O273" s="27">
        <v>13.46</v>
      </c>
      <c r="P273" s="27">
        <v>2.7</v>
      </c>
      <c r="R273" s="27">
        <v>161</v>
      </c>
      <c r="S273" s="27">
        <v>91</v>
      </c>
      <c r="T273" s="27">
        <v>44</v>
      </c>
      <c r="U273" s="27">
        <v>15</v>
      </c>
    </row>
    <row r="274" spans="1:21">
      <c r="A274" s="25" t="s">
        <v>124</v>
      </c>
      <c r="B274" s="292"/>
      <c r="C274" s="25" t="s">
        <v>334</v>
      </c>
      <c r="D274" s="26" t="s">
        <v>406</v>
      </c>
      <c r="E274" s="25">
        <v>4.5999999999999996</v>
      </c>
      <c r="F274" s="27">
        <v>4.4000000000000004</v>
      </c>
      <c r="G274" s="28">
        <v>1204.3</v>
      </c>
      <c r="H274" s="28">
        <v>700.2</v>
      </c>
      <c r="I274" s="28">
        <v>1208.5</v>
      </c>
      <c r="J274" s="27">
        <v>63.5</v>
      </c>
      <c r="K274" s="27">
        <v>63.27</v>
      </c>
      <c r="L274" s="27">
        <v>63.24</v>
      </c>
      <c r="M274" s="27">
        <v>63.35</v>
      </c>
      <c r="N274" s="27">
        <v>63.34</v>
      </c>
      <c r="O274" s="27">
        <v>14.09</v>
      </c>
      <c r="P274" s="27">
        <v>2.15</v>
      </c>
      <c r="Q274" s="27">
        <v>89.68</v>
      </c>
      <c r="R274" s="27">
        <v>258</v>
      </c>
      <c r="S274" s="27">
        <v>72</v>
      </c>
      <c r="T274" s="27">
        <v>47.6</v>
      </c>
      <c r="U274" s="27">
        <v>8.1999999999999993</v>
      </c>
    </row>
    <row r="275" spans="1:21">
      <c r="A275" s="25" t="s">
        <v>124</v>
      </c>
      <c r="B275" s="292"/>
      <c r="C275" s="25" t="s">
        <v>334</v>
      </c>
      <c r="D275" s="26" t="s">
        <v>308</v>
      </c>
      <c r="E275" s="25">
        <v>4.5999999999999996</v>
      </c>
      <c r="F275" s="27">
        <v>4.4000000000000004</v>
      </c>
      <c r="G275" s="28">
        <v>1202.5999999999999</v>
      </c>
      <c r="H275" s="28">
        <v>698.2</v>
      </c>
      <c r="I275" s="28">
        <v>1208.5999999999999</v>
      </c>
      <c r="J275" s="27">
        <v>63.94</v>
      </c>
      <c r="K275" s="27">
        <v>64.040000000000006</v>
      </c>
      <c r="L275" s="27">
        <v>63.98</v>
      </c>
      <c r="M275" s="27">
        <v>64.11</v>
      </c>
      <c r="N275" s="27">
        <v>64.02</v>
      </c>
      <c r="O275" s="27">
        <v>13.77</v>
      </c>
      <c r="P275" s="27">
        <v>3.08</v>
      </c>
      <c r="R275" s="27">
        <v>258</v>
      </c>
      <c r="S275" s="27">
        <v>72</v>
      </c>
      <c r="T275" s="27">
        <v>47.6</v>
      </c>
      <c r="U275" s="27">
        <v>8.1999999999999993</v>
      </c>
    </row>
    <row r="276" spans="1:21">
      <c r="A276" s="25" t="s">
        <v>124</v>
      </c>
      <c r="B276" s="292"/>
      <c r="C276" s="25" t="s">
        <v>334</v>
      </c>
      <c r="D276" s="26" t="s">
        <v>407</v>
      </c>
      <c r="E276" s="25">
        <v>4.5999999999999996</v>
      </c>
      <c r="F276" s="27">
        <v>4.4000000000000004</v>
      </c>
      <c r="G276" s="28">
        <v>1203.5</v>
      </c>
      <c r="H276" s="28">
        <v>697.1</v>
      </c>
      <c r="I276" s="28">
        <v>1207.7</v>
      </c>
      <c r="J276" s="27">
        <v>63.92</v>
      </c>
      <c r="K276" s="27">
        <v>63.88</v>
      </c>
      <c r="L276" s="27">
        <v>64.13</v>
      </c>
      <c r="M276" s="27">
        <v>64</v>
      </c>
      <c r="N276" s="27">
        <v>63.98</v>
      </c>
      <c r="O276" s="27">
        <v>13.18</v>
      </c>
      <c r="P276" s="27">
        <v>2.44</v>
      </c>
      <c r="R276" s="27">
        <v>258</v>
      </c>
      <c r="S276" s="27">
        <v>72</v>
      </c>
      <c r="T276" s="27">
        <v>47.6</v>
      </c>
      <c r="U276" s="27">
        <v>8.1999999999999993</v>
      </c>
    </row>
    <row r="277" spans="1:21">
      <c r="A277" s="25" t="s">
        <v>124</v>
      </c>
      <c r="B277" s="292"/>
      <c r="C277" s="25" t="s">
        <v>334</v>
      </c>
      <c r="D277" s="26" t="s">
        <v>310</v>
      </c>
      <c r="E277" s="25">
        <v>4.5999999999999996</v>
      </c>
      <c r="F277" s="27">
        <v>4.4000000000000004</v>
      </c>
      <c r="G277" s="28">
        <v>1201.0999999999999</v>
      </c>
      <c r="H277" s="28">
        <v>696</v>
      </c>
      <c r="I277" s="28">
        <v>1206.0999999999999</v>
      </c>
      <c r="J277" s="27">
        <v>63.56</v>
      </c>
      <c r="K277" s="27">
        <v>63.64</v>
      </c>
      <c r="L277" s="27">
        <v>63.91</v>
      </c>
      <c r="M277" s="27">
        <v>63.9</v>
      </c>
      <c r="N277" s="27">
        <v>63.75</v>
      </c>
      <c r="O277" s="27">
        <v>15.43</v>
      </c>
      <c r="P277" s="27">
        <v>1.59</v>
      </c>
      <c r="R277" s="27">
        <v>258</v>
      </c>
      <c r="S277" s="27">
        <v>72</v>
      </c>
      <c r="T277" s="27">
        <v>47.6</v>
      </c>
      <c r="U277" s="27">
        <v>8.1999999999999993</v>
      </c>
    </row>
    <row r="278" spans="1:21">
      <c r="A278" s="25" t="s">
        <v>124</v>
      </c>
      <c r="B278" s="293"/>
      <c r="C278" s="25" t="s">
        <v>334</v>
      </c>
      <c r="D278" s="26" t="s">
        <v>408</v>
      </c>
      <c r="E278" s="25">
        <v>4.5999999999999996</v>
      </c>
      <c r="F278" s="27">
        <v>4.4000000000000004</v>
      </c>
      <c r="G278" s="28">
        <v>1200.4000000000001</v>
      </c>
      <c r="H278" s="28">
        <v>695.6</v>
      </c>
      <c r="I278" s="28">
        <v>1205.7</v>
      </c>
      <c r="J278" s="27">
        <v>63.1</v>
      </c>
      <c r="K278" s="27">
        <v>62.76</v>
      </c>
      <c r="L278" s="27">
        <v>62.94</v>
      </c>
      <c r="M278" s="27">
        <v>62.94</v>
      </c>
      <c r="N278" s="27">
        <v>62.94</v>
      </c>
      <c r="O278" s="27">
        <v>12.01</v>
      </c>
      <c r="P278" s="27">
        <v>3.76</v>
      </c>
      <c r="R278" s="27">
        <v>258</v>
      </c>
      <c r="S278" s="27">
        <v>72</v>
      </c>
      <c r="T278" s="27">
        <v>47.6</v>
      </c>
      <c r="U278" s="27">
        <v>8.1999999999999993</v>
      </c>
    </row>
    <row r="279" spans="1:21">
      <c r="A279" s="25" t="s">
        <v>124</v>
      </c>
      <c r="B279" s="291" t="s">
        <v>255</v>
      </c>
      <c r="C279" s="25" t="s">
        <v>330</v>
      </c>
      <c r="D279" s="26" t="s">
        <v>406</v>
      </c>
      <c r="E279" s="25">
        <v>4.5999999999999996</v>
      </c>
      <c r="F279" s="27">
        <v>4.4000000000000004</v>
      </c>
      <c r="G279" s="28">
        <v>1211</v>
      </c>
      <c r="H279" s="28">
        <v>714</v>
      </c>
      <c r="I279" s="28">
        <v>1212.4000000000001</v>
      </c>
      <c r="J279" s="27">
        <v>63.5</v>
      </c>
      <c r="K279" s="27">
        <v>63.27</v>
      </c>
      <c r="L279" s="27">
        <v>63.24</v>
      </c>
      <c r="M279" s="27">
        <v>63.35</v>
      </c>
      <c r="N279" s="27">
        <v>63.34</v>
      </c>
      <c r="O279" s="27">
        <v>16.850000000000001</v>
      </c>
      <c r="P279" s="27">
        <v>3.29</v>
      </c>
      <c r="Q279" s="27">
        <v>88.64</v>
      </c>
      <c r="R279" s="27">
        <v>111</v>
      </c>
      <c r="S279" s="27">
        <v>124</v>
      </c>
      <c r="T279" s="27">
        <v>41.5</v>
      </c>
      <c r="U279" s="27">
        <v>56</v>
      </c>
    </row>
    <row r="280" spans="1:21">
      <c r="A280" s="25" t="s">
        <v>124</v>
      </c>
      <c r="B280" s="292"/>
      <c r="C280" s="25" t="s">
        <v>330</v>
      </c>
      <c r="D280" s="26" t="s">
        <v>308</v>
      </c>
      <c r="E280" s="25">
        <v>4.5999999999999996</v>
      </c>
      <c r="F280" s="27">
        <v>4.4000000000000004</v>
      </c>
      <c r="G280" s="28">
        <v>1222.0999999999999</v>
      </c>
      <c r="H280" s="28">
        <v>720</v>
      </c>
      <c r="I280" s="28">
        <v>1223.7</v>
      </c>
      <c r="J280" s="27">
        <v>63.94</v>
      </c>
      <c r="K280" s="27">
        <v>64.040000000000006</v>
      </c>
      <c r="L280" s="27">
        <v>63.98</v>
      </c>
      <c r="M280" s="27">
        <v>64.11</v>
      </c>
      <c r="N280" s="27">
        <v>64.02</v>
      </c>
      <c r="O280" s="27">
        <v>19.27</v>
      </c>
      <c r="P280" s="27">
        <v>2.0299999999999998</v>
      </c>
      <c r="R280" s="27">
        <v>111</v>
      </c>
      <c r="S280" s="27">
        <v>124</v>
      </c>
      <c r="T280" s="27">
        <v>41.5</v>
      </c>
      <c r="U280" s="27">
        <v>56</v>
      </c>
    </row>
    <row r="281" spans="1:21">
      <c r="A281" s="25" t="s">
        <v>124</v>
      </c>
      <c r="B281" s="292"/>
      <c r="C281" s="25" t="s">
        <v>330</v>
      </c>
      <c r="D281" s="26" t="s">
        <v>407</v>
      </c>
      <c r="E281" s="25">
        <v>4.5999999999999996</v>
      </c>
      <c r="F281" s="27">
        <v>4.4000000000000004</v>
      </c>
      <c r="G281" s="28">
        <v>1222.3</v>
      </c>
      <c r="H281" s="28">
        <v>716.8</v>
      </c>
      <c r="I281" s="28">
        <v>1225.4000000000001</v>
      </c>
      <c r="J281" s="27">
        <v>63.92</v>
      </c>
      <c r="K281" s="27">
        <v>63.88</v>
      </c>
      <c r="L281" s="27">
        <v>64.13</v>
      </c>
      <c r="M281" s="27">
        <v>64</v>
      </c>
      <c r="N281" s="27">
        <v>63.98</v>
      </c>
      <c r="O281" s="27">
        <v>16.309999999999999</v>
      </c>
      <c r="P281" s="27">
        <v>2.77</v>
      </c>
      <c r="R281" s="27">
        <v>111</v>
      </c>
      <c r="S281" s="27">
        <v>124</v>
      </c>
      <c r="T281" s="27">
        <v>41.5</v>
      </c>
      <c r="U281" s="27">
        <v>56</v>
      </c>
    </row>
    <row r="282" spans="1:21">
      <c r="A282" s="25" t="s">
        <v>124</v>
      </c>
      <c r="B282" s="292"/>
      <c r="C282" s="25" t="s">
        <v>330</v>
      </c>
      <c r="D282" s="26" t="s">
        <v>310</v>
      </c>
      <c r="E282" s="25">
        <v>4.5999999999999996</v>
      </c>
      <c r="F282" s="27">
        <v>4.4000000000000004</v>
      </c>
      <c r="G282" s="28">
        <v>1219.4000000000001</v>
      </c>
      <c r="H282" s="28">
        <v>716.3</v>
      </c>
      <c r="I282" s="28">
        <v>1222.3</v>
      </c>
      <c r="J282" s="27">
        <v>63.56</v>
      </c>
      <c r="K282" s="27">
        <v>63.64</v>
      </c>
      <c r="L282" s="27">
        <v>63.91</v>
      </c>
      <c r="M282" s="27">
        <v>63.9</v>
      </c>
      <c r="N282" s="27">
        <v>63.75</v>
      </c>
      <c r="O282" s="27">
        <v>17.62</v>
      </c>
      <c r="P282" s="27">
        <v>1.61</v>
      </c>
      <c r="R282" s="27">
        <v>111</v>
      </c>
      <c r="S282" s="27">
        <v>124</v>
      </c>
      <c r="T282" s="27">
        <v>41.5</v>
      </c>
      <c r="U282" s="27">
        <v>56</v>
      </c>
    </row>
    <row r="283" spans="1:21">
      <c r="A283" s="25" t="s">
        <v>124</v>
      </c>
      <c r="B283" s="292"/>
      <c r="C283" s="25" t="s">
        <v>330</v>
      </c>
      <c r="D283" s="26" t="s">
        <v>408</v>
      </c>
      <c r="E283" s="25">
        <v>4.5999999999999996</v>
      </c>
      <c r="F283" s="27">
        <v>4.4000000000000004</v>
      </c>
      <c r="G283" s="28">
        <v>1214.7</v>
      </c>
      <c r="H283" s="28">
        <v>714</v>
      </c>
      <c r="I283" s="28">
        <v>1217.3</v>
      </c>
      <c r="J283" s="27">
        <v>63.1</v>
      </c>
      <c r="K283" s="27">
        <v>62.76</v>
      </c>
      <c r="L283" s="27">
        <v>62.94</v>
      </c>
      <c r="M283" s="27">
        <v>62.94</v>
      </c>
      <c r="N283" s="27">
        <v>62.94</v>
      </c>
      <c r="O283" s="27">
        <v>15.89</v>
      </c>
      <c r="P283" s="27">
        <v>2.7</v>
      </c>
      <c r="R283" s="27">
        <v>111</v>
      </c>
      <c r="S283" s="27">
        <v>124</v>
      </c>
      <c r="T283" s="27">
        <v>41.5</v>
      </c>
      <c r="U283" s="27">
        <v>56</v>
      </c>
    </row>
    <row r="284" spans="1:21">
      <c r="A284" s="25" t="s">
        <v>124</v>
      </c>
      <c r="B284" s="292"/>
      <c r="C284" s="25" t="s">
        <v>335</v>
      </c>
      <c r="D284" s="26" t="s">
        <v>406</v>
      </c>
      <c r="E284" s="25">
        <v>4.5999999999999996</v>
      </c>
      <c r="F284" s="27">
        <v>4.4000000000000004</v>
      </c>
      <c r="G284" s="28">
        <v>1215.5999999999999</v>
      </c>
      <c r="H284" s="28">
        <v>710.6</v>
      </c>
      <c r="I284" s="28">
        <v>1217.9000000000001</v>
      </c>
      <c r="J284" s="27">
        <v>63.5</v>
      </c>
      <c r="K284" s="27">
        <v>63.27</v>
      </c>
      <c r="L284" s="27">
        <v>63.24</v>
      </c>
      <c r="M284" s="27">
        <v>63.35</v>
      </c>
      <c r="N284" s="27">
        <v>63.34</v>
      </c>
      <c r="O284" s="27">
        <v>18.62</v>
      </c>
      <c r="P284" s="27">
        <v>2.15</v>
      </c>
      <c r="Q284" s="27">
        <v>83.36</v>
      </c>
      <c r="R284" s="27">
        <v>258</v>
      </c>
      <c r="S284" s="27">
        <v>72</v>
      </c>
      <c r="T284" s="27">
        <v>47.6</v>
      </c>
      <c r="U284" s="27">
        <v>8.1999999999999993</v>
      </c>
    </row>
    <row r="285" spans="1:21">
      <c r="A285" s="25" t="s">
        <v>124</v>
      </c>
      <c r="B285" s="292"/>
      <c r="C285" s="25" t="s">
        <v>335</v>
      </c>
      <c r="D285" s="26" t="s">
        <v>308</v>
      </c>
      <c r="E285" s="25">
        <v>4.5999999999999996</v>
      </c>
      <c r="F285" s="27">
        <v>4.4000000000000004</v>
      </c>
      <c r="G285" s="28">
        <v>1213.2</v>
      </c>
      <c r="H285" s="28">
        <v>712.5</v>
      </c>
      <c r="I285" s="28">
        <v>1215</v>
      </c>
      <c r="J285" s="27">
        <v>63.94</v>
      </c>
      <c r="K285" s="27">
        <v>64.040000000000006</v>
      </c>
      <c r="L285" s="27">
        <v>63.98</v>
      </c>
      <c r="M285" s="27">
        <v>64.11</v>
      </c>
      <c r="N285" s="27">
        <v>64.02</v>
      </c>
      <c r="O285" s="27">
        <v>22.61</v>
      </c>
      <c r="P285" s="27">
        <v>3.08</v>
      </c>
      <c r="R285" s="27">
        <v>258</v>
      </c>
      <c r="S285" s="27">
        <v>72</v>
      </c>
      <c r="T285" s="27">
        <v>47.6</v>
      </c>
      <c r="U285" s="27">
        <v>8.1999999999999993</v>
      </c>
    </row>
    <row r="286" spans="1:21">
      <c r="A286" s="25" t="s">
        <v>124</v>
      </c>
      <c r="B286" s="292"/>
      <c r="C286" s="25" t="s">
        <v>335</v>
      </c>
      <c r="D286" s="26" t="s">
        <v>407</v>
      </c>
      <c r="E286" s="25">
        <v>4.5999999999999996</v>
      </c>
      <c r="F286" s="27">
        <v>4.4000000000000004</v>
      </c>
      <c r="G286" s="28">
        <v>1208.0999999999999</v>
      </c>
      <c r="H286" s="28">
        <v>710.1</v>
      </c>
      <c r="I286" s="28">
        <v>1209.3</v>
      </c>
      <c r="J286" s="27">
        <v>63.92</v>
      </c>
      <c r="K286" s="27">
        <v>63.88</v>
      </c>
      <c r="L286" s="27">
        <v>64.13</v>
      </c>
      <c r="M286" s="27">
        <v>64</v>
      </c>
      <c r="N286" s="27">
        <v>63.98</v>
      </c>
      <c r="O286" s="27">
        <v>18.25</v>
      </c>
      <c r="P286" s="27">
        <v>2.44</v>
      </c>
      <c r="R286" s="27">
        <v>258</v>
      </c>
      <c r="S286" s="27">
        <v>72</v>
      </c>
      <c r="T286" s="27">
        <v>47.6</v>
      </c>
      <c r="U286" s="27">
        <v>8.1999999999999993</v>
      </c>
    </row>
    <row r="287" spans="1:21">
      <c r="A287" s="25" t="s">
        <v>124</v>
      </c>
      <c r="B287" s="293"/>
      <c r="C287" s="25" t="s">
        <v>335</v>
      </c>
      <c r="D287" s="26" t="s">
        <v>310</v>
      </c>
      <c r="E287" s="25">
        <v>4.5999999999999996</v>
      </c>
      <c r="F287" s="27">
        <v>4.4000000000000004</v>
      </c>
      <c r="G287" s="28">
        <v>1209.9000000000001</v>
      </c>
      <c r="H287" s="28">
        <v>707.9</v>
      </c>
      <c r="I287" s="28">
        <v>1213.9000000000001</v>
      </c>
      <c r="J287" s="27">
        <v>63.56</v>
      </c>
      <c r="K287" s="27">
        <v>63.64</v>
      </c>
      <c r="L287" s="27">
        <v>63.91</v>
      </c>
      <c r="M287" s="27">
        <v>63.9</v>
      </c>
      <c r="N287" s="27">
        <v>63.75</v>
      </c>
      <c r="O287" s="27">
        <v>21.62</v>
      </c>
      <c r="P287" s="27">
        <v>1.59</v>
      </c>
      <c r="R287" s="27">
        <v>258</v>
      </c>
      <c r="S287" s="27">
        <v>72</v>
      </c>
      <c r="T287" s="27">
        <v>47.6</v>
      </c>
      <c r="U287" s="27">
        <v>8.1999999999999993</v>
      </c>
    </row>
    <row r="288" spans="1:21">
      <c r="A288" s="25" t="s">
        <v>126</v>
      </c>
      <c r="B288" s="291" t="s">
        <v>218</v>
      </c>
      <c r="C288" s="25" t="s">
        <v>306</v>
      </c>
      <c r="D288" s="26" t="s">
        <v>406</v>
      </c>
      <c r="E288" s="25">
        <v>4.5999999999999996</v>
      </c>
      <c r="F288" s="27">
        <v>4.3977055449330802</v>
      </c>
      <c r="G288" s="28">
        <v>1221.8</v>
      </c>
      <c r="H288" s="28">
        <v>723.3</v>
      </c>
      <c r="I288" s="28">
        <v>1223</v>
      </c>
      <c r="J288" s="27">
        <v>64.150000000000006</v>
      </c>
      <c r="K288" s="27">
        <v>63.85</v>
      </c>
      <c r="L288" s="27">
        <v>64.239999999999995</v>
      </c>
      <c r="M288" s="27">
        <v>64.739999999999995</v>
      </c>
      <c r="N288" s="27">
        <v>64.245000000000005</v>
      </c>
      <c r="O288" s="27">
        <v>13.07</v>
      </c>
      <c r="P288" s="27">
        <v>2.34</v>
      </c>
      <c r="Q288" s="27">
        <f>100*AVERAGE(O288,O290,O292)/AVERAGEA(O289,O291,O293)</f>
        <v>91.468757205441563</v>
      </c>
      <c r="R288" s="27">
        <v>161</v>
      </c>
      <c r="S288" s="27">
        <v>91</v>
      </c>
      <c r="T288" s="27">
        <v>44</v>
      </c>
      <c r="U288" s="27">
        <v>15</v>
      </c>
    </row>
    <row r="289" spans="1:21">
      <c r="A289" s="25" t="s">
        <v>126</v>
      </c>
      <c r="B289" s="292"/>
      <c r="C289" s="25" t="s">
        <v>306</v>
      </c>
      <c r="D289" s="26" t="s">
        <v>308</v>
      </c>
      <c r="E289" s="25">
        <v>4.5999999999999996</v>
      </c>
      <c r="F289" s="27">
        <v>4.3977055449330802</v>
      </c>
      <c r="G289" s="28">
        <v>1224.0999999999999</v>
      </c>
      <c r="H289" s="28">
        <v>724.4</v>
      </c>
      <c r="I289" s="28">
        <v>1225.5999999999999</v>
      </c>
      <c r="J289" s="27">
        <v>63.97</v>
      </c>
      <c r="K289" s="27">
        <v>63.85</v>
      </c>
      <c r="L289" s="27">
        <v>63.91</v>
      </c>
      <c r="M289" s="27">
        <v>64.34</v>
      </c>
      <c r="N289" s="27">
        <v>64.017499999999998</v>
      </c>
      <c r="O289" s="27">
        <v>14.65</v>
      </c>
      <c r="P289" s="27">
        <v>3.07</v>
      </c>
      <c r="R289" s="27">
        <v>161</v>
      </c>
      <c r="S289" s="27">
        <v>91</v>
      </c>
      <c r="T289" s="27">
        <v>44</v>
      </c>
      <c r="U289" s="27">
        <v>15</v>
      </c>
    </row>
    <row r="290" spans="1:21">
      <c r="A290" s="25" t="s">
        <v>126</v>
      </c>
      <c r="B290" s="292"/>
      <c r="C290" s="25" t="s">
        <v>306</v>
      </c>
      <c r="D290" s="26" t="s">
        <v>407</v>
      </c>
      <c r="E290" s="25">
        <v>4.5999999999999996</v>
      </c>
      <c r="F290" s="27">
        <v>4.3977055449330802</v>
      </c>
      <c r="G290" s="28">
        <v>1220.0999999999999</v>
      </c>
      <c r="H290" s="28">
        <v>723.4</v>
      </c>
      <c r="I290" s="28">
        <v>1222.0999999999999</v>
      </c>
      <c r="J290" s="27">
        <v>64.66</v>
      </c>
      <c r="K290" s="27">
        <v>64.22</v>
      </c>
      <c r="L290" s="27">
        <v>64.11</v>
      </c>
      <c r="M290" s="27">
        <v>64.36</v>
      </c>
      <c r="N290" s="27">
        <v>64.337500000000006</v>
      </c>
      <c r="O290" s="27">
        <v>14.05</v>
      </c>
      <c r="P290" s="27">
        <v>2.97</v>
      </c>
      <c r="R290" s="27">
        <v>161</v>
      </c>
      <c r="S290" s="27">
        <v>91</v>
      </c>
      <c r="T290" s="27">
        <v>44</v>
      </c>
      <c r="U290" s="27">
        <v>15</v>
      </c>
    </row>
    <row r="291" spans="1:21">
      <c r="A291" s="25" t="s">
        <v>126</v>
      </c>
      <c r="B291" s="292"/>
      <c r="C291" s="25" t="s">
        <v>306</v>
      </c>
      <c r="D291" s="26" t="s">
        <v>310</v>
      </c>
      <c r="E291" s="25">
        <v>4.5999999999999996</v>
      </c>
      <c r="F291" s="27">
        <v>4.3977055449330802</v>
      </c>
      <c r="G291" s="28">
        <v>1225.3</v>
      </c>
      <c r="H291" s="28">
        <v>729.1</v>
      </c>
      <c r="I291" s="28">
        <v>1227.5999999999999</v>
      </c>
      <c r="J291" s="27">
        <v>62.41</v>
      </c>
      <c r="K291" s="27">
        <v>62.69</v>
      </c>
      <c r="L291" s="27">
        <v>62.35</v>
      </c>
      <c r="M291" s="27">
        <v>62.33</v>
      </c>
      <c r="N291" s="27">
        <v>62.445</v>
      </c>
      <c r="O291" s="27">
        <v>14.75</v>
      </c>
      <c r="P291" s="27">
        <v>2.63</v>
      </c>
      <c r="R291" s="27">
        <v>161</v>
      </c>
      <c r="S291" s="27">
        <v>91</v>
      </c>
      <c r="T291" s="27">
        <v>44</v>
      </c>
      <c r="U291" s="27">
        <v>15</v>
      </c>
    </row>
    <row r="292" spans="1:21">
      <c r="A292" s="25" t="s">
        <v>126</v>
      </c>
      <c r="B292" s="292"/>
      <c r="C292" s="25" t="s">
        <v>306</v>
      </c>
      <c r="D292" s="26" t="s">
        <v>408</v>
      </c>
      <c r="E292" s="25">
        <v>4.5999999999999996</v>
      </c>
      <c r="F292" s="27">
        <v>4.3977055449330802</v>
      </c>
      <c r="G292" s="28">
        <v>1230.8</v>
      </c>
      <c r="H292" s="28">
        <v>732.2</v>
      </c>
      <c r="I292" s="28">
        <v>1231.8</v>
      </c>
      <c r="J292" s="27">
        <v>62.6</v>
      </c>
      <c r="K292" s="27">
        <v>61.82</v>
      </c>
      <c r="L292" s="27">
        <v>62.26</v>
      </c>
      <c r="M292" s="27">
        <v>62.39</v>
      </c>
      <c r="N292" s="27">
        <v>62.267499999999998</v>
      </c>
      <c r="O292" s="27">
        <v>12.55</v>
      </c>
      <c r="P292" s="27">
        <v>2.23</v>
      </c>
      <c r="R292" s="27">
        <v>161</v>
      </c>
      <c r="S292" s="27">
        <v>91</v>
      </c>
      <c r="T292" s="27">
        <v>44</v>
      </c>
      <c r="U292" s="27">
        <v>15</v>
      </c>
    </row>
    <row r="293" spans="1:21" ht="14.4">
      <c r="A293" s="25" t="s">
        <v>126</v>
      </c>
      <c r="B293" s="292"/>
      <c r="C293" s="25" t="s">
        <v>306</v>
      </c>
      <c r="D293" s="93" t="s">
        <v>437</v>
      </c>
      <c r="E293" s="25">
        <v>4.5999999999999996</v>
      </c>
      <c r="F293" s="27">
        <v>4.3977055449330802</v>
      </c>
      <c r="G293" s="28">
        <v>1232.0999999999999</v>
      </c>
      <c r="H293" s="28">
        <v>734.5</v>
      </c>
      <c r="I293" s="28">
        <v>1233.8</v>
      </c>
      <c r="J293" s="27">
        <v>63.12</v>
      </c>
      <c r="K293" s="27">
        <v>63.8</v>
      </c>
      <c r="L293" s="27">
        <v>63.42</v>
      </c>
      <c r="M293" s="27">
        <v>63.82</v>
      </c>
      <c r="N293" s="27">
        <v>63.54</v>
      </c>
      <c r="O293" s="27">
        <v>13.97</v>
      </c>
      <c r="P293" s="27">
        <v>3.41</v>
      </c>
      <c r="R293" s="27">
        <v>161</v>
      </c>
      <c r="S293" s="27">
        <v>91</v>
      </c>
      <c r="T293" s="27">
        <v>44</v>
      </c>
      <c r="U293" s="27">
        <v>15</v>
      </c>
    </row>
    <row r="294" spans="1:21">
      <c r="A294" s="25" t="s">
        <v>129</v>
      </c>
      <c r="B294" s="291" t="s">
        <v>254</v>
      </c>
      <c r="C294" s="25" t="s">
        <v>306</v>
      </c>
      <c r="D294" s="26" t="s">
        <v>406</v>
      </c>
      <c r="E294" s="25">
        <v>4.5999999999999996</v>
      </c>
      <c r="F294" s="27">
        <v>4.3977055449330802</v>
      </c>
      <c r="G294" s="28">
        <v>1234.5999999999999</v>
      </c>
      <c r="H294" s="28">
        <v>728.4</v>
      </c>
      <c r="I294" s="28">
        <v>1237.0999999999999</v>
      </c>
      <c r="J294" s="27">
        <v>64.98</v>
      </c>
      <c r="K294" s="27">
        <v>65</v>
      </c>
      <c r="L294" s="27">
        <v>65.209999999999994</v>
      </c>
      <c r="M294" s="27">
        <v>64.81</v>
      </c>
      <c r="N294" s="27">
        <v>65</v>
      </c>
      <c r="O294" s="27">
        <v>19.8</v>
      </c>
      <c r="P294" s="27">
        <v>3.27</v>
      </c>
      <c r="Q294" s="27">
        <f>100*AVERAGE(O294,O296,O298)/AVERAGEA(O295,O297)</f>
        <v>90.140845070422543</v>
      </c>
    </row>
    <row r="295" spans="1:21">
      <c r="A295" s="25" t="s">
        <v>129</v>
      </c>
      <c r="B295" s="292"/>
      <c r="C295" s="25" t="s">
        <v>306</v>
      </c>
      <c r="D295" s="26" t="s">
        <v>308</v>
      </c>
      <c r="E295" s="25">
        <v>4.5999999999999996</v>
      </c>
      <c r="F295" s="27">
        <v>4.3977055449330802</v>
      </c>
      <c r="G295" s="28">
        <v>1232.7</v>
      </c>
      <c r="H295" s="28">
        <v>727.8</v>
      </c>
      <c r="I295" s="28">
        <v>1235.4000000000001</v>
      </c>
      <c r="J295" s="27">
        <v>64.61</v>
      </c>
      <c r="K295" s="27">
        <v>64.91</v>
      </c>
      <c r="L295" s="27">
        <v>64.77</v>
      </c>
      <c r="M295" s="27">
        <v>64.680000000000007</v>
      </c>
      <c r="N295" s="27">
        <v>64.742500000000007</v>
      </c>
      <c r="O295" s="27">
        <v>20.2</v>
      </c>
      <c r="P295" s="27">
        <v>3.29</v>
      </c>
    </row>
    <row r="296" spans="1:21">
      <c r="A296" s="25" t="s">
        <v>129</v>
      </c>
      <c r="B296" s="292"/>
      <c r="C296" s="25" t="s">
        <v>306</v>
      </c>
      <c r="D296" s="26" t="s">
        <v>407</v>
      </c>
      <c r="E296" s="25">
        <v>4.5999999999999996</v>
      </c>
      <c r="F296" s="27">
        <v>4.3977055449330802</v>
      </c>
      <c r="G296" s="28">
        <v>1227.4000000000001</v>
      </c>
      <c r="H296" s="28">
        <v>724.6</v>
      </c>
      <c r="I296" s="28">
        <v>1231.2</v>
      </c>
      <c r="J296" s="27">
        <v>64.58</v>
      </c>
      <c r="K296" s="27">
        <v>64.61</v>
      </c>
      <c r="L296" s="27">
        <v>64.8</v>
      </c>
      <c r="M296" s="27">
        <v>64.77</v>
      </c>
      <c r="N296" s="27">
        <v>64.69</v>
      </c>
      <c r="O296" s="27">
        <v>19.899999999999999</v>
      </c>
      <c r="P296" s="27">
        <v>2.0299999999999998</v>
      </c>
    </row>
    <row r="297" spans="1:21">
      <c r="A297" s="25" t="s">
        <v>129</v>
      </c>
      <c r="B297" s="292"/>
      <c r="C297" s="25" t="s">
        <v>306</v>
      </c>
      <c r="D297" s="26" t="s">
        <v>310</v>
      </c>
      <c r="E297" s="25">
        <v>4.5999999999999996</v>
      </c>
      <c r="F297" s="27">
        <v>4.3977055449330802</v>
      </c>
      <c r="G297" s="28">
        <v>1229.5999999999999</v>
      </c>
      <c r="H297" s="28">
        <v>724.7</v>
      </c>
      <c r="I297" s="28">
        <v>1231.8</v>
      </c>
      <c r="J297" s="27">
        <v>62.92</v>
      </c>
      <c r="K297" s="27">
        <v>63.16</v>
      </c>
      <c r="L297" s="27">
        <v>62.83</v>
      </c>
      <c r="M297" s="27">
        <v>62.81</v>
      </c>
      <c r="N297" s="27">
        <v>62.93</v>
      </c>
      <c r="O297" s="27">
        <v>22.4</v>
      </c>
      <c r="P297" s="27">
        <v>2.77</v>
      </c>
    </row>
    <row r="298" spans="1:21">
      <c r="A298" s="25" t="s">
        <v>129</v>
      </c>
      <c r="B298" s="293"/>
      <c r="C298" s="25" t="s">
        <v>306</v>
      </c>
      <c r="D298" s="26" t="s">
        <v>408</v>
      </c>
      <c r="E298" s="25">
        <v>4.5999999999999996</v>
      </c>
      <c r="F298" s="27">
        <v>4.3977055449330802</v>
      </c>
      <c r="G298" s="28">
        <v>1225.4000000000001</v>
      </c>
      <c r="H298" s="28">
        <v>721.1</v>
      </c>
      <c r="I298" s="28">
        <v>1228</v>
      </c>
      <c r="J298" s="27">
        <v>62.97</v>
      </c>
      <c r="K298" s="27">
        <v>63.06</v>
      </c>
      <c r="L298" s="27">
        <v>63.08</v>
      </c>
      <c r="M298" s="27">
        <v>62.87</v>
      </c>
      <c r="N298" s="27">
        <v>62.994999999999997</v>
      </c>
      <c r="O298" s="27">
        <v>17.899999999999999</v>
      </c>
      <c r="P298" s="27">
        <v>1.61</v>
      </c>
    </row>
    <row r="299" spans="1:21">
      <c r="A299" s="25" t="s">
        <v>129</v>
      </c>
      <c r="B299" s="291" t="s">
        <v>255</v>
      </c>
      <c r="C299" s="25" t="s">
        <v>312</v>
      </c>
      <c r="D299" s="26" t="s">
        <v>406</v>
      </c>
      <c r="E299" s="25">
        <v>4.8</v>
      </c>
      <c r="F299" s="27">
        <v>4.5801526717557302</v>
      </c>
      <c r="G299" s="28">
        <v>1238.0999999999999</v>
      </c>
      <c r="H299" s="28">
        <v>742</v>
      </c>
      <c r="I299" s="28">
        <v>1239</v>
      </c>
      <c r="J299" s="27">
        <v>64.17</v>
      </c>
      <c r="K299" s="27">
        <v>63.85</v>
      </c>
      <c r="L299" s="27">
        <v>63.87</v>
      </c>
      <c r="M299" s="27">
        <v>64.17</v>
      </c>
      <c r="N299" s="27">
        <v>64.015000000000001</v>
      </c>
      <c r="O299" s="27">
        <v>14</v>
      </c>
      <c r="P299" s="27">
        <v>3.99</v>
      </c>
      <c r="Q299" s="27">
        <f>100*AVERAGE(O299,O301,O303)/AVERAGEA(O300,O302)</f>
        <v>86.322188449848014</v>
      </c>
    </row>
    <row r="300" spans="1:21">
      <c r="A300" s="25" t="s">
        <v>129</v>
      </c>
      <c r="B300" s="292"/>
      <c r="C300" s="25" t="s">
        <v>312</v>
      </c>
      <c r="D300" s="26" t="s">
        <v>308</v>
      </c>
      <c r="E300" s="25">
        <v>4.8</v>
      </c>
      <c r="F300" s="27">
        <v>4.5801526717557302</v>
      </c>
      <c r="G300" s="28">
        <v>1238.2</v>
      </c>
      <c r="H300" s="28">
        <v>742.1</v>
      </c>
      <c r="I300" s="28">
        <v>1239.3</v>
      </c>
      <c r="J300" s="27">
        <v>63.48</v>
      </c>
      <c r="K300" s="27">
        <v>63.62</v>
      </c>
      <c r="L300" s="27">
        <v>63.72</v>
      </c>
      <c r="M300" s="27">
        <v>63.87</v>
      </c>
      <c r="N300" s="27">
        <v>63.672499999999999</v>
      </c>
      <c r="O300" s="27">
        <v>17.100000000000001</v>
      </c>
      <c r="P300" s="27">
        <v>1.8</v>
      </c>
    </row>
    <row r="301" spans="1:21">
      <c r="A301" s="25" t="s">
        <v>129</v>
      </c>
      <c r="B301" s="292"/>
      <c r="C301" s="25" t="s">
        <v>312</v>
      </c>
      <c r="D301" s="26" t="s">
        <v>407</v>
      </c>
      <c r="E301" s="25">
        <v>4.8</v>
      </c>
      <c r="F301" s="27">
        <v>4.5801526717557302</v>
      </c>
      <c r="G301" s="28">
        <v>1245.5</v>
      </c>
      <c r="H301" s="28">
        <v>744.9</v>
      </c>
      <c r="I301" s="28">
        <v>1246.9000000000001</v>
      </c>
      <c r="J301" s="27">
        <v>64.349999999999994</v>
      </c>
      <c r="K301" s="27">
        <v>64.52</v>
      </c>
      <c r="L301" s="27">
        <v>64.48</v>
      </c>
      <c r="M301" s="27">
        <v>64.290000000000006</v>
      </c>
      <c r="N301" s="27">
        <v>64.41</v>
      </c>
      <c r="O301" s="27">
        <v>14.1</v>
      </c>
      <c r="P301" s="27">
        <v>3.9</v>
      </c>
    </row>
    <row r="302" spans="1:21">
      <c r="A302" s="25" t="s">
        <v>129</v>
      </c>
      <c r="B302" s="292"/>
      <c r="C302" s="25" t="s">
        <v>312</v>
      </c>
      <c r="D302" s="26" t="s">
        <v>310</v>
      </c>
      <c r="E302" s="25">
        <v>4.8</v>
      </c>
      <c r="F302" s="27">
        <v>4.5801526717557302</v>
      </c>
      <c r="G302" s="28">
        <v>1238.2</v>
      </c>
      <c r="H302" s="28">
        <v>739.9</v>
      </c>
      <c r="I302" s="28">
        <v>1239.7</v>
      </c>
      <c r="J302" s="27">
        <v>64.27</v>
      </c>
      <c r="K302" s="27">
        <v>64.260000000000005</v>
      </c>
      <c r="L302" s="27">
        <v>64.459999999999994</v>
      </c>
      <c r="M302" s="27">
        <v>64.459999999999994</v>
      </c>
      <c r="N302" s="27">
        <v>64.362499999999997</v>
      </c>
      <c r="O302" s="27">
        <v>15.8</v>
      </c>
      <c r="P302" s="27">
        <v>3.06</v>
      </c>
    </row>
    <row r="303" spans="1:21">
      <c r="A303" s="25" t="s">
        <v>129</v>
      </c>
      <c r="B303" s="293"/>
      <c r="C303" s="25" t="s">
        <v>312</v>
      </c>
      <c r="D303" s="26" t="s">
        <v>408</v>
      </c>
      <c r="E303" s="25">
        <v>4.8</v>
      </c>
      <c r="F303" s="27">
        <v>4.5801526717557302</v>
      </c>
      <c r="G303" s="28">
        <v>1233.9000000000001</v>
      </c>
      <c r="H303" s="28">
        <v>732.1</v>
      </c>
      <c r="I303" s="28">
        <v>1236.0999999999999</v>
      </c>
      <c r="J303" s="27">
        <v>61.8</v>
      </c>
      <c r="K303" s="27">
        <v>61.96</v>
      </c>
      <c r="L303" s="27">
        <v>61.8</v>
      </c>
      <c r="M303" s="27">
        <v>61.6</v>
      </c>
      <c r="N303" s="27">
        <v>61.79</v>
      </c>
      <c r="O303" s="27">
        <v>14.5</v>
      </c>
      <c r="P303" s="27">
        <v>2.7</v>
      </c>
    </row>
    <row r="304" spans="1:21" ht="14.4">
      <c r="A304" s="94" t="s">
        <v>134</v>
      </c>
      <c r="B304" s="25" t="s">
        <v>218</v>
      </c>
      <c r="C304" s="25" t="s">
        <v>305</v>
      </c>
      <c r="D304" s="26" t="s">
        <v>294</v>
      </c>
      <c r="E304" s="95">
        <v>4.8</v>
      </c>
      <c r="F304" s="27">
        <v>4.5801526717557302</v>
      </c>
      <c r="G304" s="96">
        <v>1206.5</v>
      </c>
      <c r="H304" s="96">
        <v>704.5</v>
      </c>
      <c r="I304" s="96">
        <v>1208.0999999999999</v>
      </c>
      <c r="J304" s="97">
        <v>65.39</v>
      </c>
      <c r="K304" s="97">
        <v>65.41</v>
      </c>
      <c r="L304" s="97">
        <v>65.62</v>
      </c>
      <c r="M304" s="98">
        <v>65.430000000000007</v>
      </c>
      <c r="N304" s="97">
        <f t="shared" ref="N304:N323" si="5">AVERAGE(J304:L304)</f>
        <v>65.473333333333343</v>
      </c>
      <c r="O304" s="97">
        <v>10.75</v>
      </c>
      <c r="P304" s="27">
        <v>2.4900000000000002</v>
      </c>
      <c r="Q304" s="27">
        <f>100*AVERAGE(O304,O306,O308)/AVERAGEA(O305,O307)</f>
        <v>86.312925170068027</v>
      </c>
    </row>
    <row r="305" spans="1:17" ht="14.4">
      <c r="A305" s="94" t="s">
        <v>134</v>
      </c>
      <c r="B305" s="25" t="s">
        <v>218</v>
      </c>
      <c r="C305" s="25" t="s">
        <v>305</v>
      </c>
      <c r="D305" s="26" t="s">
        <v>295</v>
      </c>
      <c r="E305" s="95">
        <v>4.8</v>
      </c>
      <c r="F305" s="27">
        <v>4.5801526717557302</v>
      </c>
      <c r="G305" s="96">
        <v>1186.8</v>
      </c>
      <c r="H305" s="96">
        <v>694</v>
      </c>
      <c r="I305" s="96">
        <v>1190.9000000000001</v>
      </c>
      <c r="J305" s="97">
        <v>64.709999999999994</v>
      </c>
      <c r="K305" s="97">
        <v>64.819999999999993</v>
      </c>
      <c r="L305" s="97">
        <v>64.83</v>
      </c>
      <c r="M305" s="98">
        <v>64.64</v>
      </c>
      <c r="N305" s="97">
        <f t="shared" si="5"/>
        <v>64.786666666666648</v>
      </c>
      <c r="O305" s="97">
        <v>13.15</v>
      </c>
      <c r="P305" s="27">
        <v>3.27</v>
      </c>
    </row>
    <row r="306" spans="1:17" ht="14.4">
      <c r="A306" s="94" t="s">
        <v>134</v>
      </c>
      <c r="B306" s="25" t="s">
        <v>218</v>
      </c>
      <c r="C306" s="25" t="s">
        <v>305</v>
      </c>
      <c r="D306" s="26" t="s">
        <v>296</v>
      </c>
      <c r="E306" s="95">
        <v>4.8</v>
      </c>
      <c r="F306" s="27">
        <v>4.5801526717557302</v>
      </c>
      <c r="G306" s="96">
        <v>1220.5999999999999</v>
      </c>
      <c r="H306" s="96">
        <v>714.8</v>
      </c>
      <c r="I306" s="96">
        <v>1224.5</v>
      </c>
      <c r="J306" s="97">
        <v>64</v>
      </c>
      <c r="K306" s="97">
        <v>64.040000000000006</v>
      </c>
      <c r="L306" s="97">
        <v>63.75</v>
      </c>
      <c r="M306" s="98">
        <v>63.98</v>
      </c>
      <c r="N306" s="97">
        <f t="shared" si="5"/>
        <v>63.930000000000007</v>
      </c>
      <c r="O306" s="97">
        <v>10.15</v>
      </c>
      <c r="P306" s="27">
        <v>3.29</v>
      </c>
    </row>
    <row r="307" spans="1:17" ht="14.4">
      <c r="A307" s="94" t="s">
        <v>134</v>
      </c>
      <c r="B307" s="25" t="s">
        <v>218</v>
      </c>
      <c r="C307" s="25" t="s">
        <v>305</v>
      </c>
      <c r="D307" s="26" t="s">
        <v>297</v>
      </c>
      <c r="E307" s="95">
        <v>4.8</v>
      </c>
      <c r="F307" s="27">
        <v>4.5801526717557302</v>
      </c>
      <c r="G307" s="96">
        <v>1166.5</v>
      </c>
      <c r="H307" s="96">
        <v>684.3</v>
      </c>
      <c r="I307" s="96">
        <v>1172.0999999999999</v>
      </c>
      <c r="J307" s="97">
        <v>63.84</v>
      </c>
      <c r="K307" s="97">
        <v>64.56</v>
      </c>
      <c r="L307" s="97">
        <v>63.05</v>
      </c>
      <c r="M307" s="98">
        <v>63.98</v>
      </c>
      <c r="N307" s="97">
        <f t="shared" si="5"/>
        <v>63.816666666666663</v>
      </c>
      <c r="O307" s="97">
        <v>11.35</v>
      </c>
      <c r="P307" s="27">
        <v>2.0299999999999998</v>
      </c>
    </row>
    <row r="308" spans="1:17" ht="14.4">
      <c r="A308" s="94" t="s">
        <v>134</v>
      </c>
      <c r="B308" s="25" t="s">
        <v>218</v>
      </c>
      <c r="C308" s="25" t="s">
        <v>305</v>
      </c>
      <c r="D308" s="26" t="s">
        <v>298</v>
      </c>
      <c r="E308" s="95">
        <v>4.8</v>
      </c>
      <c r="F308" s="27">
        <v>4.5801526717557302</v>
      </c>
      <c r="G308" s="96">
        <v>1168.3</v>
      </c>
      <c r="H308" s="96">
        <v>684.9</v>
      </c>
      <c r="I308" s="96">
        <v>1172.5</v>
      </c>
      <c r="J308" s="97">
        <v>64.900000000000006</v>
      </c>
      <c r="K308" s="97">
        <v>64.650000000000006</v>
      </c>
      <c r="L308" s="97">
        <v>64.709999999999994</v>
      </c>
      <c r="M308" s="98">
        <v>64.599999999999994</v>
      </c>
      <c r="N308" s="97">
        <f t="shared" si="5"/>
        <v>64.75333333333333</v>
      </c>
      <c r="O308" s="97">
        <v>10.82</v>
      </c>
      <c r="P308" s="27">
        <v>2.77</v>
      </c>
    </row>
    <row r="309" spans="1:17" ht="14.4">
      <c r="A309" s="94" t="s">
        <v>135</v>
      </c>
      <c r="B309" s="25" t="s">
        <v>254</v>
      </c>
      <c r="C309" s="25" t="s">
        <v>336</v>
      </c>
      <c r="D309" s="99" t="s">
        <v>337</v>
      </c>
      <c r="E309" s="95">
        <v>4.8</v>
      </c>
      <c r="F309" s="97">
        <v>4.5801526717557302</v>
      </c>
      <c r="G309" s="96">
        <v>1231.5</v>
      </c>
      <c r="H309" s="96">
        <v>731</v>
      </c>
      <c r="I309" s="96">
        <v>1236.3</v>
      </c>
      <c r="J309" s="97">
        <v>63.38</v>
      </c>
      <c r="K309" s="97">
        <v>63.81</v>
      </c>
      <c r="L309" s="97">
        <v>63.72</v>
      </c>
      <c r="M309" s="97">
        <v>63.42</v>
      </c>
      <c r="N309" s="97">
        <f t="shared" si="5"/>
        <v>63.636666666666663</v>
      </c>
      <c r="O309" s="97">
        <v>14.72</v>
      </c>
      <c r="P309" s="27">
        <v>1.61</v>
      </c>
      <c r="Q309" s="27">
        <f>100*AVERAGE(O309,O311,O313)/AVERAGEA(O310,O312)</f>
        <v>88.414814814814832</v>
      </c>
    </row>
    <row r="310" spans="1:17" ht="14.4">
      <c r="A310" s="94" t="s">
        <v>135</v>
      </c>
      <c r="B310" s="25" t="s">
        <v>254</v>
      </c>
      <c r="C310" s="25" t="s">
        <v>336</v>
      </c>
      <c r="D310" s="99" t="s">
        <v>339</v>
      </c>
      <c r="E310" s="95">
        <v>4.8</v>
      </c>
      <c r="F310" s="97">
        <v>4.5801526717557302</v>
      </c>
      <c r="G310" s="96">
        <v>1234.0999999999999</v>
      </c>
      <c r="H310" s="96">
        <v>733</v>
      </c>
      <c r="I310" s="96">
        <v>1241.9000000000001</v>
      </c>
      <c r="J310" s="97">
        <v>64.099999999999994</v>
      </c>
      <c r="K310" s="97">
        <v>64.17</v>
      </c>
      <c r="L310" s="97">
        <v>64.16</v>
      </c>
      <c r="M310" s="97">
        <v>64.05</v>
      </c>
      <c r="N310" s="97">
        <f t="shared" si="5"/>
        <v>64.143333333333331</v>
      </c>
      <c r="O310" s="97">
        <v>19.170000000000002</v>
      </c>
      <c r="P310" s="97">
        <v>1.54</v>
      </c>
    </row>
    <row r="311" spans="1:17" ht="14.4">
      <c r="A311" s="94" t="s">
        <v>135</v>
      </c>
      <c r="B311" s="25" t="s">
        <v>254</v>
      </c>
      <c r="C311" s="25" t="s">
        <v>336</v>
      </c>
      <c r="D311" s="99" t="s">
        <v>340</v>
      </c>
      <c r="E311" s="95">
        <v>4.8</v>
      </c>
      <c r="F311" s="97">
        <v>4.5801526717557302</v>
      </c>
      <c r="G311" s="96">
        <v>1236.4000000000001</v>
      </c>
      <c r="H311" s="96">
        <v>736</v>
      </c>
      <c r="I311" s="96">
        <v>1239.2</v>
      </c>
      <c r="J311" s="97">
        <v>64.8</v>
      </c>
      <c r="K311" s="97">
        <v>64.39</v>
      </c>
      <c r="L311" s="97">
        <v>64.3</v>
      </c>
      <c r="M311" s="97">
        <v>64.349999999999994</v>
      </c>
      <c r="N311" s="97">
        <f t="shared" si="5"/>
        <v>64.49666666666667</v>
      </c>
      <c r="O311" s="97">
        <v>14.74</v>
      </c>
      <c r="P311" s="97">
        <v>1.88</v>
      </c>
    </row>
    <row r="312" spans="1:17" ht="14.4">
      <c r="A312" s="94" t="s">
        <v>135</v>
      </c>
      <c r="B312" s="25" t="s">
        <v>254</v>
      </c>
      <c r="C312" s="25" t="s">
        <v>336</v>
      </c>
      <c r="D312" s="99" t="s">
        <v>341</v>
      </c>
      <c r="E312" s="95">
        <v>4.8</v>
      </c>
      <c r="F312" s="97">
        <v>4.5801526717557302</v>
      </c>
      <c r="G312" s="96">
        <v>1238</v>
      </c>
      <c r="H312" s="96">
        <v>738.2</v>
      </c>
      <c r="I312" s="96">
        <v>1241.8</v>
      </c>
      <c r="J312" s="97">
        <v>63.84</v>
      </c>
      <c r="K312" s="97">
        <v>63.77</v>
      </c>
      <c r="L312" s="97">
        <v>63.55</v>
      </c>
      <c r="M312" s="97">
        <v>63.56</v>
      </c>
      <c r="N312" s="97">
        <f t="shared" si="5"/>
        <v>63.720000000000006</v>
      </c>
      <c r="O312" s="97">
        <v>14.58</v>
      </c>
      <c r="P312" s="97">
        <v>1.64</v>
      </c>
    </row>
    <row r="313" spans="1:17" ht="14.4">
      <c r="A313" s="94" t="s">
        <v>135</v>
      </c>
      <c r="B313" s="25" t="s">
        <v>254</v>
      </c>
      <c r="C313" s="25" t="s">
        <v>336</v>
      </c>
      <c r="D313" s="99" t="s">
        <v>342</v>
      </c>
      <c r="E313" s="95">
        <v>4.8</v>
      </c>
      <c r="F313" s="97">
        <v>4.5801526717557302</v>
      </c>
      <c r="G313" s="96">
        <v>1238</v>
      </c>
      <c r="H313" s="96">
        <v>738.9</v>
      </c>
      <c r="I313" s="96">
        <v>1240.0999999999999</v>
      </c>
      <c r="J313" s="97">
        <v>64.25</v>
      </c>
      <c r="K313" s="97">
        <v>64.62</v>
      </c>
      <c r="L313" s="97">
        <v>64.680000000000007</v>
      </c>
      <c r="M313" s="97">
        <v>64.45</v>
      </c>
      <c r="N313" s="97">
        <f t="shared" si="5"/>
        <v>64.516666666666666</v>
      </c>
      <c r="O313" s="97">
        <v>15.3</v>
      </c>
      <c r="P313" s="97">
        <v>1.86</v>
      </c>
    </row>
    <row r="314" spans="1:17" ht="14.4">
      <c r="A314" s="94" t="s">
        <v>135</v>
      </c>
      <c r="B314" s="25" t="s">
        <v>255</v>
      </c>
      <c r="C314" s="25" t="s">
        <v>426</v>
      </c>
      <c r="D314" s="99" t="s">
        <v>337</v>
      </c>
      <c r="E314" s="95">
        <v>4.8</v>
      </c>
      <c r="F314" s="97">
        <v>4.5801526717557302</v>
      </c>
      <c r="G314" s="96">
        <v>1235.0999999999999</v>
      </c>
      <c r="H314" s="96">
        <v>734.5</v>
      </c>
      <c r="I314" s="96">
        <v>1238.9000000000001</v>
      </c>
      <c r="J314" s="97">
        <v>63.38</v>
      </c>
      <c r="K314" s="97">
        <v>63.81</v>
      </c>
      <c r="L314" s="97">
        <v>63.72</v>
      </c>
      <c r="M314" s="97">
        <v>63.42</v>
      </c>
      <c r="N314" s="97">
        <f t="shared" si="5"/>
        <v>63.636666666666663</v>
      </c>
      <c r="O314" s="97">
        <v>14.42</v>
      </c>
      <c r="P314" s="97">
        <v>1.84</v>
      </c>
      <c r="Q314" s="27">
        <f>100*AVERAGE(O314,O316,O318)/AVERAGEA(O315,O317)</f>
        <v>89.520958083832312</v>
      </c>
    </row>
    <row r="315" spans="1:17" ht="14.4">
      <c r="A315" s="94" t="s">
        <v>135</v>
      </c>
      <c r="B315" s="25" t="s">
        <v>255</v>
      </c>
      <c r="C315" s="25" t="s">
        <v>426</v>
      </c>
      <c r="D315" s="99" t="s">
        <v>339</v>
      </c>
      <c r="E315" s="95">
        <v>4.8</v>
      </c>
      <c r="F315" s="97">
        <v>4.5801526717557302</v>
      </c>
      <c r="G315" s="96">
        <v>1240.4000000000001</v>
      </c>
      <c r="H315" s="96">
        <v>737.9</v>
      </c>
      <c r="I315" s="96">
        <v>1245.0999999999999</v>
      </c>
      <c r="J315" s="97">
        <v>64.099999999999994</v>
      </c>
      <c r="K315" s="97">
        <v>64.17</v>
      </c>
      <c r="L315" s="97">
        <v>64.16</v>
      </c>
      <c r="M315" s="97">
        <v>64.05</v>
      </c>
      <c r="N315" s="97">
        <f t="shared" si="5"/>
        <v>64.143333333333331</v>
      </c>
      <c r="O315" s="97">
        <v>17.3</v>
      </c>
      <c r="P315" s="97">
        <v>1.1200000000000001</v>
      </c>
    </row>
    <row r="316" spans="1:17" ht="14.4">
      <c r="A316" s="94" t="s">
        <v>135</v>
      </c>
      <c r="B316" s="25" t="s">
        <v>255</v>
      </c>
      <c r="C316" s="25" t="s">
        <v>426</v>
      </c>
      <c r="D316" s="99" t="s">
        <v>340</v>
      </c>
      <c r="E316" s="95">
        <v>4.8</v>
      </c>
      <c r="F316" s="97">
        <v>4.5801526717557302</v>
      </c>
      <c r="G316" s="96">
        <v>1231.5999999999999</v>
      </c>
      <c r="H316" s="96">
        <v>729.7</v>
      </c>
      <c r="I316" s="96">
        <v>1238.0999999999999</v>
      </c>
      <c r="J316" s="97">
        <v>64.8</v>
      </c>
      <c r="K316" s="97">
        <v>64.39</v>
      </c>
      <c r="L316" s="97">
        <v>64.3</v>
      </c>
      <c r="M316" s="97">
        <v>64.349999999999994</v>
      </c>
      <c r="N316" s="97">
        <f t="shared" si="5"/>
        <v>64.49666666666667</v>
      </c>
      <c r="O316" s="97">
        <v>15.95</v>
      </c>
      <c r="P316" s="97">
        <v>1.83</v>
      </c>
    </row>
    <row r="317" spans="1:17" ht="14.4">
      <c r="A317" s="94" t="s">
        <v>135</v>
      </c>
      <c r="B317" s="25" t="s">
        <v>255</v>
      </c>
      <c r="C317" s="25" t="s">
        <v>426</v>
      </c>
      <c r="D317" s="99" t="s">
        <v>341</v>
      </c>
      <c r="E317" s="95">
        <v>4.8</v>
      </c>
      <c r="F317" s="97">
        <v>4.5801526717557302</v>
      </c>
      <c r="G317" s="96">
        <v>1224.4000000000001</v>
      </c>
      <c r="H317" s="96">
        <v>725.8</v>
      </c>
      <c r="I317" s="96">
        <v>1230.2</v>
      </c>
      <c r="J317" s="97">
        <v>63.84</v>
      </c>
      <c r="K317" s="97">
        <v>63.77</v>
      </c>
      <c r="L317" s="97">
        <v>63.55</v>
      </c>
      <c r="M317" s="97">
        <v>63.56</v>
      </c>
      <c r="N317" s="97">
        <f t="shared" si="5"/>
        <v>63.720000000000006</v>
      </c>
      <c r="O317" s="97">
        <v>16.100000000000001</v>
      </c>
      <c r="P317" s="97">
        <v>1.55</v>
      </c>
    </row>
    <row r="318" spans="1:17" ht="14.4">
      <c r="A318" s="94" t="s">
        <v>135</v>
      </c>
      <c r="B318" s="25" t="s">
        <v>255</v>
      </c>
      <c r="C318" s="25" t="s">
        <v>426</v>
      </c>
      <c r="D318" s="99" t="s">
        <v>342</v>
      </c>
      <c r="E318" s="95">
        <v>4.8</v>
      </c>
      <c r="F318" s="97">
        <v>4.5801526717557302</v>
      </c>
      <c r="G318" s="96">
        <v>1228.5999999999999</v>
      </c>
      <c r="H318" s="96">
        <v>727.1</v>
      </c>
      <c r="I318" s="96">
        <v>1234.5999999999999</v>
      </c>
      <c r="J318" s="97">
        <v>64.25</v>
      </c>
      <c r="K318" s="97">
        <v>64.62</v>
      </c>
      <c r="L318" s="97">
        <v>64.680000000000007</v>
      </c>
      <c r="M318" s="97">
        <v>64.45</v>
      </c>
      <c r="N318" s="97">
        <f t="shared" si="5"/>
        <v>64.516666666666666</v>
      </c>
      <c r="O318" s="97">
        <v>14.48</v>
      </c>
      <c r="P318" s="97">
        <v>1.85</v>
      </c>
    </row>
    <row r="319" spans="1:17" ht="14.4">
      <c r="A319" s="94" t="s">
        <v>135</v>
      </c>
      <c r="B319" s="25" t="s">
        <v>257</v>
      </c>
      <c r="C319" s="25" t="s">
        <v>442</v>
      </c>
      <c r="D319" s="99" t="s">
        <v>337</v>
      </c>
      <c r="E319" s="95">
        <v>4.8</v>
      </c>
      <c r="F319" s="97">
        <v>4.5801526717557302</v>
      </c>
      <c r="G319" s="100">
        <v>1277.0999999999999</v>
      </c>
      <c r="H319" s="96">
        <v>766.1</v>
      </c>
      <c r="I319" s="96">
        <v>1270.0999999999999</v>
      </c>
      <c r="J319" s="97">
        <v>63.4</v>
      </c>
      <c r="K319" s="97">
        <v>63.5</v>
      </c>
      <c r="L319" s="97">
        <v>63.8</v>
      </c>
      <c r="M319" s="97">
        <v>63.7</v>
      </c>
      <c r="N319" s="97">
        <f t="shared" si="5"/>
        <v>63.566666666666663</v>
      </c>
      <c r="O319" s="97">
        <v>15.52</v>
      </c>
      <c r="P319" s="97">
        <v>2.23</v>
      </c>
      <c r="Q319" s="27">
        <f>100*AVERAGE(O319,O321,O323)/AVERAGEA(O320,O322)</f>
        <v>88.881922675026132</v>
      </c>
    </row>
    <row r="320" spans="1:17" ht="14.4">
      <c r="A320" s="94" t="s">
        <v>135</v>
      </c>
      <c r="B320" s="25" t="s">
        <v>257</v>
      </c>
      <c r="C320" s="25" t="s">
        <v>442</v>
      </c>
      <c r="D320" s="99" t="s">
        <v>339</v>
      </c>
      <c r="E320" s="95">
        <v>4.8</v>
      </c>
      <c r="F320" s="97">
        <v>4.5801526717557302</v>
      </c>
      <c r="G320" s="100">
        <v>1274.3</v>
      </c>
      <c r="H320" s="96">
        <v>765.1</v>
      </c>
      <c r="I320" s="96">
        <v>1271.0999999999999</v>
      </c>
      <c r="J320" s="97">
        <v>64.7</v>
      </c>
      <c r="K320" s="97">
        <v>65.099999999999994</v>
      </c>
      <c r="L320" s="97">
        <v>65.099999999999994</v>
      </c>
      <c r="M320" s="97">
        <v>64.900000000000006</v>
      </c>
      <c r="N320" s="97">
        <f t="shared" si="5"/>
        <v>64.966666666666669</v>
      </c>
      <c r="O320" s="97">
        <v>17.38</v>
      </c>
      <c r="P320" s="97">
        <v>2.08</v>
      </c>
    </row>
    <row r="321" spans="1:17" ht="14.4">
      <c r="A321" s="94" t="s">
        <v>135</v>
      </c>
      <c r="B321" s="25" t="s">
        <v>257</v>
      </c>
      <c r="C321" s="25" t="s">
        <v>442</v>
      </c>
      <c r="D321" s="99" t="s">
        <v>340</v>
      </c>
      <c r="E321" s="95">
        <v>4.8</v>
      </c>
      <c r="F321" s="97">
        <v>4.5801526717557302</v>
      </c>
      <c r="G321" s="100">
        <v>1271.3</v>
      </c>
      <c r="H321" s="96">
        <v>763</v>
      </c>
      <c r="I321" s="96">
        <v>1268.7</v>
      </c>
      <c r="J321" s="97">
        <v>63.7</v>
      </c>
      <c r="K321" s="97">
        <v>64.400000000000006</v>
      </c>
      <c r="L321" s="97">
        <v>64.2</v>
      </c>
      <c r="M321" s="97">
        <v>64.099999999999994</v>
      </c>
      <c r="N321" s="97">
        <f t="shared" si="5"/>
        <v>64.100000000000009</v>
      </c>
      <c r="O321" s="97">
        <v>11.87</v>
      </c>
      <c r="P321" s="97">
        <v>2.2000000000000002</v>
      </c>
    </row>
    <row r="322" spans="1:17" ht="14.4">
      <c r="A322" s="94" t="s">
        <v>135</v>
      </c>
      <c r="B322" s="25" t="s">
        <v>257</v>
      </c>
      <c r="C322" s="25" t="s">
        <v>442</v>
      </c>
      <c r="D322" s="99" t="s">
        <v>341</v>
      </c>
      <c r="E322" s="95">
        <v>4.8</v>
      </c>
      <c r="F322" s="97">
        <v>4.5801526717557302</v>
      </c>
      <c r="G322" s="100">
        <v>1268.2</v>
      </c>
      <c r="H322" s="96">
        <v>757.5</v>
      </c>
      <c r="I322" s="96">
        <v>1264.8</v>
      </c>
      <c r="J322" s="97">
        <v>64.599999999999994</v>
      </c>
      <c r="K322" s="97">
        <v>64.53</v>
      </c>
      <c r="L322" s="97">
        <v>64.239999999999995</v>
      </c>
      <c r="M322" s="97">
        <v>64.290000000000006</v>
      </c>
      <c r="N322" s="97">
        <f t="shared" si="5"/>
        <v>64.456666666666663</v>
      </c>
      <c r="O322" s="97">
        <v>14.52</v>
      </c>
      <c r="P322" s="97">
        <v>2.63</v>
      </c>
    </row>
    <row r="323" spans="1:17" ht="14.4">
      <c r="A323" s="94" t="s">
        <v>135</v>
      </c>
      <c r="B323" s="25" t="s">
        <v>257</v>
      </c>
      <c r="C323" s="25" t="s">
        <v>442</v>
      </c>
      <c r="D323" s="99" t="s">
        <v>342</v>
      </c>
      <c r="E323" s="95">
        <v>4.8</v>
      </c>
      <c r="F323" s="97">
        <v>4.5801526717557302</v>
      </c>
      <c r="G323" s="100">
        <v>1272.8</v>
      </c>
      <c r="H323" s="96">
        <v>761.4</v>
      </c>
      <c r="I323" s="96">
        <v>1269.0999999999999</v>
      </c>
      <c r="J323" s="97">
        <v>64.37</v>
      </c>
      <c r="K323" s="97">
        <v>64.61</v>
      </c>
      <c r="L323" s="97">
        <v>65.239999999999995</v>
      </c>
      <c r="M323" s="97">
        <v>65.36</v>
      </c>
      <c r="N323" s="97">
        <f t="shared" si="5"/>
        <v>64.740000000000009</v>
      </c>
      <c r="O323" s="97">
        <v>15.14</v>
      </c>
      <c r="P323" s="97">
        <v>2.06</v>
      </c>
    </row>
    <row r="324" spans="1:17" ht="14.4">
      <c r="A324" s="25" t="s">
        <v>135</v>
      </c>
      <c r="B324" s="25" t="s">
        <v>266</v>
      </c>
      <c r="C324" s="25" t="s">
        <v>345</v>
      </c>
      <c r="D324" s="26" t="s">
        <v>294</v>
      </c>
      <c r="E324" s="25">
        <v>5.2</v>
      </c>
      <c r="F324" s="27">
        <v>4.9429657794676798</v>
      </c>
      <c r="G324" s="28">
        <v>1214.2</v>
      </c>
      <c r="H324" s="28">
        <v>722.1</v>
      </c>
      <c r="I324" s="28">
        <v>1215</v>
      </c>
      <c r="J324" s="27">
        <v>61.89</v>
      </c>
      <c r="K324" s="27">
        <v>62.26</v>
      </c>
      <c r="L324" s="27">
        <v>62.61</v>
      </c>
      <c r="M324" s="27">
        <v>61.87</v>
      </c>
      <c r="N324" s="27">
        <v>62.253333333333302</v>
      </c>
      <c r="O324" s="27">
        <v>15.56</v>
      </c>
      <c r="P324" s="27">
        <v>2.52</v>
      </c>
      <c r="Q324" s="27">
        <f>100*AVERAGE(O324,O326,O328)/AVERAGEA(O325,O327)</f>
        <v>88.90163464295955</v>
      </c>
    </row>
    <row r="325" spans="1:17" ht="14.4">
      <c r="A325" s="25" t="s">
        <v>135</v>
      </c>
      <c r="B325" s="25" t="s">
        <v>266</v>
      </c>
      <c r="C325" s="25" t="s">
        <v>345</v>
      </c>
      <c r="D325" s="26" t="s">
        <v>295</v>
      </c>
      <c r="E325" s="25">
        <v>5.2</v>
      </c>
      <c r="F325" s="27">
        <v>4.9429657794676798</v>
      </c>
      <c r="G325" s="28">
        <v>1246.5</v>
      </c>
      <c r="H325" s="28">
        <v>739.6</v>
      </c>
      <c r="I325" s="28">
        <v>1247.4000000000001</v>
      </c>
      <c r="J325" s="27">
        <v>63.85</v>
      </c>
      <c r="K325" s="27">
        <v>64.09</v>
      </c>
      <c r="L325" s="27">
        <v>63.93</v>
      </c>
      <c r="M325" s="27">
        <v>63.68</v>
      </c>
      <c r="N325" s="27">
        <v>63.956666666666699</v>
      </c>
      <c r="O325" s="27">
        <v>17.48</v>
      </c>
      <c r="P325" s="27">
        <v>3.5</v>
      </c>
    </row>
    <row r="326" spans="1:17" ht="14.4">
      <c r="A326" s="25" t="s">
        <v>135</v>
      </c>
      <c r="B326" s="25" t="s">
        <v>266</v>
      </c>
      <c r="C326" s="25" t="s">
        <v>345</v>
      </c>
      <c r="D326" s="26" t="s">
        <v>296</v>
      </c>
      <c r="E326" s="25">
        <v>5.2</v>
      </c>
      <c r="F326" s="27">
        <v>4.9429657794676798</v>
      </c>
      <c r="G326" s="28">
        <v>1235.3</v>
      </c>
      <c r="H326" s="28">
        <v>731.4</v>
      </c>
      <c r="I326" s="28">
        <v>1236.7</v>
      </c>
      <c r="J326" s="27">
        <v>63.61</v>
      </c>
      <c r="K326" s="27">
        <v>63.74</v>
      </c>
      <c r="L326" s="27">
        <v>63.79</v>
      </c>
      <c r="M326" s="27">
        <v>64.03</v>
      </c>
      <c r="N326" s="27">
        <v>63.713333333333303</v>
      </c>
      <c r="O326" s="27">
        <v>15.49</v>
      </c>
      <c r="P326" s="27">
        <v>2</v>
      </c>
    </row>
    <row r="327" spans="1:17" ht="14.4">
      <c r="A327" s="25" t="s">
        <v>135</v>
      </c>
      <c r="B327" s="25" t="s">
        <v>266</v>
      </c>
      <c r="C327" s="25" t="s">
        <v>345</v>
      </c>
      <c r="D327" s="26" t="s">
        <v>297</v>
      </c>
      <c r="E327" s="25">
        <v>5.2</v>
      </c>
      <c r="F327" s="27">
        <v>4.9429657794676798</v>
      </c>
      <c r="G327" s="28">
        <v>1236.0999999999999</v>
      </c>
      <c r="H327" s="28">
        <v>731.9</v>
      </c>
      <c r="I327" s="28">
        <v>1237.7</v>
      </c>
      <c r="J327" s="27">
        <v>64</v>
      </c>
      <c r="K327" s="27">
        <v>63.99</v>
      </c>
      <c r="L327" s="27">
        <v>63.94</v>
      </c>
      <c r="M327" s="27">
        <v>64.17</v>
      </c>
      <c r="N327" s="27">
        <v>63.976666666666702</v>
      </c>
      <c r="O327" s="27">
        <v>17.39</v>
      </c>
      <c r="P327" s="27">
        <v>4.78</v>
      </c>
    </row>
    <row r="328" spans="1:17" ht="14.4">
      <c r="A328" s="25" t="s">
        <v>135</v>
      </c>
      <c r="B328" s="25" t="s">
        <v>266</v>
      </c>
      <c r="C328" s="25" t="s">
        <v>345</v>
      </c>
      <c r="D328" s="26" t="s">
        <v>298</v>
      </c>
      <c r="E328" s="25">
        <v>5.2</v>
      </c>
      <c r="F328" s="27">
        <v>4.9429657794676798</v>
      </c>
      <c r="G328" s="28">
        <v>1222.2</v>
      </c>
      <c r="H328" s="28">
        <v>719</v>
      </c>
      <c r="I328" s="28">
        <v>1223.7</v>
      </c>
      <c r="J328" s="27">
        <v>63.85</v>
      </c>
      <c r="K328" s="27">
        <v>63.64</v>
      </c>
      <c r="L328" s="27">
        <v>63.75</v>
      </c>
      <c r="M328" s="27">
        <v>63.95</v>
      </c>
      <c r="N328" s="27">
        <v>63.746666666666698</v>
      </c>
      <c r="O328" s="27">
        <v>15.45</v>
      </c>
      <c r="P328" s="27">
        <v>2.94</v>
      </c>
    </row>
    <row r="329" spans="1:17" ht="14.4">
      <c r="A329" s="25" t="s">
        <v>135</v>
      </c>
      <c r="B329" s="25" t="s">
        <v>267</v>
      </c>
      <c r="C329" s="25" t="s">
        <v>443</v>
      </c>
      <c r="D329" s="26" t="s">
        <v>294</v>
      </c>
      <c r="E329" s="25">
        <v>5.2</v>
      </c>
      <c r="F329" s="27">
        <v>4.9429657794676798</v>
      </c>
      <c r="G329" s="28">
        <v>1226.7</v>
      </c>
      <c r="H329" s="28">
        <v>730.5</v>
      </c>
      <c r="I329" s="28">
        <v>1228.5</v>
      </c>
      <c r="J329" s="27">
        <v>62.75</v>
      </c>
      <c r="K329" s="27">
        <v>62.93</v>
      </c>
      <c r="L329" s="27">
        <v>62.61</v>
      </c>
      <c r="M329" s="27">
        <v>62.9</v>
      </c>
      <c r="N329" s="27">
        <v>62.7633333333333</v>
      </c>
      <c r="O329" s="27">
        <v>15.34</v>
      </c>
      <c r="P329" s="27">
        <v>2.63</v>
      </c>
      <c r="Q329" s="27">
        <f>100*AVERAGE(O329,O331,O333)/AVERAGEA(O330,O332)</f>
        <v>87.64595103578155</v>
      </c>
    </row>
    <row r="330" spans="1:17" ht="14.4">
      <c r="A330" s="25" t="s">
        <v>135</v>
      </c>
      <c r="B330" s="25" t="s">
        <v>267</v>
      </c>
      <c r="C330" s="25" t="s">
        <v>443</v>
      </c>
      <c r="D330" s="26" t="s">
        <v>295</v>
      </c>
      <c r="E330" s="25">
        <v>5.2</v>
      </c>
      <c r="F330" s="27">
        <v>4.9429657794676798</v>
      </c>
      <c r="G330" s="28">
        <v>1232.4000000000001</v>
      </c>
      <c r="H330" s="28">
        <v>732</v>
      </c>
      <c r="I330" s="28">
        <v>1234.2</v>
      </c>
      <c r="J330" s="27">
        <v>63.45</v>
      </c>
      <c r="K330" s="27">
        <v>63.62</v>
      </c>
      <c r="L330" s="27">
        <v>63.35</v>
      </c>
      <c r="M330" s="27">
        <v>63.7</v>
      </c>
      <c r="N330" s="27">
        <v>63.473333333333301</v>
      </c>
      <c r="O330" s="27">
        <v>17.309999999999999</v>
      </c>
      <c r="P330" s="27">
        <v>2.16</v>
      </c>
    </row>
    <row r="331" spans="1:17" ht="14.4">
      <c r="A331" s="25" t="s">
        <v>135</v>
      </c>
      <c r="B331" s="25" t="s">
        <v>267</v>
      </c>
      <c r="C331" s="25" t="s">
        <v>443</v>
      </c>
      <c r="D331" s="26" t="s">
        <v>296</v>
      </c>
      <c r="E331" s="25">
        <v>5.2</v>
      </c>
      <c r="F331" s="27">
        <v>4.9429657794676798</v>
      </c>
      <c r="G331" s="28">
        <v>1233.4000000000001</v>
      </c>
      <c r="H331" s="28">
        <v>729</v>
      </c>
      <c r="I331" s="28">
        <v>1236.3</v>
      </c>
      <c r="J331" s="27">
        <v>63.86</v>
      </c>
      <c r="K331" s="27">
        <v>64.319999999999993</v>
      </c>
      <c r="L331" s="27">
        <v>64.510000000000005</v>
      </c>
      <c r="M331" s="27">
        <v>64.150000000000006</v>
      </c>
      <c r="N331" s="27">
        <v>64.23</v>
      </c>
      <c r="O331" s="27">
        <v>15.34</v>
      </c>
      <c r="P331" s="27">
        <v>2.48</v>
      </c>
    </row>
    <row r="332" spans="1:17" ht="14.4">
      <c r="A332" s="25" t="s">
        <v>135</v>
      </c>
      <c r="B332" s="25" t="s">
        <v>267</v>
      </c>
      <c r="C332" s="25" t="s">
        <v>443</v>
      </c>
      <c r="D332" s="26" t="s">
        <v>297</v>
      </c>
      <c r="E332" s="25">
        <v>5.2</v>
      </c>
      <c r="F332" s="27">
        <v>4.9429657794676798</v>
      </c>
      <c r="G332" s="28">
        <v>1225.8</v>
      </c>
      <c r="H332" s="28">
        <v>723.1</v>
      </c>
      <c r="I332" s="28">
        <v>1228.2</v>
      </c>
      <c r="J332" s="27">
        <v>63.99</v>
      </c>
      <c r="K332" s="27">
        <v>64.02</v>
      </c>
      <c r="L332" s="27">
        <v>63.65</v>
      </c>
      <c r="M332" s="27">
        <v>63.7</v>
      </c>
      <c r="N332" s="27">
        <v>63.886666666666699</v>
      </c>
      <c r="O332" s="27">
        <v>18.09</v>
      </c>
      <c r="P332" s="27">
        <v>1.95</v>
      </c>
    </row>
    <row r="333" spans="1:17" ht="14.4">
      <c r="A333" s="25" t="s">
        <v>135</v>
      </c>
      <c r="B333" s="25" t="s">
        <v>267</v>
      </c>
      <c r="C333" s="25" t="s">
        <v>443</v>
      </c>
      <c r="D333" s="26" t="s">
        <v>298</v>
      </c>
      <c r="E333" s="25">
        <v>5.2</v>
      </c>
      <c r="F333" s="27">
        <v>4.9429657794676798</v>
      </c>
      <c r="G333" s="28">
        <v>1220.8</v>
      </c>
      <c r="H333" s="28">
        <v>719.2</v>
      </c>
      <c r="I333" s="28">
        <v>1224.5</v>
      </c>
      <c r="J333" s="27">
        <v>63.58</v>
      </c>
      <c r="K333" s="27">
        <v>63.65</v>
      </c>
      <c r="L333" s="27">
        <v>63.97</v>
      </c>
      <c r="M333" s="27">
        <v>64.099999999999994</v>
      </c>
      <c r="N333" s="27">
        <v>63.733333333333299</v>
      </c>
      <c r="O333" s="27">
        <v>15.86</v>
      </c>
      <c r="P333" s="27">
        <v>2.48</v>
      </c>
    </row>
    <row r="334" spans="1:17" ht="14.4">
      <c r="A334" s="25" t="s">
        <v>135</v>
      </c>
      <c r="B334" s="25" t="s">
        <v>268</v>
      </c>
      <c r="C334" s="25" t="s">
        <v>444</v>
      </c>
      <c r="D334" s="26" t="s">
        <v>294</v>
      </c>
      <c r="E334" s="25">
        <v>5.2</v>
      </c>
      <c r="F334" s="27">
        <v>4.9429657794676798</v>
      </c>
      <c r="G334" s="28">
        <v>1226.5</v>
      </c>
      <c r="H334" s="28">
        <v>725.6</v>
      </c>
      <c r="I334" s="28">
        <v>1228.3</v>
      </c>
      <c r="J334" s="27">
        <v>63.36</v>
      </c>
      <c r="K334" s="27">
        <v>63.6</v>
      </c>
      <c r="L334" s="27">
        <v>63.44</v>
      </c>
      <c r="M334" s="27">
        <v>63.75</v>
      </c>
      <c r="N334" s="27">
        <v>63.466666666666697</v>
      </c>
      <c r="O334" s="27">
        <v>14.48</v>
      </c>
      <c r="P334" s="27">
        <v>3.52</v>
      </c>
      <c r="Q334" s="27">
        <f>100*AVERAGE(O334,O336,O338)/AVERAGEA(O335,O337)</f>
        <v>90.097286226318502</v>
      </c>
    </row>
    <row r="335" spans="1:17" ht="14.4">
      <c r="A335" s="25" t="s">
        <v>135</v>
      </c>
      <c r="B335" s="25" t="s">
        <v>268</v>
      </c>
      <c r="C335" s="25" t="s">
        <v>444</v>
      </c>
      <c r="D335" s="26" t="s">
        <v>295</v>
      </c>
      <c r="E335" s="25">
        <v>5.2</v>
      </c>
      <c r="F335" s="27">
        <v>4.9429657794676798</v>
      </c>
      <c r="G335" s="28">
        <v>1227.2</v>
      </c>
      <c r="H335" s="28">
        <v>724.6</v>
      </c>
      <c r="I335" s="28">
        <v>1229.8</v>
      </c>
      <c r="J335" s="27">
        <v>63.83</v>
      </c>
      <c r="K335" s="27">
        <v>63.73</v>
      </c>
      <c r="L335" s="27">
        <v>63.57</v>
      </c>
      <c r="M335" s="27">
        <v>63.86</v>
      </c>
      <c r="N335" s="27">
        <v>63.71</v>
      </c>
      <c r="O335" s="27">
        <v>16.09</v>
      </c>
      <c r="P335" s="27">
        <v>2.44</v>
      </c>
    </row>
    <row r="336" spans="1:17" ht="14.4">
      <c r="A336" s="25" t="s">
        <v>135</v>
      </c>
      <c r="B336" s="25" t="s">
        <v>268</v>
      </c>
      <c r="C336" s="25" t="s">
        <v>444</v>
      </c>
      <c r="D336" s="26" t="s">
        <v>296</v>
      </c>
      <c r="E336" s="25">
        <v>5.2</v>
      </c>
      <c r="F336" s="27">
        <v>4.9429657794676798</v>
      </c>
      <c r="G336" s="28">
        <v>1228.4000000000001</v>
      </c>
      <c r="H336" s="28">
        <v>723.1</v>
      </c>
      <c r="I336" s="28">
        <v>1231.8</v>
      </c>
      <c r="J336" s="27">
        <v>64.45</v>
      </c>
      <c r="K336" s="27">
        <v>64.22</v>
      </c>
      <c r="L336" s="27">
        <v>64.33</v>
      </c>
      <c r="M336" s="27">
        <v>64.7</v>
      </c>
      <c r="N336" s="27">
        <v>64.3333333333333</v>
      </c>
      <c r="O336" s="27">
        <v>14.87</v>
      </c>
      <c r="P336" s="27">
        <v>2.77</v>
      </c>
    </row>
    <row r="337" spans="1:17" ht="14.4">
      <c r="A337" s="25" t="s">
        <v>135</v>
      </c>
      <c r="B337" s="25" t="s">
        <v>268</v>
      </c>
      <c r="C337" s="25" t="s">
        <v>444</v>
      </c>
      <c r="D337" s="26" t="s">
        <v>297</v>
      </c>
      <c r="E337" s="25">
        <v>5.2</v>
      </c>
      <c r="F337" s="27">
        <v>4.9429657794676798</v>
      </c>
      <c r="G337" s="28">
        <v>1220.4000000000001</v>
      </c>
      <c r="H337" s="28">
        <v>717.9</v>
      </c>
      <c r="I337" s="28">
        <v>1224</v>
      </c>
      <c r="J337" s="27">
        <v>63.85</v>
      </c>
      <c r="K337" s="27">
        <v>64.28</v>
      </c>
      <c r="L337" s="27">
        <v>64.13</v>
      </c>
      <c r="M337" s="27">
        <v>63.89</v>
      </c>
      <c r="N337" s="27">
        <v>64.086666666666702</v>
      </c>
      <c r="O337" s="27">
        <v>16.46</v>
      </c>
      <c r="P337" s="27">
        <v>2.67</v>
      </c>
    </row>
    <row r="338" spans="1:17" ht="14.4">
      <c r="A338" s="25" t="s">
        <v>135</v>
      </c>
      <c r="B338" s="25" t="s">
        <v>268</v>
      </c>
      <c r="C338" s="25" t="s">
        <v>444</v>
      </c>
      <c r="D338" s="26" t="s">
        <v>298</v>
      </c>
      <c r="E338" s="25">
        <v>5.2</v>
      </c>
      <c r="F338" s="27">
        <v>4.9429657794676798</v>
      </c>
      <c r="G338" s="28">
        <v>1216.0999999999999</v>
      </c>
      <c r="H338" s="28">
        <v>715.2</v>
      </c>
      <c r="I338" s="28">
        <v>1222.7</v>
      </c>
      <c r="J338" s="27">
        <v>64.47</v>
      </c>
      <c r="K338" s="27">
        <v>64.3</v>
      </c>
      <c r="L338" s="27">
        <v>64.430000000000007</v>
      </c>
      <c r="M338" s="27">
        <v>64.27</v>
      </c>
      <c r="N338" s="27">
        <v>64.400000000000006</v>
      </c>
      <c r="O338" s="27">
        <v>14.64</v>
      </c>
      <c r="P338" s="27">
        <v>3.07</v>
      </c>
    </row>
    <row r="339" spans="1:17" ht="14.4">
      <c r="A339" s="25" t="s">
        <v>137</v>
      </c>
      <c r="B339" s="25" t="s">
        <v>218</v>
      </c>
      <c r="C339" s="25" t="s">
        <v>445</v>
      </c>
      <c r="D339" s="26" t="s">
        <v>294</v>
      </c>
      <c r="E339" s="25">
        <v>4.8000000000000096</v>
      </c>
      <c r="F339" s="27">
        <v>4.5801526717557302</v>
      </c>
      <c r="G339" s="96">
        <v>1270.8</v>
      </c>
      <c r="H339" s="96">
        <v>760.2</v>
      </c>
      <c r="I339" s="96">
        <v>1273.8</v>
      </c>
      <c r="J339" s="97">
        <v>61.93</v>
      </c>
      <c r="K339" s="97">
        <v>61.81</v>
      </c>
      <c r="L339" s="97">
        <v>61.66</v>
      </c>
      <c r="M339" s="98">
        <v>61.72</v>
      </c>
      <c r="N339" s="97">
        <f>AVERAGE(J339:L339)</f>
        <v>61.800000000000004</v>
      </c>
      <c r="O339" s="97">
        <v>10.81</v>
      </c>
      <c r="P339" s="27">
        <v>2</v>
      </c>
      <c r="Q339" s="27">
        <f>100*AVERAGE(O339,O341,O343)/AVERAGEA(O340,O342)</f>
        <v>88.351403947734212</v>
      </c>
    </row>
    <row r="340" spans="1:17" ht="14.4">
      <c r="A340" s="25" t="s">
        <v>137</v>
      </c>
      <c r="B340" s="25" t="s">
        <v>218</v>
      </c>
      <c r="C340" s="25" t="s">
        <v>445</v>
      </c>
      <c r="D340" s="26" t="s">
        <v>295</v>
      </c>
      <c r="E340" s="25">
        <v>4.8000000000000096</v>
      </c>
      <c r="F340" s="27">
        <v>4.5801526717557302</v>
      </c>
      <c r="G340" s="96">
        <v>1272.5999999999999</v>
      </c>
      <c r="H340" s="96">
        <v>761.9</v>
      </c>
      <c r="I340" s="96">
        <v>1277</v>
      </c>
      <c r="J340" s="97">
        <v>63.16</v>
      </c>
      <c r="K340" s="97">
        <v>63.13</v>
      </c>
      <c r="L340" s="97">
        <v>63.05</v>
      </c>
      <c r="M340" s="98">
        <v>63.25</v>
      </c>
      <c r="N340" s="97">
        <f>AVERAGE(J340:L340)</f>
        <v>63.113333333333323</v>
      </c>
      <c r="O340" s="97">
        <v>11.59</v>
      </c>
      <c r="P340" s="27">
        <v>4.78</v>
      </c>
    </row>
    <row r="341" spans="1:17" ht="14.4">
      <c r="A341" s="25" t="s">
        <v>137</v>
      </c>
      <c r="B341" s="25" t="s">
        <v>218</v>
      </c>
      <c r="C341" s="25" t="s">
        <v>445</v>
      </c>
      <c r="D341" s="26" t="s">
        <v>296</v>
      </c>
      <c r="E341" s="25">
        <v>4.8000000000000096</v>
      </c>
      <c r="F341" s="27">
        <v>4.5801526717557302</v>
      </c>
      <c r="G341" s="96">
        <v>1262</v>
      </c>
      <c r="H341" s="96">
        <v>755.1</v>
      </c>
      <c r="I341" s="96">
        <v>1265.7</v>
      </c>
      <c r="J341" s="97">
        <v>63.26</v>
      </c>
      <c r="K341" s="97">
        <v>63.36</v>
      </c>
      <c r="L341" s="97">
        <v>63.58</v>
      </c>
      <c r="M341" s="98">
        <v>63.7</v>
      </c>
      <c r="N341" s="97">
        <f>AVERAGE(J341:L341)</f>
        <v>63.4</v>
      </c>
      <c r="O341" s="97">
        <v>10.77</v>
      </c>
      <c r="P341" s="27">
        <v>2.94</v>
      </c>
    </row>
    <row r="342" spans="1:17" ht="14.4">
      <c r="A342" s="25" t="s">
        <v>137</v>
      </c>
      <c r="B342" s="25" t="s">
        <v>218</v>
      </c>
      <c r="C342" s="25" t="s">
        <v>445</v>
      </c>
      <c r="D342" s="26" t="s">
        <v>297</v>
      </c>
      <c r="E342" s="25">
        <v>4.8000000000000096</v>
      </c>
      <c r="F342" s="27">
        <v>4.5801526717557302</v>
      </c>
      <c r="G342" s="96">
        <v>1261.0999999999999</v>
      </c>
      <c r="H342" s="96">
        <v>754.1</v>
      </c>
      <c r="I342" s="96">
        <v>1265.7</v>
      </c>
      <c r="J342" s="97">
        <v>63.44</v>
      </c>
      <c r="K342" s="97">
        <v>63.58</v>
      </c>
      <c r="L342" s="97">
        <v>63.64</v>
      </c>
      <c r="M342" s="98">
        <v>63.53</v>
      </c>
      <c r="N342" s="97">
        <f>AVERAGE(J342:L342)</f>
        <v>63.553333333333335</v>
      </c>
      <c r="O342" s="97">
        <v>12.39</v>
      </c>
      <c r="P342" s="27">
        <v>2.63</v>
      </c>
    </row>
    <row r="343" spans="1:17" ht="14.4">
      <c r="A343" s="25" t="s">
        <v>137</v>
      </c>
      <c r="B343" s="25" t="s">
        <v>218</v>
      </c>
      <c r="C343" s="25" t="s">
        <v>445</v>
      </c>
      <c r="D343" s="26" t="s">
        <v>298</v>
      </c>
      <c r="E343" s="25">
        <v>4.8000000000000096</v>
      </c>
      <c r="F343" s="27">
        <v>4.5801526717557302</v>
      </c>
      <c r="G343" s="96">
        <v>1249.8</v>
      </c>
      <c r="H343" s="96">
        <v>745</v>
      </c>
      <c r="I343" s="96">
        <v>1253.8</v>
      </c>
      <c r="J343" s="97">
        <v>64.959999999999994</v>
      </c>
      <c r="K343" s="97">
        <v>64.73</v>
      </c>
      <c r="L343" s="97">
        <v>64.349999999999994</v>
      </c>
      <c r="M343" s="98">
        <v>64.34</v>
      </c>
      <c r="N343" s="97">
        <f>AVERAGE(J343:L343)</f>
        <v>64.679999999999993</v>
      </c>
      <c r="O343" s="97">
        <v>10.199999999999999</v>
      </c>
      <c r="P343" s="27">
        <v>2.16</v>
      </c>
    </row>
    <row r="344" spans="1:17" ht="14.4">
      <c r="A344" s="25" t="s">
        <v>138</v>
      </c>
      <c r="B344" s="25" t="s">
        <v>94</v>
      </c>
      <c r="C344" s="25" t="s">
        <v>350</v>
      </c>
      <c r="D344" s="26" t="s">
        <v>294</v>
      </c>
      <c r="E344" s="28">
        <v>5</v>
      </c>
      <c r="F344" s="28">
        <v>4.76</v>
      </c>
      <c r="G344" s="28">
        <v>1213.3</v>
      </c>
      <c r="H344" s="28">
        <v>711.5</v>
      </c>
      <c r="I344" s="28">
        <v>1217.4000000000001</v>
      </c>
      <c r="J344" s="27">
        <v>63.49</v>
      </c>
      <c r="K344" s="27">
        <v>64.28</v>
      </c>
      <c r="L344" s="27">
        <v>64.08</v>
      </c>
      <c r="M344" s="27">
        <v>63.46</v>
      </c>
      <c r="N344" s="27">
        <v>63.827500000000001</v>
      </c>
      <c r="O344" s="97">
        <v>15.91</v>
      </c>
      <c r="P344" s="97">
        <v>2.94</v>
      </c>
      <c r="Q344" s="27">
        <f>100*AVERAGE(O344,O346,O348)/AVERAGEA(O345,O347)</f>
        <v>83.960461832378115</v>
      </c>
    </row>
    <row r="345" spans="1:17" ht="14.4">
      <c r="A345" s="25" t="s">
        <v>138</v>
      </c>
      <c r="B345" s="25" t="s">
        <v>94</v>
      </c>
      <c r="C345" s="25" t="s">
        <v>350</v>
      </c>
      <c r="D345" s="26" t="s">
        <v>295</v>
      </c>
      <c r="E345" s="28">
        <v>5</v>
      </c>
      <c r="F345" s="28">
        <v>4.76</v>
      </c>
      <c r="G345" s="28">
        <v>1207.5999999999999</v>
      </c>
      <c r="H345" s="28">
        <v>708.2</v>
      </c>
      <c r="I345" s="28">
        <v>1210</v>
      </c>
      <c r="J345" s="27">
        <v>63.65</v>
      </c>
      <c r="K345" s="27">
        <v>63.36</v>
      </c>
      <c r="L345" s="27">
        <v>63.5</v>
      </c>
      <c r="M345" s="27">
        <v>63.22</v>
      </c>
      <c r="N345" s="27">
        <v>63.432499999999997</v>
      </c>
      <c r="O345" s="97">
        <v>19.43</v>
      </c>
      <c r="P345" s="97">
        <v>1.87</v>
      </c>
    </row>
    <row r="346" spans="1:17" ht="14.4">
      <c r="A346" s="25" t="s">
        <v>138</v>
      </c>
      <c r="B346" s="25" t="s">
        <v>94</v>
      </c>
      <c r="C346" s="25" t="s">
        <v>350</v>
      </c>
      <c r="D346" s="26" t="s">
        <v>296</v>
      </c>
      <c r="E346" s="28">
        <v>5</v>
      </c>
      <c r="F346" s="28">
        <v>4.76</v>
      </c>
      <c r="G346" s="28">
        <v>1213.5999999999999</v>
      </c>
      <c r="H346" s="28">
        <v>715</v>
      </c>
      <c r="I346" s="28">
        <v>1215.4000000000001</v>
      </c>
      <c r="J346" s="27">
        <v>63.24</v>
      </c>
      <c r="K346" s="27">
        <v>62.73</v>
      </c>
      <c r="L346" s="27">
        <v>62.95</v>
      </c>
      <c r="M346" s="27">
        <v>63.24</v>
      </c>
      <c r="N346" s="27">
        <v>63.04</v>
      </c>
      <c r="O346" s="97">
        <v>17.739999999999998</v>
      </c>
      <c r="P346" s="97">
        <v>2</v>
      </c>
    </row>
    <row r="347" spans="1:17" ht="14.4">
      <c r="A347" s="25" t="s">
        <v>138</v>
      </c>
      <c r="B347" s="25" t="s">
        <v>94</v>
      </c>
      <c r="C347" s="25" t="s">
        <v>350</v>
      </c>
      <c r="D347" s="26" t="s">
        <v>297</v>
      </c>
      <c r="E347" s="28">
        <v>5</v>
      </c>
      <c r="F347" s="28">
        <v>4.76</v>
      </c>
      <c r="G347" s="28">
        <v>1212.4000000000001</v>
      </c>
      <c r="H347" s="28">
        <v>713.6</v>
      </c>
      <c r="I347" s="28">
        <v>1214.2</v>
      </c>
      <c r="J347" s="27">
        <v>62.93</v>
      </c>
      <c r="K347" s="27">
        <v>62.96</v>
      </c>
      <c r="L347" s="27">
        <v>63.38</v>
      </c>
      <c r="M347" s="27">
        <v>62.85</v>
      </c>
      <c r="N347" s="27">
        <v>63.03</v>
      </c>
      <c r="O347" s="97">
        <v>20.7</v>
      </c>
      <c r="P347" s="97">
        <v>1.9</v>
      </c>
    </row>
    <row r="348" spans="1:17" ht="14.4">
      <c r="A348" s="25" t="s">
        <v>138</v>
      </c>
      <c r="B348" s="25" t="s">
        <v>94</v>
      </c>
      <c r="C348" s="25" t="s">
        <v>350</v>
      </c>
      <c r="D348" s="26" t="s">
        <v>298</v>
      </c>
      <c r="E348" s="28">
        <v>5</v>
      </c>
      <c r="F348" s="28">
        <v>4.76</v>
      </c>
      <c r="G348" s="28">
        <v>1213.7</v>
      </c>
      <c r="H348" s="28">
        <v>713.2</v>
      </c>
      <c r="I348" s="28">
        <v>1216.4000000000001</v>
      </c>
      <c r="J348" s="27">
        <v>63.05</v>
      </c>
      <c r="K348" s="27">
        <v>63.54</v>
      </c>
      <c r="L348" s="27">
        <v>63.2</v>
      </c>
      <c r="M348" s="27">
        <v>63.06</v>
      </c>
      <c r="N348" s="27">
        <v>63.212499999999999</v>
      </c>
      <c r="O348" s="97">
        <v>16.89</v>
      </c>
      <c r="P348" s="97">
        <v>2.5099999999999998</v>
      </c>
    </row>
    <row r="349" spans="1:17" ht="14.4">
      <c r="A349" s="25" t="s">
        <v>139</v>
      </c>
      <c r="B349" s="25" t="s">
        <v>218</v>
      </c>
      <c r="C349" s="25" t="s">
        <v>445</v>
      </c>
      <c r="D349" s="26" t="s">
        <v>294</v>
      </c>
      <c r="E349" s="28">
        <v>4.8000000000000096</v>
      </c>
      <c r="F349" s="28">
        <v>4.5801526717557302</v>
      </c>
      <c r="G349" s="96">
        <v>1214.5</v>
      </c>
      <c r="H349" s="96">
        <v>716.4</v>
      </c>
      <c r="I349" s="96">
        <v>1216.0999999999999</v>
      </c>
      <c r="J349" s="97">
        <v>63.86</v>
      </c>
      <c r="K349" s="97">
        <v>64.19</v>
      </c>
      <c r="L349" s="97">
        <v>64.260000000000005</v>
      </c>
      <c r="M349" s="97">
        <v>64.39</v>
      </c>
      <c r="N349" s="97">
        <f>AVERAGE(J349:L349)</f>
        <v>64.103333333333339</v>
      </c>
      <c r="O349" s="97">
        <v>12.21</v>
      </c>
      <c r="P349" s="97">
        <v>2.73</v>
      </c>
      <c r="Q349" s="27">
        <f>100*AVERAGE(O349,O351,O353)/AVERAGEA(O350,O352)</f>
        <v>85.234669407331282</v>
      </c>
    </row>
    <row r="350" spans="1:17" ht="14.4">
      <c r="A350" s="25" t="s">
        <v>139</v>
      </c>
      <c r="B350" s="25" t="s">
        <v>218</v>
      </c>
      <c r="C350" s="25" t="s">
        <v>445</v>
      </c>
      <c r="D350" s="26" t="s">
        <v>295</v>
      </c>
      <c r="E350" s="28">
        <v>4.8000000000000096</v>
      </c>
      <c r="F350" s="28">
        <v>4.5801526717557302</v>
      </c>
      <c r="G350" s="96">
        <v>1211.3</v>
      </c>
      <c r="H350" s="96">
        <v>715.3</v>
      </c>
      <c r="I350" s="96">
        <v>1214.2</v>
      </c>
      <c r="J350" s="97">
        <v>64.010000000000005</v>
      </c>
      <c r="K350" s="97">
        <v>64.22</v>
      </c>
      <c r="L350" s="97">
        <v>64.349999999999994</v>
      </c>
      <c r="M350" s="97">
        <v>64.260000000000005</v>
      </c>
      <c r="N350" s="97">
        <f>AVERAGE(J350:L350)</f>
        <v>64.193333333333342</v>
      </c>
      <c r="O350" s="97">
        <v>14.51</v>
      </c>
      <c r="P350" s="97">
        <v>2.2200000000000002</v>
      </c>
    </row>
    <row r="351" spans="1:17" ht="14.4">
      <c r="A351" s="25" t="s">
        <v>139</v>
      </c>
      <c r="B351" s="25" t="s">
        <v>218</v>
      </c>
      <c r="C351" s="25" t="s">
        <v>445</v>
      </c>
      <c r="D351" s="26" t="s">
        <v>296</v>
      </c>
      <c r="E351" s="28">
        <v>4.8000000000000096</v>
      </c>
      <c r="F351" s="28">
        <v>4.5801526717557302</v>
      </c>
      <c r="G351" s="96">
        <v>1212.0999999999999</v>
      </c>
      <c r="H351" s="96">
        <v>716.8</v>
      </c>
      <c r="I351" s="96">
        <v>1215.8</v>
      </c>
      <c r="J351" s="97">
        <v>65.14</v>
      </c>
      <c r="K351" s="97">
        <v>65.17</v>
      </c>
      <c r="L351" s="97">
        <v>64.989999999999995</v>
      </c>
      <c r="M351" s="97">
        <v>65</v>
      </c>
      <c r="N351" s="97">
        <f>AVERAGE(J351:L351)</f>
        <v>65.100000000000009</v>
      </c>
      <c r="O351" s="97">
        <v>12.68</v>
      </c>
      <c r="P351" s="97">
        <v>4.03</v>
      </c>
    </row>
    <row r="352" spans="1:17" ht="14.4">
      <c r="A352" s="25" t="s">
        <v>139</v>
      </c>
      <c r="B352" s="25" t="s">
        <v>218</v>
      </c>
      <c r="C352" s="25" t="s">
        <v>445</v>
      </c>
      <c r="D352" s="26" t="s">
        <v>297</v>
      </c>
      <c r="E352" s="28">
        <v>4.8000000000000096</v>
      </c>
      <c r="F352" s="28">
        <v>4.5801526717557302</v>
      </c>
      <c r="G352" s="96">
        <v>1208.3</v>
      </c>
      <c r="H352" s="96">
        <v>715.3</v>
      </c>
      <c r="I352" s="96">
        <v>1211.0999999999999</v>
      </c>
      <c r="J352" s="97">
        <v>65.010000000000005</v>
      </c>
      <c r="K352" s="97">
        <v>65.16</v>
      </c>
      <c r="L352" s="97">
        <v>65.13</v>
      </c>
      <c r="M352" s="97">
        <v>65.31</v>
      </c>
      <c r="N352" s="97">
        <f>AVERAGE(J352:L352)</f>
        <v>65.100000000000009</v>
      </c>
      <c r="O352" s="97">
        <v>14.68</v>
      </c>
      <c r="P352" s="97">
        <v>2.31</v>
      </c>
    </row>
    <row r="353" spans="1:17" ht="14.4">
      <c r="A353" s="25" t="s">
        <v>139</v>
      </c>
      <c r="B353" s="25" t="s">
        <v>218</v>
      </c>
      <c r="C353" s="25" t="s">
        <v>445</v>
      </c>
      <c r="D353" s="26" t="s">
        <v>298</v>
      </c>
      <c r="E353" s="28">
        <v>4.8000000000000096</v>
      </c>
      <c r="F353" s="28">
        <v>4.5801526717557302</v>
      </c>
      <c r="G353" s="96">
        <v>1209.9000000000001</v>
      </c>
      <c r="H353" s="96">
        <v>715.4</v>
      </c>
      <c r="I353" s="96">
        <v>1214.4000000000001</v>
      </c>
      <c r="J353" s="97">
        <v>64.98</v>
      </c>
      <c r="K353" s="97">
        <v>65.03</v>
      </c>
      <c r="L353" s="97">
        <v>64.77</v>
      </c>
      <c r="M353" s="97">
        <v>65.08</v>
      </c>
      <c r="N353" s="97">
        <f>AVERAGE(J353:L353)</f>
        <v>64.926666666666662</v>
      </c>
      <c r="O353" s="97">
        <v>12.43</v>
      </c>
      <c r="P353" s="97">
        <v>2.82</v>
      </c>
    </row>
    <row r="354" spans="1:17" ht="14.4">
      <c r="A354" s="25" t="s">
        <v>140</v>
      </c>
      <c r="B354" s="25" t="s">
        <v>218</v>
      </c>
      <c r="C354" s="25" t="s">
        <v>445</v>
      </c>
      <c r="D354" s="26" t="s">
        <v>294</v>
      </c>
      <c r="E354" s="28">
        <v>4.8000000000000096</v>
      </c>
      <c r="F354" s="28">
        <v>4.5801526717557302</v>
      </c>
      <c r="G354" s="28">
        <v>1234.2</v>
      </c>
      <c r="H354" s="28">
        <v>738.8</v>
      </c>
      <c r="I354" s="28">
        <v>1237.4000000000001</v>
      </c>
      <c r="J354" s="27">
        <v>64.56</v>
      </c>
      <c r="K354" s="27">
        <v>64.819999999999993</v>
      </c>
      <c r="L354" s="27">
        <v>64.89</v>
      </c>
      <c r="M354" s="27">
        <v>65.12</v>
      </c>
      <c r="N354" s="27">
        <v>64.847499999999997</v>
      </c>
      <c r="O354" s="27">
        <v>12.58</v>
      </c>
      <c r="P354" s="27">
        <v>2.42</v>
      </c>
      <c r="Q354" s="27">
        <f>100*AVERAGE(O354,O356,O358)/AVERAGEA(O355,O357)</f>
        <v>83.188685310189655</v>
      </c>
    </row>
    <row r="355" spans="1:17" ht="14.4">
      <c r="A355" s="25" t="s">
        <v>140</v>
      </c>
      <c r="B355" s="25" t="s">
        <v>218</v>
      </c>
      <c r="C355" s="25" t="s">
        <v>445</v>
      </c>
      <c r="D355" s="26" t="s">
        <v>295</v>
      </c>
      <c r="E355" s="28">
        <v>4.8000000000000096</v>
      </c>
      <c r="F355" s="28">
        <v>4.5801526717557302</v>
      </c>
      <c r="G355" s="28">
        <v>1237.5999999999999</v>
      </c>
      <c r="H355" s="28">
        <v>741.7</v>
      </c>
      <c r="I355" s="28">
        <v>1239.3</v>
      </c>
      <c r="J355" s="27">
        <v>63.35</v>
      </c>
      <c r="K355" s="27">
        <v>62.7</v>
      </c>
      <c r="L355" s="27">
        <v>62.82</v>
      </c>
      <c r="M355" s="27">
        <v>62.43</v>
      </c>
      <c r="N355" s="27">
        <v>62.825000000000003</v>
      </c>
      <c r="O355" s="27">
        <v>16.72</v>
      </c>
      <c r="P355" s="27">
        <v>1.53</v>
      </c>
    </row>
    <row r="356" spans="1:17" ht="14.4">
      <c r="A356" s="25" t="s">
        <v>140</v>
      </c>
      <c r="B356" s="25" t="s">
        <v>218</v>
      </c>
      <c r="C356" s="25" t="s">
        <v>445</v>
      </c>
      <c r="D356" s="26" t="s">
        <v>296</v>
      </c>
      <c r="E356" s="28">
        <v>4.8000000000000096</v>
      </c>
      <c r="F356" s="28">
        <v>4.5801526717557302</v>
      </c>
      <c r="G356" s="28">
        <v>1235.8</v>
      </c>
      <c r="H356" s="28">
        <v>739.2</v>
      </c>
      <c r="I356" s="28">
        <v>1239.8</v>
      </c>
      <c r="J356" s="27">
        <v>64.36</v>
      </c>
      <c r="K356" s="27">
        <v>64.34</v>
      </c>
      <c r="L356" s="27">
        <v>64.11</v>
      </c>
      <c r="M356" s="27">
        <v>64.14</v>
      </c>
      <c r="N356" s="27">
        <v>64.237499999999997</v>
      </c>
      <c r="O356" s="27">
        <v>12.97</v>
      </c>
      <c r="P356" s="27">
        <v>1.88</v>
      </c>
    </row>
    <row r="357" spans="1:17" ht="14.4">
      <c r="A357" s="25" t="s">
        <v>140</v>
      </c>
      <c r="B357" s="25" t="s">
        <v>218</v>
      </c>
      <c r="C357" s="25" t="s">
        <v>445</v>
      </c>
      <c r="D357" s="26" t="s">
        <v>297</v>
      </c>
      <c r="E357" s="28">
        <v>4.8000000000000096</v>
      </c>
      <c r="F357" s="28">
        <v>4.5801526717557302</v>
      </c>
      <c r="G357" s="28">
        <v>1238</v>
      </c>
      <c r="H357" s="28">
        <v>742.2</v>
      </c>
      <c r="I357" s="28">
        <v>1241</v>
      </c>
      <c r="J357" s="27">
        <v>64.02</v>
      </c>
      <c r="K357" s="27">
        <v>63.96</v>
      </c>
      <c r="L357" s="27">
        <v>64.099999999999994</v>
      </c>
      <c r="M357" s="27">
        <v>64.010000000000005</v>
      </c>
      <c r="N357" s="27">
        <v>64.022499999999994</v>
      </c>
      <c r="O357" s="27">
        <v>14.39</v>
      </c>
      <c r="P357" s="27">
        <v>1.38</v>
      </c>
    </row>
    <row r="358" spans="1:17" ht="14.4">
      <c r="A358" s="25" t="s">
        <v>140</v>
      </c>
      <c r="B358" s="25" t="s">
        <v>218</v>
      </c>
      <c r="C358" s="25" t="s">
        <v>445</v>
      </c>
      <c r="D358" s="26" t="s">
        <v>298</v>
      </c>
      <c r="E358" s="28">
        <v>4.8000000000000096</v>
      </c>
      <c r="F358" s="28">
        <v>4.5801526717557302</v>
      </c>
      <c r="G358" s="28">
        <v>1239.2</v>
      </c>
      <c r="H358" s="28">
        <v>743.6</v>
      </c>
      <c r="I358" s="28">
        <v>1241.8</v>
      </c>
      <c r="J358" s="27">
        <v>63.54</v>
      </c>
      <c r="K358" s="27">
        <v>63.63</v>
      </c>
      <c r="L358" s="27">
        <v>63.76</v>
      </c>
      <c r="M358" s="27">
        <v>63.31</v>
      </c>
      <c r="N358" s="27">
        <v>63.56</v>
      </c>
      <c r="O358" s="27">
        <v>13.27</v>
      </c>
      <c r="P358" s="27">
        <v>2.12</v>
      </c>
    </row>
    <row r="359" spans="1:17" ht="14.4">
      <c r="A359" s="25" t="s">
        <v>141</v>
      </c>
      <c r="B359" s="25" t="s">
        <v>254</v>
      </c>
      <c r="C359" s="25" t="s">
        <v>336</v>
      </c>
      <c r="D359" s="26" t="s">
        <v>294</v>
      </c>
      <c r="E359" s="28">
        <v>4.8000000000000096</v>
      </c>
      <c r="F359" s="28">
        <v>4.5801526717557302</v>
      </c>
      <c r="G359" s="28">
        <v>1228.9000000000001</v>
      </c>
      <c r="H359" s="28">
        <v>724.4</v>
      </c>
      <c r="I359" s="28">
        <v>1231.5999999999999</v>
      </c>
      <c r="J359" s="27">
        <v>64.69</v>
      </c>
      <c r="K359" s="27">
        <v>64.92</v>
      </c>
      <c r="L359" s="27">
        <v>64.650000000000006</v>
      </c>
      <c r="M359" s="27">
        <v>64.7</v>
      </c>
      <c r="N359" s="27">
        <v>64.739999999999995</v>
      </c>
      <c r="O359" s="27">
        <v>10.43</v>
      </c>
      <c r="P359" s="27">
        <v>2.4700000000000002</v>
      </c>
      <c r="Q359" s="27">
        <f>100*AVERAGE(O359,O361,O363)/AVERAGEA(O360,O362)</f>
        <v>87.35830104749607</v>
      </c>
    </row>
    <row r="360" spans="1:17" ht="14.4">
      <c r="A360" s="25" t="s">
        <v>141</v>
      </c>
      <c r="B360" s="25" t="s">
        <v>254</v>
      </c>
      <c r="C360" s="25" t="s">
        <v>336</v>
      </c>
      <c r="D360" s="26" t="s">
        <v>295</v>
      </c>
      <c r="E360" s="28">
        <v>4.8000000000000096</v>
      </c>
      <c r="F360" s="28">
        <v>4.5801526717557302</v>
      </c>
      <c r="G360" s="28">
        <v>1218.5</v>
      </c>
      <c r="H360" s="28">
        <v>720.9</v>
      </c>
      <c r="I360" s="28">
        <v>1221.4000000000001</v>
      </c>
      <c r="J360" s="27">
        <v>64.599999999999994</v>
      </c>
      <c r="K360" s="27">
        <v>64.75</v>
      </c>
      <c r="L360" s="27">
        <v>64.33</v>
      </c>
      <c r="M360" s="27">
        <v>64.900000000000006</v>
      </c>
      <c r="N360" s="27">
        <v>64.644999999999996</v>
      </c>
      <c r="O360" s="27">
        <v>11.43</v>
      </c>
      <c r="P360" s="27">
        <v>2.0699999999999998</v>
      </c>
    </row>
    <row r="361" spans="1:17" ht="14.4">
      <c r="A361" s="25" t="s">
        <v>141</v>
      </c>
      <c r="B361" s="25" t="s">
        <v>254</v>
      </c>
      <c r="C361" s="25" t="s">
        <v>336</v>
      </c>
      <c r="D361" s="26" t="s">
        <v>296</v>
      </c>
      <c r="E361" s="28">
        <v>4.8000000000000096</v>
      </c>
      <c r="F361" s="28">
        <v>4.5801526717557302</v>
      </c>
      <c r="G361" s="28">
        <v>1217.9000000000001</v>
      </c>
      <c r="H361" s="28">
        <v>716.6</v>
      </c>
      <c r="I361" s="28">
        <v>1220</v>
      </c>
      <c r="J361" s="27">
        <v>64</v>
      </c>
      <c r="K361" s="27">
        <v>64.680000000000007</v>
      </c>
      <c r="L361" s="27">
        <v>64.92</v>
      </c>
      <c r="M361" s="27">
        <v>64.89</v>
      </c>
      <c r="N361" s="27">
        <v>64.622500000000002</v>
      </c>
      <c r="O361" s="27">
        <v>10.130000000000001</v>
      </c>
      <c r="P361" s="27">
        <v>2.25</v>
      </c>
    </row>
    <row r="362" spans="1:17" ht="14.4">
      <c r="A362" s="25" t="s">
        <v>141</v>
      </c>
      <c r="B362" s="25" t="s">
        <v>254</v>
      </c>
      <c r="C362" s="25" t="s">
        <v>336</v>
      </c>
      <c r="D362" s="26" t="s">
        <v>297</v>
      </c>
      <c r="E362" s="28">
        <v>4.8000000000000096</v>
      </c>
      <c r="F362" s="28">
        <v>4.5801526717557302</v>
      </c>
      <c r="G362" s="28">
        <v>1211.7</v>
      </c>
      <c r="H362" s="28">
        <v>715.4</v>
      </c>
      <c r="I362" s="28">
        <v>1213.9000000000001</v>
      </c>
      <c r="J362" s="27">
        <v>65.06</v>
      </c>
      <c r="K362" s="27">
        <v>65.2</v>
      </c>
      <c r="L362" s="27">
        <v>65.03</v>
      </c>
      <c r="M362" s="27">
        <v>65.3</v>
      </c>
      <c r="N362" s="27">
        <v>65.147499999999994</v>
      </c>
      <c r="O362" s="27">
        <v>11.8</v>
      </c>
      <c r="P362" s="27">
        <v>2.56</v>
      </c>
    </row>
    <row r="363" spans="1:17" ht="14.4">
      <c r="A363" s="25" t="s">
        <v>141</v>
      </c>
      <c r="B363" s="25" t="s">
        <v>254</v>
      </c>
      <c r="C363" s="25" t="s">
        <v>336</v>
      </c>
      <c r="D363" s="26" t="s">
        <v>298</v>
      </c>
      <c r="E363" s="28">
        <v>4.8000000000000096</v>
      </c>
      <c r="F363" s="28">
        <v>4.5801526717557302</v>
      </c>
      <c r="G363" s="28">
        <v>1209.5999999999999</v>
      </c>
      <c r="H363" s="28">
        <v>713.7</v>
      </c>
      <c r="I363" s="28">
        <v>1212.7</v>
      </c>
      <c r="J363" s="27">
        <v>64.2</v>
      </c>
      <c r="K363" s="27">
        <v>64.7</v>
      </c>
      <c r="L363" s="27">
        <v>64.260000000000005</v>
      </c>
      <c r="M363" s="27">
        <v>64.16</v>
      </c>
      <c r="N363" s="27">
        <v>64.33</v>
      </c>
      <c r="O363" s="27">
        <v>9.8800000000000008</v>
      </c>
      <c r="P363" s="27">
        <v>2.25</v>
      </c>
    </row>
    <row r="364" spans="1:17" ht="14.4">
      <c r="A364" s="25" t="s">
        <v>141</v>
      </c>
      <c r="B364" s="25" t="s">
        <v>254</v>
      </c>
      <c r="C364" s="25" t="s">
        <v>354</v>
      </c>
      <c r="D364" s="26" t="s">
        <v>294</v>
      </c>
      <c r="E364" s="28">
        <v>4.8000000000000096</v>
      </c>
      <c r="F364" s="28">
        <v>4.5801526717557302</v>
      </c>
      <c r="G364" s="28">
        <v>1222.8</v>
      </c>
      <c r="H364" s="28">
        <v>725.2</v>
      </c>
      <c r="I364" s="28">
        <v>1224.4000000000001</v>
      </c>
      <c r="J364" s="27">
        <v>63.78</v>
      </c>
      <c r="K364" s="27">
        <v>63.35</v>
      </c>
      <c r="L364" s="27">
        <v>63.85</v>
      </c>
      <c r="M364" s="27">
        <v>63.36</v>
      </c>
      <c r="N364" s="27">
        <v>63.585000000000001</v>
      </c>
      <c r="O364" s="27">
        <v>10.59</v>
      </c>
      <c r="P364" s="27">
        <v>2.2599999999999998</v>
      </c>
      <c r="Q364" s="27">
        <f>100*AVERAGE(O364,O366,O368)/AVERAGEA(O365,O367)</f>
        <v>80.872176524350422</v>
      </c>
    </row>
    <row r="365" spans="1:17" ht="14.4">
      <c r="A365" s="25" t="s">
        <v>141</v>
      </c>
      <c r="B365" s="25" t="s">
        <v>254</v>
      </c>
      <c r="C365" s="25" t="s">
        <v>354</v>
      </c>
      <c r="D365" s="26" t="s">
        <v>295</v>
      </c>
      <c r="E365" s="28">
        <v>4.8000000000000096</v>
      </c>
      <c r="F365" s="28">
        <v>4.5801526717557302</v>
      </c>
      <c r="G365" s="28">
        <v>1221.5</v>
      </c>
      <c r="H365" s="28">
        <v>719.3</v>
      </c>
      <c r="I365" s="28">
        <v>1223.5999999999999</v>
      </c>
      <c r="J365" s="27">
        <v>63.85</v>
      </c>
      <c r="K365" s="27">
        <v>64.05</v>
      </c>
      <c r="L365" s="27">
        <v>64.319999999999993</v>
      </c>
      <c r="M365" s="27">
        <v>64.13</v>
      </c>
      <c r="N365" s="27">
        <v>64.087500000000006</v>
      </c>
      <c r="O365" s="27">
        <v>12.69</v>
      </c>
      <c r="P365" s="27">
        <v>1.46</v>
      </c>
    </row>
    <row r="366" spans="1:17" ht="14.4">
      <c r="A366" s="25" t="s">
        <v>141</v>
      </c>
      <c r="B366" s="25" t="s">
        <v>254</v>
      </c>
      <c r="C366" s="25" t="s">
        <v>354</v>
      </c>
      <c r="D366" s="26" t="s">
        <v>296</v>
      </c>
      <c r="E366" s="28">
        <v>4.8000000000000096</v>
      </c>
      <c r="F366" s="28">
        <v>4.5801526717557302</v>
      </c>
      <c r="G366" s="28">
        <v>1222.9000000000001</v>
      </c>
      <c r="H366" s="28">
        <v>721.9</v>
      </c>
      <c r="I366" s="28">
        <v>1225.7</v>
      </c>
      <c r="J366" s="27">
        <v>64.569999999999993</v>
      </c>
      <c r="K366" s="27">
        <v>64.48</v>
      </c>
      <c r="L366" s="27">
        <v>64.3</v>
      </c>
      <c r="M366" s="27">
        <v>64.5</v>
      </c>
      <c r="N366" s="27">
        <v>64.462500000000006</v>
      </c>
      <c r="O366" s="27">
        <v>10.02</v>
      </c>
      <c r="P366" s="27">
        <v>2.73</v>
      </c>
    </row>
    <row r="367" spans="1:17" ht="14.4">
      <c r="A367" s="25" t="s">
        <v>141</v>
      </c>
      <c r="B367" s="25" t="s">
        <v>254</v>
      </c>
      <c r="C367" s="25" t="s">
        <v>354</v>
      </c>
      <c r="D367" s="26" t="s">
        <v>297</v>
      </c>
      <c r="E367" s="28">
        <v>4.8000000000000096</v>
      </c>
      <c r="F367" s="28">
        <v>4.5801526717557302</v>
      </c>
      <c r="G367" s="28">
        <v>1213.5</v>
      </c>
      <c r="H367" s="28">
        <v>715.5</v>
      </c>
      <c r="I367" s="28">
        <v>1216.5</v>
      </c>
      <c r="J367" s="27">
        <v>63.81</v>
      </c>
      <c r="K367" s="27">
        <v>63.9</v>
      </c>
      <c r="L367" s="27">
        <v>64.08</v>
      </c>
      <c r="M367" s="27">
        <v>63.88</v>
      </c>
      <c r="N367" s="27">
        <v>63.917499999999997</v>
      </c>
      <c r="O367" s="27">
        <v>12.84</v>
      </c>
      <c r="P367" s="27">
        <v>2.23</v>
      </c>
    </row>
    <row r="368" spans="1:17" ht="14.4">
      <c r="A368" s="25" t="s">
        <v>141</v>
      </c>
      <c r="B368" s="25" t="s">
        <v>254</v>
      </c>
      <c r="C368" s="25" t="s">
        <v>354</v>
      </c>
      <c r="D368" s="26" t="s">
        <v>298</v>
      </c>
      <c r="E368" s="28">
        <v>4.7999999999999901</v>
      </c>
      <c r="F368" s="28">
        <v>4.5801526717557302</v>
      </c>
      <c r="G368" s="28">
        <v>1208.5</v>
      </c>
      <c r="H368" s="28">
        <v>712</v>
      </c>
      <c r="I368" s="28">
        <v>1211.2</v>
      </c>
      <c r="J368" s="27">
        <v>64.150000000000006</v>
      </c>
      <c r="K368" s="27">
        <v>64.53</v>
      </c>
      <c r="L368" s="27">
        <v>63.88</v>
      </c>
      <c r="M368" s="27">
        <v>64.239999999999995</v>
      </c>
      <c r="N368" s="27">
        <v>64.2</v>
      </c>
      <c r="O368" s="27">
        <v>10.36</v>
      </c>
      <c r="P368" s="27">
        <v>3.15</v>
      </c>
    </row>
    <row r="369" spans="1:17" ht="14.4">
      <c r="A369" s="25" t="s">
        <v>142</v>
      </c>
      <c r="B369" s="25" t="s">
        <v>218</v>
      </c>
      <c r="C369" s="25" t="s">
        <v>445</v>
      </c>
      <c r="D369" s="26" t="s">
        <v>294</v>
      </c>
      <c r="E369" s="28">
        <v>4.8000000000000096</v>
      </c>
      <c r="F369" s="28">
        <v>4.5801526717557302</v>
      </c>
      <c r="G369" s="28">
        <v>1220</v>
      </c>
      <c r="H369" s="28">
        <v>726.1</v>
      </c>
      <c r="I369" s="28">
        <v>1221.5999999999999</v>
      </c>
      <c r="J369" s="27">
        <v>63.33</v>
      </c>
      <c r="K369" s="27">
        <v>63.28</v>
      </c>
      <c r="L369" s="27">
        <v>63.5</v>
      </c>
      <c r="M369" s="27">
        <v>63.4</v>
      </c>
      <c r="N369" s="27">
        <v>63.377499999999998</v>
      </c>
      <c r="O369" s="27">
        <v>17.649999999999999</v>
      </c>
      <c r="P369" s="27">
        <v>2.4700000000000002</v>
      </c>
      <c r="Q369" s="27">
        <f>100*AVERAGE(O369,O371,O373)/AVERAGEA(O370,O372)</f>
        <v>89.022898094738665</v>
      </c>
    </row>
    <row r="370" spans="1:17" ht="14.4">
      <c r="A370" s="25" t="s">
        <v>142</v>
      </c>
      <c r="B370" s="25" t="s">
        <v>218</v>
      </c>
      <c r="C370" s="25" t="s">
        <v>445</v>
      </c>
      <c r="D370" s="26" t="s">
        <v>295</v>
      </c>
      <c r="E370" s="28">
        <v>4.8000000000000096</v>
      </c>
      <c r="F370" s="28">
        <v>4.5801526717557302</v>
      </c>
      <c r="G370" s="28">
        <v>1220.7</v>
      </c>
      <c r="H370" s="28">
        <v>725.7</v>
      </c>
      <c r="I370" s="28">
        <v>1222.3</v>
      </c>
      <c r="J370" s="27">
        <v>63.05</v>
      </c>
      <c r="K370" s="27">
        <v>62.96</v>
      </c>
      <c r="L370" s="27">
        <v>62.6</v>
      </c>
      <c r="M370" s="27">
        <v>62.76</v>
      </c>
      <c r="N370" s="27">
        <v>62.842500000000001</v>
      </c>
      <c r="O370" s="27">
        <v>19.52</v>
      </c>
      <c r="P370" s="27">
        <v>1.77</v>
      </c>
    </row>
    <row r="371" spans="1:17" ht="14.4">
      <c r="A371" s="25" t="s">
        <v>142</v>
      </c>
      <c r="B371" s="25" t="s">
        <v>218</v>
      </c>
      <c r="C371" s="25" t="s">
        <v>445</v>
      </c>
      <c r="D371" s="26" t="s">
        <v>296</v>
      </c>
      <c r="E371" s="28">
        <v>4.8000000000000096</v>
      </c>
      <c r="F371" s="28">
        <v>4.5801526717557302</v>
      </c>
      <c r="G371" s="28">
        <v>1222.7</v>
      </c>
      <c r="H371" s="28">
        <v>725.3</v>
      </c>
      <c r="I371" s="28">
        <v>1224.7</v>
      </c>
      <c r="J371" s="27">
        <v>63.44</v>
      </c>
      <c r="K371" s="27">
        <v>63.27</v>
      </c>
      <c r="L371" s="27">
        <v>63.19</v>
      </c>
      <c r="M371" s="27">
        <v>63.11</v>
      </c>
      <c r="N371" s="27">
        <v>63.252499999999998</v>
      </c>
      <c r="O371" s="27">
        <v>17.149999999999999</v>
      </c>
      <c r="P371" s="27">
        <v>2.39</v>
      </c>
    </row>
    <row r="372" spans="1:17" ht="14.4">
      <c r="A372" s="25" t="s">
        <v>142</v>
      </c>
      <c r="B372" s="25" t="s">
        <v>218</v>
      </c>
      <c r="C372" s="25" t="s">
        <v>445</v>
      </c>
      <c r="D372" s="26" t="s">
        <v>297</v>
      </c>
      <c r="E372" s="28">
        <v>4.8000000000000096</v>
      </c>
      <c r="F372" s="28">
        <v>4.5801526717557302</v>
      </c>
      <c r="G372" s="28">
        <v>1221</v>
      </c>
      <c r="H372" s="28">
        <v>727.7</v>
      </c>
      <c r="I372" s="28">
        <v>1224</v>
      </c>
      <c r="J372" s="27">
        <v>63.57</v>
      </c>
      <c r="K372" s="27">
        <v>63.85</v>
      </c>
      <c r="L372" s="27">
        <v>63.79</v>
      </c>
      <c r="M372" s="27">
        <v>63.86</v>
      </c>
      <c r="N372" s="27">
        <v>63.767499999999998</v>
      </c>
      <c r="O372" s="27">
        <v>18.62</v>
      </c>
      <c r="P372" s="27">
        <v>2.64</v>
      </c>
    </row>
    <row r="373" spans="1:17" ht="14.4">
      <c r="A373" s="25" t="s">
        <v>142</v>
      </c>
      <c r="B373" s="25" t="s">
        <v>218</v>
      </c>
      <c r="C373" s="25" t="s">
        <v>445</v>
      </c>
      <c r="D373" s="26" t="s">
        <v>298</v>
      </c>
      <c r="E373" s="28">
        <v>4.8000000000000096</v>
      </c>
      <c r="F373" s="28">
        <v>4.5801526717557302</v>
      </c>
      <c r="G373" s="28">
        <v>1213.0999999999999</v>
      </c>
      <c r="H373" s="28">
        <v>718.9</v>
      </c>
      <c r="I373" s="28">
        <v>1217.2</v>
      </c>
      <c r="J373" s="27">
        <v>63.92</v>
      </c>
      <c r="K373" s="27">
        <v>64.28</v>
      </c>
      <c r="L373" s="27">
        <v>63.81</v>
      </c>
      <c r="M373" s="27">
        <v>64.010000000000005</v>
      </c>
      <c r="N373" s="27">
        <v>64.004999999999995</v>
      </c>
      <c r="O373" s="27">
        <v>16.13</v>
      </c>
      <c r="P373" s="27">
        <v>2.6</v>
      </c>
    </row>
    <row r="374" spans="1:17" ht="14.4">
      <c r="A374" s="25" t="s">
        <v>144</v>
      </c>
      <c r="B374" s="25" t="s">
        <v>197</v>
      </c>
      <c r="C374" s="25" t="s">
        <v>429</v>
      </c>
      <c r="D374" s="26" t="s">
        <v>294</v>
      </c>
      <c r="E374" s="28">
        <v>4.2</v>
      </c>
      <c r="F374" s="28">
        <v>4.0307101727447199</v>
      </c>
      <c r="G374" s="28">
        <v>1210.4000000000001</v>
      </c>
      <c r="H374" s="28">
        <v>726.8</v>
      </c>
      <c r="I374" s="28">
        <v>1213.8</v>
      </c>
      <c r="J374" s="27">
        <v>63.71</v>
      </c>
      <c r="K374" s="27">
        <v>63.33</v>
      </c>
      <c r="L374" s="27">
        <v>63.01</v>
      </c>
      <c r="M374" s="27">
        <v>63.53</v>
      </c>
      <c r="N374" s="27">
        <v>63.395000000000003</v>
      </c>
      <c r="O374" s="27">
        <v>10.66</v>
      </c>
      <c r="P374" s="27">
        <v>2.63</v>
      </c>
      <c r="Q374" s="27">
        <f>100*AVERAGE(O374,O376,O378)/AVERAGEA(O375,O377)</f>
        <v>83.253588516746419</v>
      </c>
    </row>
    <row r="375" spans="1:17" ht="14.4">
      <c r="A375" s="25" t="s">
        <v>144</v>
      </c>
      <c r="B375" s="25" t="s">
        <v>197</v>
      </c>
      <c r="C375" s="25" t="s">
        <v>429</v>
      </c>
      <c r="D375" s="26" t="s">
        <v>295</v>
      </c>
      <c r="E375" s="28">
        <v>4.2</v>
      </c>
      <c r="F375" s="28">
        <v>4.0307101727447199</v>
      </c>
      <c r="G375" s="28">
        <v>1217.9000000000001</v>
      </c>
      <c r="H375" s="28">
        <v>726.1</v>
      </c>
      <c r="I375" s="28">
        <v>1219.4000000000001</v>
      </c>
      <c r="J375" s="27">
        <v>63.37</v>
      </c>
      <c r="K375" s="27">
        <v>63.43</v>
      </c>
      <c r="L375" s="27">
        <v>64.42</v>
      </c>
      <c r="M375" s="27">
        <v>63.38</v>
      </c>
      <c r="N375" s="27">
        <v>63.65</v>
      </c>
      <c r="O375" s="27">
        <v>12.27</v>
      </c>
      <c r="P375" s="27">
        <v>1.64</v>
      </c>
    </row>
    <row r="376" spans="1:17" ht="14.4">
      <c r="A376" s="25" t="s">
        <v>144</v>
      </c>
      <c r="B376" s="25" t="s">
        <v>197</v>
      </c>
      <c r="C376" s="25" t="s">
        <v>429</v>
      </c>
      <c r="D376" s="26" t="s">
        <v>296</v>
      </c>
      <c r="E376" s="28">
        <v>4.2</v>
      </c>
      <c r="F376" s="28">
        <v>4.0307101727447199</v>
      </c>
      <c r="G376" s="28">
        <v>1215.3</v>
      </c>
      <c r="H376" s="28">
        <v>724.9</v>
      </c>
      <c r="I376" s="28">
        <v>1219.2</v>
      </c>
      <c r="J376" s="27">
        <v>64.09</v>
      </c>
      <c r="K376" s="27">
        <v>64.34</v>
      </c>
      <c r="L376" s="27">
        <v>64.28</v>
      </c>
      <c r="M376" s="27">
        <v>64.16</v>
      </c>
      <c r="N376" s="27">
        <v>64.217500000000001</v>
      </c>
      <c r="O376" s="27">
        <v>10.32</v>
      </c>
      <c r="P376" s="27">
        <v>2.87</v>
      </c>
    </row>
    <row r="377" spans="1:17" ht="14.4">
      <c r="A377" s="25" t="s">
        <v>144</v>
      </c>
      <c r="B377" s="25" t="s">
        <v>197</v>
      </c>
      <c r="C377" s="25" t="s">
        <v>429</v>
      </c>
      <c r="D377" s="26" t="s">
        <v>297</v>
      </c>
      <c r="E377" s="28">
        <v>4.2</v>
      </c>
      <c r="F377" s="28">
        <v>4.0307101727447199</v>
      </c>
      <c r="G377" s="28">
        <v>1219.0999999999999</v>
      </c>
      <c r="H377" s="28">
        <v>727.8</v>
      </c>
      <c r="I377" s="28">
        <v>1221.5999999999999</v>
      </c>
      <c r="J377" s="27">
        <v>63.94</v>
      </c>
      <c r="K377" s="27">
        <v>64.010000000000005</v>
      </c>
      <c r="L377" s="27">
        <v>64.959999999999994</v>
      </c>
      <c r="M377" s="27">
        <v>63.95</v>
      </c>
      <c r="N377" s="27">
        <v>64.215000000000003</v>
      </c>
      <c r="O377" s="27">
        <v>12.81</v>
      </c>
      <c r="P377" s="27">
        <v>1.75</v>
      </c>
    </row>
    <row r="378" spans="1:17" ht="14.4">
      <c r="A378" s="25" t="s">
        <v>144</v>
      </c>
      <c r="B378" s="25" t="s">
        <v>197</v>
      </c>
      <c r="C378" s="25" t="s">
        <v>429</v>
      </c>
      <c r="D378" s="26" t="s">
        <v>298</v>
      </c>
      <c r="E378" s="28">
        <v>4.2</v>
      </c>
      <c r="F378" s="28">
        <v>4.0307101727447199</v>
      </c>
      <c r="G378" s="28">
        <v>1216.9000000000001</v>
      </c>
      <c r="H378" s="28">
        <v>725.8</v>
      </c>
      <c r="I378" s="28">
        <v>1219</v>
      </c>
      <c r="J378" s="27">
        <v>64.81</v>
      </c>
      <c r="K378" s="27">
        <v>64.89</v>
      </c>
      <c r="L378" s="27">
        <v>64.95</v>
      </c>
      <c r="M378" s="27">
        <v>65.069999999999993</v>
      </c>
      <c r="N378" s="27">
        <v>64.930000000000007</v>
      </c>
      <c r="O378" s="27">
        <v>10.34</v>
      </c>
      <c r="P378" s="27">
        <v>3.26</v>
      </c>
    </row>
    <row r="379" spans="1:17" ht="14.4">
      <c r="A379" s="25" t="s">
        <v>145</v>
      </c>
      <c r="B379" s="25" t="s">
        <v>94</v>
      </c>
      <c r="C379" s="25" t="s">
        <v>357</v>
      </c>
      <c r="D379" s="26" t="s">
        <v>294</v>
      </c>
      <c r="E379" s="28">
        <v>5</v>
      </c>
      <c r="F379" s="28">
        <v>4.76</v>
      </c>
      <c r="G379" s="28">
        <v>1208.0999999999999</v>
      </c>
      <c r="H379" s="28">
        <v>706.6</v>
      </c>
      <c r="I379" s="28">
        <v>1209</v>
      </c>
      <c r="J379" s="27">
        <v>63.37</v>
      </c>
      <c r="K379" s="27">
        <v>63.78</v>
      </c>
      <c r="L379" s="27">
        <v>63.45</v>
      </c>
      <c r="M379" s="27">
        <v>63.33</v>
      </c>
      <c r="N379" s="27">
        <v>63.482500000000002</v>
      </c>
      <c r="O379" s="27">
        <v>11.42</v>
      </c>
      <c r="P379" s="27">
        <v>2.14</v>
      </c>
      <c r="Q379" s="27">
        <f>100*AVERAGE(O379,O381,O383)/AVERAGEA(O380,O382)</f>
        <v>85.528065974993353</v>
      </c>
    </row>
    <row r="380" spans="1:17" ht="14.4">
      <c r="A380" s="25" t="s">
        <v>145</v>
      </c>
      <c r="B380" s="25" t="s">
        <v>94</v>
      </c>
      <c r="C380" s="25" t="s">
        <v>357</v>
      </c>
      <c r="D380" s="26" t="s">
        <v>295</v>
      </c>
      <c r="E380" s="28">
        <v>5</v>
      </c>
      <c r="F380" s="28">
        <v>4.76</v>
      </c>
      <c r="G380" s="28">
        <v>1212.7</v>
      </c>
      <c r="H380" s="28">
        <v>709.4</v>
      </c>
      <c r="I380" s="28">
        <v>1213.8</v>
      </c>
      <c r="J380" s="27">
        <v>63.72</v>
      </c>
      <c r="K380" s="27">
        <v>64.12</v>
      </c>
      <c r="L380" s="27">
        <v>64.14</v>
      </c>
      <c r="M380" s="27">
        <v>63.77</v>
      </c>
      <c r="N380" s="27">
        <v>63.9375</v>
      </c>
      <c r="O380" s="27">
        <v>12.61</v>
      </c>
      <c r="P380" s="27">
        <v>1.85</v>
      </c>
    </row>
    <row r="381" spans="1:17" ht="14.4">
      <c r="A381" s="25" t="s">
        <v>145</v>
      </c>
      <c r="B381" s="25" t="s">
        <v>94</v>
      </c>
      <c r="C381" s="25" t="s">
        <v>357</v>
      </c>
      <c r="D381" s="26" t="s">
        <v>296</v>
      </c>
      <c r="E381" s="28">
        <v>5</v>
      </c>
      <c r="F381" s="28">
        <v>4.76</v>
      </c>
      <c r="G381" s="28">
        <v>1208.5999999999999</v>
      </c>
      <c r="H381" s="28">
        <v>704.7</v>
      </c>
      <c r="I381" s="28">
        <v>1209.7</v>
      </c>
      <c r="J381" s="27">
        <v>64.239999999999995</v>
      </c>
      <c r="K381" s="27">
        <v>63.85</v>
      </c>
      <c r="L381" s="27">
        <v>64.010000000000005</v>
      </c>
      <c r="M381" s="27">
        <v>64.150000000000006</v>
      </c>
      <c r="N381" s="27">
        <v>64.0625</v>
      </c>
      <c r="O381" s="27">
        <v>9.98</v>
      </c>
      <c r="P381" s="27">
        <v>2.34</v>
      </c>
    </row>
    <row r="382" spans="1:17" ht="14.4">
      <c r="A382" s="25" t="s">
        <v>145</v>
      </c>
      <c r="B382" s="25" t="s">
        <v>94</v>
      </c>
      <c r="C382" s="25" t="s">
        <v>357</v>
      </c>
      <c r="D382" s="26" t="s">
        <v>297</v>
      </c>
      <c r="E382" s="28">
        <v>5</v>
      </c>
      <c r="F382" s="28">
        <v>4.76</v>
      </c>
      <c r="G382" s="28">
        <v>1203.5999999999999</v>
      </c>
      <c r="H382" s="28">
        <v>700</v>
      </c>
      <c r="I382" s="28">
        <v>1205</v>
      </c>
      <c r="J382" s="27">
        <v>64.66</v>
      </c>
      <c r="K382" s="27">
        <v>64.510000000000005</v>
      </c>
      <c r="L382" s="27">
        <v>64.099999999999994</v>
      </c>
      <c r="M382" s="27">
        <v>64.27</v>
      </c>
      <c r="N382" s="27">
        <v>64.385000000000005</v>
      </c>
      <c r="O382" s="27">
        <v>12.45</v>
      </c>
      <c r="P382" s="27">
        <v>1.53</v>
      </c>
    </row>
    <row r="383" spans="1:17" ht="14.4">
      <c r="A383" s="25" t="s">
        <v>145</v>
      </c>
      <c r="B383" s="25" t="s">
        <v>94</v>
      </c>
      <c r="C383" s="25" t="s">
        <v>357</v>
      </c>
      <c r="D383" s="26" t="s">
        <v>298</v>
      </c>
      <c r="E383" s="28">
        <v>5</v>
      </c>
      <c r="F383" s="28">
        <v>4.76</v>
      </c>
      <c r="G383" s="28">
        <v>1202.5999999999999</v>
      </c>
      <c r="H383" s="28">
        <v>698.4</v>
      </c>
      <c r="I383" s="28">
        <v>1204.9000000000001</v>
      </c>
      <c r="J383" s="27">
        <v>64.72</v>
      </c>
      <c r="K383" s="27">
        <v>64.760000000000005</v>
      </c>
      <c r="L383" s="27">
        <v>64.84</v>
      </c>
      <c r="M383" s="27">
        <v>64.61</v>
      </c>
      <c r="N383" s="27">
        <v>64.732500000000002</v>
      </c>
      <c r="O383" s="27">
        <v>10.75</v>
      </c>
      <c r="P383" s="27">
        <v>1.87</v>
      </c>
    </row>
    <row r="384" spans="1:17" ht="14.4">
      <c r="A384" s="25" t="s">
        <v>146</v>
      </c>
      <c r="B384" s="25" t="s">
        <v>254</v>
      </c>
      <c r="C384" s="25" t="s">
        <v>336</v>
      </c>
      <c r="D384" s="26" t="s">
        <v>294</v>
      </c>
      <c r="E384" s="28">
        <v>4.8000000000000096</v>
      </c>
      <c r="F384" s="28">
        <v>4.5801526717557302</v>
      </c>
      <c r="G384" s="28">
        <v>1185.8</v>
      </c>
      <c r="H384" s="28">
        <v>705.7</v>
      </c>
      <c r="I384" s="28">
        <v>1189</v>
      </c>
      <c r="J384" s="27">
        <v>65.099999999999994</v>
      </c>
      <c r="K384" s="27">
        <v>64.819999999999993</v>
      </c>
      <c r="L384" s="27">
        <v>65.25</v>
      </c>
      <c r="M384" s="27">
        <v>64.989999999999995</v>
      </c>
      <c r="N384" s="27">
        <v>65.040000000000006</v>
      </c>
      <c r="O384" s="27">
        <v>10.02</v>
      </c>
      <c r="P384" s="27">
        <v>2.09</v>
      </c>
      <c r="Q384" s="27">
        <f>100*AVERAGE(O384,O386,O388)/AVERAGEA(O385,O387)</f>
        <v>82.845300173820036</v>
      </c>
    </row>
    <row r="385" spans="1:17" ht="14.4">
      <c r="A385" s="25" t="s">
        <v>146</v>
      </c>
      <c r="B385" s="25" t="s">
        <v>254</v>
      </c>
      <c r="C385" s="25" t="s">
        <v>336</v>
      </c>
      <c r="D385" s="26" t="s">
        <v>295</v>
      </c>
      <c r="E385" s="28">
        <v>4.8000000000000096</v>
      </c>
      <c r="F385" s="28">
        <v>4.5801526717557302</v>
      </c>
      <c r="G385" s="28">
        <v>1235.5</v>
      </c>
      <c r="H385" s="28">
        <v>737.2</v>
      </c>
      <c r="I385" s="28">
        <v>1238</v>
      </c>
      <c r="J385" s="27">
        <v>66.489999999999995</v>
      </c>
      <c r="K385" s="27">
        <v>66.97</v>
      </c>
      <c r="L385" s="27">
        <v>66.180000000000007</v>
      </c>
      <c r="M385" s="27">
        <v>66.650000000000006</v>
      </c>
      <c r="N385" s="27">
        <v>66.572500000000005</v>
      </c>
      <c r="O385" s="27">
        <v>13.16</v>
      </c>
      <c r="P385" s="27">
        <v>1.37</v>
      </c>
    </row>
    <row r="386" spans="1:17" ht="14.4">
      <c r="A386" s="25" t="s">
        <v>146</v>
      </c>
      <c r="B386" s="25" t="s">
        <v>254</v>
      </c>
      <c r="C386" s="25" t="s">
        <v>336</v>
      </c>
      <c r="D386" s="26" t="s">
        <v>296</v>
      </c>
      <c r="E386" s="28">
        <v>4.8000000000000096</v>
      </c>
      <c r="F386" s="28">
        <v>4.5801526717557302</v>
      </c>
      <c r="G386" s="28">
        <v>1217</v>
      </c>
      <c r="H386" s="28">
        <v>725.3</v>
      </c>
      <c r="I386" s="28">
        <v>1220.5999999999999</v>
      </c>
      <c r="J386" s="27">
        <v>65.63</v>
      </c>
      <c r="K386" s="27">
        <v>66.099999999999994</v>
      </c>
      <c r="L386" s="27">
        <v>66.2</v>
      </c>
      <c r="M386" s="27">
        <v>65.650000000000006</v>
      </c>
      <c r="N386" s="27">
        <v>65.894999999999996</v>
      </c>
      <c r="O386" s="27">
        <v>10.08</v>
      </c>
      <c r="P386" s="27">
        <v>2.21</v>
      </c>
    </row>
    <row r="387" spans="1:17" ht="14.4">
      <c r="A387" s="25" t="s">
        <v>146</v>
      </c>
      <c r="B387" s="25" t="s">
        <v>254</v>
      </c>
      <c r="C387" s="25" t="s">
        <v>336</v>
      </c>
      <c r="D387" s="26" t="s">
        <v>297</v>
      </c>
      <c r="E387" s="28">
        <v>4.8000000000000096</v>
      </c>
      <c r="F387" s="28">
        <v>4.5801526717557302</v>
      </c>
      <c r="G387" s="28">
        <v>1207.9000000000001</v>
      </c>
      <c r="H387" s="28">
        <v>720.6</v>
      </c>
      <c r="I387" s="28">
        <v>1210.8</v>
      </c>
      <c r="J387" s="27">
        <v>64.81</v>
      </c>
      <c r="K387" s="27">
        <v>64.62</v>
      </c>
      <c r="L387" s="27">
        <v>64.569999999999993</v>
      </c>
      <c r="M387" s="27">
        <v>64.94</v>
      </c>
      <c r="N387" s="27">
        <v>64.734999999999999</v>
      </c>
      <c r="O387" s="27">
        <v>11.77</v>
      </c>
      <c r="P387" s="27">
        <v>1.73</v>
      </c>
    </row>
    <row r="388" spans="1:17" ht="14.4">
      <c r="A388" s="25" t="s">
        <v>146</v>
      </c>
      <c r="B388" s="25" t="s">
        <v>254</v>
      </c>
      <c r="C388" s="25" t="s">
        <v>336</v>
      </c>
      <c r="D388" s="26" t="s">
        <v>298</v>
      </c>
      <c r="E388" s="28">
        <v>4.8000000000000096</v>
      </c>
      <c r="F388" s="28">
        <v>4.5801526717557302</v>
      </c>
      <c r="G388" s="28">
        <v>1193.8</v>
      </c>
      <c r="H388" s="28">
        <v>710.3</v>
      </c>
      <c r="I388" s="28">
        <v>1197.5</v>
      </c>
      <c r="J388" s="27">
        <v>65.12</v>
      </c>
      <c r="K388" s="27">
        <v>65.17</v>
      </c>
      <c r="L388" s="27">
        <v>65.180000000000007</v>
      </c>
      <c r="M388" s="27">
        <v>64.84</v>
      </c>
      <c r="N388" s="27">
        <v>65.077500000000001</v>
      </c>
      <c r="O388" s="27">
        <v>10.88</v>
      </c>
      <c r="P388" s="27">
        <v>2.92</v>
      </c>
    </row>
    <row r="389" spans="1:17" ht="14.4">
      <c r="A389" s="25" t="s">
        <v>146</v>
      </c>
      <c r="B389" s="25" t="s">
        <v>255</v>
      </c>
      <c r="C389" s="25" t="s">
        <v>426</v>
      </c>
      <c r="D389" s="26" t="s">
        <v>294</v>
      </c>
      <c r="E389" s="28">
        <v>4.8000000000000096</v>
      </c>
      <c r="F389" s="28">
        <v>4.5801526717557302</v>
      </c>
      <c r="G389" s="28">
        <v>1220</v>
      </c>
      <c r="H389" s="28">
        <v>730.1</v>
      </c>
      <c r="I389" s="28">
        <v>1221.5999999999999</v>
      </c>
      <c r="J389" s="27">
        <v>62.2</v>
      </c>
      <c r="K389" s="27">
        <v>63.3</v>
      </c>
      <c r="L389" s="27">
        <v>63.02</v>
      </c>
      <c r="M389" s="27">
        <v>63.21</v>
      </c>
      <c r="N389" s="27">
        <v>62.932499999999997</v>
      </c>
      <c r="O389" s="27">
        <v>14.31</v>
      </c>
      <c r="P389" s="27">
        <v>2.2400000000000002</v>
      </c>
      <c r="Q389" s="27">
        <f>100*AVERAGE(O389,O391,O393)/AVERAGEA(O390,O392)</f>
        <v>90.943575154101481</v>
      </c>
    </row>
    <row r="390" spans="1:17" ht="14.4">
      <c r="A390" s="25" t="s">
        <v>146</v>
      </c>
      <c r="B390" s="25" t="s">
        <v>255</v>
      </c>
      <c r="C390" s="25" t="s">
        <v>426</v>
      </c>
      <c r="D390" s="26" t="s">
        <v>295</v>
      </c>
      <c r="E390" s="28">
        <v>4.8000000000000096</v>
      </c>
      <c r="F390" s="28">
        <v>4.5801526717557302</v>
      </c>
      <c r="G390" s="28">
        <v>1220.7</v>
      </c>
      <c r="H390" s="28">
        <v>730.7</v>
      </c>
      <c r="I390" s="28">
        <v>1222.3</v>
      </c>
      <c r="J390" s="27">
        <v>63.71</v>
      </c>
      <c r="K390" s="27">
        <v>63.1</v>
      </c>
      <c r="L390" s="27">
        <v>63.19</v>
      </c>
      <c r="M390" s="27">
        <v>62.9</v>
      </c>
      <c r="N390" s="27">
        <v>63.225000000000001</v>
      </c>
      <c r="O390" s="27">
        <v>14.28</v>
      </c>
      <c r="P390" s="27">
        <v>1.87</v>
      </c>
    </row>
    <row r="391" spans="1:17" ht="14.4">
      <c r="A391" s="25" t="s">
        <v>146</v>
      </c>
      <c r="B391" s="25" t="s">
        <v>255</v>
      </c>
      <c r="C391" s="25" t="s">
        <v>426</v>
      </c>
      <c r="D391" s="26" t="s">
        <v>296</v>
      </c>
      <c r="E391" s="28">
        <v>4.8000000000000096</v>
      </c>
      <c r="F391" s="28">
        <v>4.5801526717557302</v>
      </c>
      <c r="G391" s="28">
        <v>1222.7</v>
      </c>
      <c r="H391" s="28">
        <v>732.3</v>
      </c>
      <c r="I391" s="28">
        <v>1224.7</v>
      </c>
      <c r="J391" s="27">
        <v>64.03</v>
      </c>
      <c r="K391" s="27">
        <v>63.77</v>
      </c>
      <c r="L391" s="27">
        <v>63.45</v>
      </c>
      <c r="M391" s="27">
        <v>63.56</v>
      </c>
      <c r="N391" s="27">
        <v>63.702500000000001</v>
      </c>
      <c r="O391" s="27">
        <v>12.62</v>
      </c>
      <c r="P391" s="27">
        <v>2.1</v>
      </c>
    </row>
    <row r="392" spans="1:17" ht="14.4">
      <c r="A392" s="25" t="s">
        <v>146</v>
      </c>
      <c r="B392" s="25" t="s">
        <v>255</v>
      </c>
      <c r="C392" s="25" t="s">
        <v>426</v>
      </c>
      <c r="D392" s="26" t="s">
        <v>297</v>
      </c>
      <c r="E392" s="28">
        <v>4.8000000000000096</v>
      </c>
      <c r="F392" s="28">
        <v>4.5801526717557302</v>
      </c>
      <c r="G392" s="28">
        <v>1221</v>
      </c>
      <c r="H392" s="28">
        <v>731.7</v>
      </c>
      <c r="I392" s="28">
        <v>1224</v>
      </c>
      <c r="J392" s="27">
        <v>64.67</v>
      </c>
      <c r="K392" s="27">
        <v>64.97</v>
      </c>
      <c r="L392" s="27">
        <v>64.650000000000006</v>
      </c>
      <c r="M392" s="27">
        <v>64.45</v>
      </c>
      <c r="N392" s="27">
        <v>64.685000000000002</v>
      </c>
      <c r="O392" s="27">
        <v>13.84</v>
      </c>
      <c r="P392" s="27">
        <v>2.14</v>
      </c>
    </row>
    <row r="393" spans="1:17" ht="14.4">
      <c r="A393" s="25" t="s">
        <v>146</v>
      </c>
      <c r="B393" s="25" t="s">
        <v>255</v>
      </c>
      <c r="C393" s="25" t="s">
        <v>426</v>
      </c>
      <c r="D393" s="26" t="s">
        <v>298</v>
      </c>
      <c r="E393" s="28">
        <v>4.8000000000000096</v>
      </c>
      <c r="F393" s="28">
        <v>4.5801526717557302</v>
      </c>
      <c r="G393" s="28">
        <v>1213.0999999999999</v>
      </c>
      <c r="H393" s="28">
        <v>723.9</v>
      </c>
      <c r="I393" s="28">
        <v>1216.2</v>
      </c>
      <c r="J393" s="27">
        <v>64</v>
      </c>
      <c r="K393" s="27">
        <v>64.08</v>
      </c>
      <c r="L393" s="27">
        <v>63.62</v>
      </c>
      <c r="M393" s="27">
        <v>63.73</v>
      </c>
      <c r="N393" s="27">
        <v>63.857500000000002</v>
      </c>
      <c r="O393" s="27">
        <v>11.43</v>
      </c>
      <c r="P393" s="27">
        <v>2.2200000000000002</v>
      </c>
    </row>
    <row r="394" spans="1:17" ht="14.4">
      <c r="A394" s="25" t="s">
        <v>147</v>
      </c>
      <c r="B394" s="25" t="s">
        <v>218</v>
      </c>
      <c r="C394" s="25" t="s">
        <v>445</v>
      </c>
      <c r="D394" s="26" t="s">
        <v>294</v>
      </c>
      <c r="E394" s="28">
        <v>4.8000000000000096</v>
      </c>
      <c r="F394" s="28">
        <v>4.5801526717557302</v>
      </c>
      <c r="G394" s="28">
        <v>1211.0999999999999</v>
      </c>
      <c r="H394" s="28">
        <v>720.6</v>
      </c>
      <c r="I394" s="28">
        <v>1213.0999999999999</v>
      </c>
      <c r="J394" s="27">
        <v>63.65</v>
      </c>
      <c r="K394" s="27">
        <v>63.33</v>
      </c>
      <c r="L394" s="27">
        <v>63.71</v>
      </c>
      <c r="M394" s="27">
        <v>63.61</v>
      </c>
      <c r="N394" s="27">
        <v>63.575000000000003</v>
      </c>
      <c r="O394" s="27">
        <v>10.98</v>
      </c>
      <c r="P394" s="27">
        <v>3.07</v>
      </c>
      <c r="Q394" s="27">
        <f>100*AVERAGE(O394,O396,O398)/AVERAGEA(O395,O397)</f>
        <v>88.313928417421309</v>
      </c>
    </row>
    <row r="395" spans="1:17" ht="14.4">
      <c r="A395" s="25" t="s">
        <v>147</v>
      </c>
      <c r="B395" s="25" t="s">
        <v>218</v>
      </c>
      <c r="C395" s="25" t="s">
        <v>445</v>
      </c>
      <c r="D395" s="26" t="s">
        <v>295</v>
      </c>
      <c r="E395" s="28">
        <v>4.8000000000000096</v>
      </c>
      <c r="F395" s="28">
        <v>4.5801526717557302</v>
      </c>
      <c r="G395" s="28">
        <v>1212.3</v>
      </c>
      <c r="H395" s="28">
        <v>721.2</v>
      </c>
      <c r="I395" s="28">
        <v>1215.2</v>
      </c>
      <c r="J395" s="27">
        <v>64</v>
      </c>
      <c r="K395" s="27">
        <v>63.72</v>
      </c>
      <c r="L395" s="27">
        <v>63.66</v>
      </c>
      <c r="M395" s="27">
        <v>63.75</v>
      </c>
      <c r="N395" s="27">
        <v>63.782499999999999</v>
      </c>
      <c r="O395" s="27">
        <v>11.43</v>
      </c>
      <c r="P395" s="27">
        <v>1.81</v>
      </c>
    </row>
    <row r="396" spans="1:17" ht="14.4">
      <c r="A396" s="25" t="s">
        <v>147</v>
      </c>
      <c r="B396" s="25" t="s">
        <v>218</v>
      </c>
      <c r="C396" s="25" t="s">
        <v>445</v>
      </c>
      <c r="D396" s="26" t="s">
        <v>296</v>
      </c>
      <c r="E396" s="28">
        <v>4.8000000000000096</v>
      </c>
      <c r="F396" s="28">
        <v>4.5801526717557302</v>
      </c>
      <c r="G396" s="28">
        <v>1212.7</v>
      </c>
      <c r="H396" s="28">
        <v>722.7</v>
      </c>
      <c r="I396" s="28">
        <v>1215.3</v>
      </c>
      <c r="J396" s="27">
        <v>64.16</v>
      </c>
      <c r="K396" s="27">
        <v>63.71</v>
      </c>
      <c r="L396" s="27">
        <v>64.28</v>
      </c>
      <c r="M396" s="27">
        <v>64.349999999999994</v>
      </c>
      <c r="N396" s="27">
        <v>64.125</v>
      </c>
      <c r="O396" s="27">
        <v>10.02</v>
      </c>
      <c r="P396" s="27">
        <v>1.93</v>
      </c>
    </row>
    <row r="397" spans="1:17" ht="14.4">
      <c r="A397" s="25" t="s">
        <v>147</v>
      </c>
      <c r="B397" s="25" t="s">
        <v>218</v>
      </c>
      <c r="C397" s="25" t="s">
        <v>445</v>
      </c>
      <c r="D397" s="26" t="s">
        <v>297</v>
      </c>
      <c r="E397" s="28">
        <v>4.8000000000000096</v>
      </c>
      <c r="F397" s="28">
        <v>4.5801526717557302</v>
      </c>
      <c r="G397" s="28">
        <v>1213.0999999999999</v>
      </c>
      <c r="H397" s="28">
        <v>723.4</v>
      </c>
      <c r="I397" s="28">
        <v>1216.3</v>
      </c>
      <c r="J397" s="27">
        <v>63.82</v>
      </c>
      <c r="K397" s="27">
        <v>63.91</v>
      </c>
      <c r="L397" s="27">
        <v>64.28</v>
      </c>
      <c r="M397" s="27">
        <v>64.180000000000007</v>
      </c>
      <c r="N397" s="27">
        <v>64.047499999999999</v>
      </c>
      <c r="O397" s="27">
        <v>11.76</v>
      </c>
      <c r="P397" s="27">
        <v>1.1599999999999999</v>
      </c>
    </row>
    <row r="398" spans="1:17" ht="14.4">
      <c r="A398" s="25" t="s">
        <v>147</v>
      </c>
      <c r="B398" s="25" t="s">
        <v>218</v>
      </c>
      <c r="C398" s="25" t="s">
        <v>445</v>
      </c>
      <c r="D398" s="26" t="s">
        <v>298</v>
      </c>
      <c r="E398" s="28">
        <v>4.8000000000000096</v>
      </c>
      <c r="F398" s="28">
        <v>4.5801526717557302</v>
      </c>
      <c r="G398" s="28">
        <v>1203.3</v>
      </c>
      <c r="H398" s="28">
        <v>715.6</v>
      </c>
      <c r="I398" s="28">
        <v>1208.3</v>
      </c>
      <c r="J398" s="27">
        <v>64.17</v>
      </c>
      <c r="K398" s="27">
        <v>64.459999999999994</v>
      </c>
      <c r="L398" s="27">
        <v>64.34</v>
      </c>
      <c r="M398" s="27">
        <v>64.489999999999995</v>
      </c>
      <c r="N398" s="27">
        <v>64.364999999999995</v>
      </c>
      <c r="O398" s="27">
        <v>9.7200000000000006</v>
      </c>
      <c r="P398" s="27">
        <v>2.23</v>
      </c>
    </row>
    <row r="399" spans="1:17" ht="14.4">
      <c r="A399" s="25" t="s">
        <v>148</v>
      </c>
      <c r="B399" s="25" t="s">
        <v>218</v>
      </c>
      <c r="C399" s="25" t="s">
        <v>445</v>
      </c>
      <c r="D399" s="26" t="s">
        <v>294</v>
      </c>
      <c r="E399" s="25">
        <v>4.8000000000000096</v>
      </c>
      <c r="F399" s="27">
        <v>4.5801526717557302</v>
      </c>
      <c r="G399" s="28">
        <v>1192.5999999999999</v>
      </c>
      <c r="H399" s="28">
        <v>700.7</v>
      </c>
      <c r="I399" s="28">
        <v>1195.5</v>
      </c>
      <c r="J399" s="27">
        <v>63.31</v>
      </c>
      <c r="K399" s="27">
        <v>63.02</v>
      </c>
      <c r="L399" s="27">
        <v>63.03</v>
      </c>
      <c r="M399" s="27">
        <v>63.08</v>
      </c>
      <c r="N399" s="27">
        <v>63.11</v>
      </c>
      <c r="O399" s="27">
        <v>11.77</v>
      </c>
      <c r="P399" s="27">
        <v>2.96</v>
      </c>
      <c r="Q399" s="27">
        <f>100*AVERAGE(O399,O401,O403)/AVERAGEA(O400,O402)</f>
        <v>86.551059730250458</v>
      </c>
    </row>
    <row r="400" spans="1:17" ht="14.4">
      <c r="A400" s="25" t="s">
        <v>148</v>
      </c>
      <c r="B400" s="25" t="s">
        <v>218</v>
      </c>
      <c r="C400" s="25" t="s">
        <v>445</v>
      </c>
      <c r="D400" s="26" t="s">
        <v>295</v>
      </c>
      <c r="E400" s="25">
        <v>4.8000000000000096</v>
      </c>
      <c r="F400" s="27">
        <v>4.5801526717557302</v>
      </c>
      <c r="G400" s="28">
        <v>1197.5</v>
      </c>
      <c r="H400" s="28">
        <v>703</v>
      </c>
      <c r="I400" s="28">
        <v>1200.0999999999999</v>
      </c>
      <c r="J400" s="27">
        <v>63.8</v>
      </c>
      <c r="K400" s="27">
        <v>63.56</v>
      </c>
      <c r="L400" s="27">
        <v>63.5</v>
      </c>
      <c r="M400" s="27">
        <v>63.46</v>
      </c>
      <c r="N400" s="27">
        <v>63.58</v>
      </c>
      <c r="O400" s="27">
        <v>12.9</v>
      </c>
      <c r="P400" s="27">
        <v>2.62</v>
      </c>
    </row>
    <row r="401" spans="1:17" ht="14.4">
      <c r="A401" s="25" t="s">
        <v>148</v>
      </c>
      <c r="B401" s="25" t="s">
        <v>218</v>
      </c>
      <c r="C401" s="25" t="s">
        <v>445</v>
      </c>
      <c r="D401" s="26" t="s">
        <v>296</v>
      </c>
      <c r="E401" s="25">
        <v>4.8000000000000096</v>
      </c>
      <c r="F401" s="27">
        <v>4.5801526717557302</v>
      </c>
      <c r="G401" s="28">
        <v>1191.4000000000001</v>
      </c>
      <c r="H401" s="28">
        <v>697.6</v>
      </c>
      <c r="I401" s="28">
        <v>1196</v>
      </c>
      <c r="J401" s="27">
        <v>64.33</v>
      </c>
      <c r="K401" s="27">
        <v>63.89</v>
      </c>
      <c r="L401" s="27">
        <v>63.55</v>
      </c>
      <c r="M401" s="27">
        <v>63.86</v>
      </c>
      <c r="N401" s="27">
        <v>63.907499999999999</v>
      </c>
      <c r="O401" s="27">
        <v>11.88</v>
      </c>
      <c r="P401" s="27">
        <v>2.65</v>
      </c>
    </row>
    <row r="402" spans="1:17" ht="14.4">
      <c r="A402" s="25" t="s">
        <v>148</v>
      </c>
      <c r="B402" s="25" t="s">
        <v>218</v>
      </c>
      <c r="C402" s="25" t="s">
        <v>445</v>
      </c>
      <c r="D402" s="26" t="s">
        <v>297</v>
      </c>
      <c r="E402" s="25">
        <v>4.8000000000000096</v>
      </c>
      <c r="F402" s="27">
        <v>4.5801526717557302</v>
      </c>
      <c r="G402" s="28">
        <v>1198.5</v>
      </c>
      <c r="H402" s="28">
        <v>701.7</v>
      </c>
      <c r="I402" s="28">
        <v>1203.2</v>
      </c>
      <c r="J402" s="27">
        <v>64.67</v>
      </c>
      <c r="K402" s="27">
        <v>64.849999999999994</v>
      </c>
      <c r="L402" s="27">
        <v>64.959999999999994</v>
      </c>
      <c r="M402" s="27">
        <v>64.87</v>
      </c>
      <c r="N402" s="27">
        <v>64.837500000000006</v>
      </c>
      <c r="O402" s="27">
        <v>13.05</v>
      </c>
      <c r="P402" s="27">
        <v>1.85</v>
      </c>
    </row>
    <row r="403" spans="1:17" ht="14.4">
      <c r="A403" s="25" t="s">
        <v>148</v>
      </c>
      <c r="B403" s="25" t="s">
        <v>218</v>
      </c>
      <c r="C403" s="25" t="s">
        <v>445</v>
      </c>
      <c r="D403" s="26" t="s">
        <v>298</v>
      </c>
      <c r="E403" s="25">
        <v>4.8000000000000096</v>
      </c>
      <c r="F403" s="27">
        <v>4.5801526717557302</v>
      </c>
      <c r="G403" s="28">
        <v>1180.7</v>
      </c>
      <c r="H403" s="28">
        <v>692.2</v>
      </c>
      <c r="I403" s="28">
        <v>1185.5</v>
      </c>
      <c r="J403" s="27">
        <v>64.47</v>
      </c>
      <c r="K403" s="27">
        <v>64.34</v>
      </c>
      <c r="L403" s="27">
        <v>64.12</v>
      </c>
      <c r="M403" s="27">
        <v>63.94</v>
      </c>
      <c r="N403" s="27">
        <v>64.217500000000001</v>
      </c>
      <c r="O403" s="27">
        <v>10.039999999999999</v>
      </c>
      <c r="P403" s="27">
        <v>2.8</v>
      </c>
    </row>
    <row r="404" spans="1:17" ht="14.4">
      <c r="A404" s="25" t="s">
        <v>148</v>
      </c>
      <c r="B404" s="25" t="s">
        <v>218</v>
      </c>
      <c r="C404" s="25" t="s">
        <v>456</v>
      </c>
      <c r="D404" s="26" t="s">
        <v>294</v>
      </c>
      <c r="E404" s="25">
        <v>4.8000000000000096</v>
      </c>
      <c r="F404" s="27">
        <v>4.5801526717557302</v>
      </c>
      <c r="G404" s="28">
        <v>1205.8</v>
      </c>
      <c r="H404" s="28">
        <v>716.7</v>
      </c>
      <c r="I404" s="28">
        <v>1208.9000000000001</v>
      </c>
      <c r="J404" s="27">
        <v>63.28</v>
      </c>
      <c r="K404" s="27">
        <v>62.71</v>
      </c>
      <c r="L404" s="27">
        <v>63.07</v>
      </c>
      <c r="M404" s="27">
        <v>63.24</v>
      </c>
      <c r="N404" s="27">
        <v>63.075000000000003</v>
      </c>
      <c r="O404" s="27">
        <v>10.039999999999999</v>
      </c>
      <c r="P404" s="27">
        <v>2.31</v>
      </c>
      <c r="Q404" s="27">
        <f>100*AVERAGE(O404,O406,O408)/AVERAGEA(O405,O407)</f>
        <v>91.364817362066319</v>
      </c>
    </row>
    <row r="405" spans="1:17" ht="14.4">
      <c r="A405" s="25" t="s">
        <v>148</v>
      </c>
      <c r="B405" s="25" t="s">
        <v>218</v>
      </c>
      <c r="C405" s="25" t="s">
        <v>456</v>
      </c>
      <c r="D405" s="26" t="s">
        <v>295</v>
      </c>
      <c r="E405" s="25">
        <v>4.8000000000000096</v>
      </c>
      <c r="F405" s="27">
        <v>4.5801526717557302</v>
      </c>
      <c r="G405" s="28">
        <v>1205.5</v>
      </c>
      <c r="H405" s="28">
        <v>716.3</v>
      </c>
      <c r="I405" s="28">
        <v>1208.8</v>
      </c>
      <c r="J405" s="27">
        <v>64.14</v>
      </c>
      <c r="K405" s="27">
        <v>63.46</v>
      </c>
      <c r="L405" s="27">
        <v>63.87</v>
      </c>
      <c r="M405" s="27">
        <v>63.94</v>
      </c>
      <c r="N405" s="27">
        <v>63.852499999999999</v>
      </c>
      <c r="O405" s="27">
        <v>11.17</v>
      </c>
      <c r="P405" s="27">
        <v>2</v>
      </c>
    </row>
    <row r="406" spans="1:17" ht="14.4">
      <c r="A406" s="25" t="s">
        <v>148</v>
      </c>
      <c r="B406" s="25" t="s">
        <v>218</v>
      </c>
      <c r="C406" s="25" t="s">
        <v>456</v>
      </c>
      <c r="D406" s="26" t="s">
        <v>296</v>
      </c>
      <c r="E406" s="25">
        <v>4.8000000000000096</v>
      </c>
      <c r="F406" s="27">
        <v>4.5801526717557302</v>
      </c>
      <c r="G406" s="28">
        <v>1199.9000000000001</v>
      </c>
      <c r="H406" s="28">
        <v>712.9</v>
      </c>
      <c r="I406" s="28">
        <v>1202.3</v>
      </c>
      <c r="J406" s="27">
        <v>62.26</v>
      </c>
      <c r="K406" s="27">
        <v>62.13</v>
      </c>
      <c r="L406" s="27">
        <v>62.49</v>
      </c>
      <c r="M406" s="27">
        <v>62.83</v>
      </c>
      <c r="N406" s="27">
        <v>62.427500000000002</v>
      </c>
      <c r="O406" s="27">
        <v>9.4499999999999993</v>
      </c>
      <c r="P406" s="27">
        <v>1.61</v>
      </c>
    </row>
    <row r="407" spans="1:17" ht="14.4">
      <c r="A407" s="25" t="s">
        <v>148</v>
      </c>
      <c r="B407" s="25" t="s">
        <v>218</v>
      </c>
      <c r="C407" s="25" t="s">
        <v>456</v>
      </c>
      <c r="D407" s="26" t="s">
        <v>297</v>
      </c>
      <c r="E407" s="25">
        <v>4.8000000000000096</v>
      </c>
      <c r="F407" s="27">
        <v>4.5801526717557302</v>
      </c>
      <c r="G407" s="28">
        <v>1209.7</v>
      </c>
      <c r="H407" s="28">
        <v>718.1</v>
      </c>
      <c r="I407" s="28">
        <v>1213</v>
      </c>
      <c r="J407" s="27">
        <v>63.41</v>
      </c>
      <c r="K407" s="27">
        <v>63.38</v>
      </c>
      <c r="L407" s="27">
        <v>63.63</v>
      </c>
      <c r="M407" s="27">
        <v>63.88</v>
      </c>
      <c r="N407" s="27">
        <v>63.575000000000003</v>
      </c>
      <c r="O407" s="27">
        <v>10.64</v>
      </c>
      <c r="P407" s="27">
        <v>1.72</v>
      </c>
    </row>
    <row r="408" spans="1:17" ht="14.4">
      <c r="A408" s="25" t="s">
        <v>148</v>
      </c>
      <c r="B408" s="25" t="s">
        <v>218</v>
      </c>
      <c r="C408" s="25" t="s">
        <v>456</v>
      </c>
      <c r="D408" s="26" t="s">
        <v>298</v>
      </c>
      <c r="E408" s="25">
        <v>4.8000000000000096</v>
      </c>
      <c r="F408" s="27">
        <v>4.5801526717557302</v>
      </c>
      <c r="G408" s="28">
        <v>1206.4000000000001</v>
      </c>
      <c r="H408" s="28">
        <v>716.8</v>
      </c>
      <c r="I408" s="28">
        <v>1210.0999999999999</v>
      </c>
      <c r="J408" s="27">
        <v>63.92</v>
      </c>
      <c r="K408" s="27">
        <v>64.19</v>
      </c>
      <c r="L408" s="27">
        <v>64.33</v>
      </c>
      <c r="M408" s="27">
        <v>64.38</v>
      </c>
      <c r="N408" s="27">
        <v>64.204999999999998</v>
      </c>
      <c r="O408" s="27">
        <v>10.4</v>
      </c>
      <c r="P408" s="27">
        <v>2.78</v>
      </c>
    </row>
    <row r="409" spans="1:17" ht="14.4">
      <c r="A409" s="25" t="s">
        <v>149</v>
      </c>
      <c r="B409" s="25" t="s">
        <v>218</v>
      </c>
      <c r="C409" s="25" t="s">
        <v>445</v>
      </c>
      <c r="D409" s="26" t="s">
        <v>294</v>
      </c>
      <c r="E409" s="28">
        <v>4.8000000000000096</v>
      </c>
      <c r="F409" s="28">
        <v>4.5801526717557302</v>
      </c>
      <c r="G409" s="28">
        <v>1249.2</v>
      </c>
      <c r="H409" s="28">
        <v>753.5</v>
      </c>
      <c r="I409" s="28">
        <v>1251.2</v>
      </c>
      <c r="J409" s="27">
        <v>63.24</v>
      </c>
      <c r="K409" s="27">
        <v>63.74</v>
      </c>
      <c r="L409" s="27">
        <v>64.099999999999994</v>
      </c>
      <c r="M409" s="27">
        <v>63.76</v>
      </c>
      <c r="N409" s="27">
        <v>63.71</v>
      </c>
      <c r="O409" s="27">
        <v>15.79</v>
      </c>
      <c r="P409" s="27">
        <v>1.86</v>
      </c>
      <c r="Q409" s="27">
        <f>100*AVERAGE(O409,O411,O413)/AVERAGEA(O410,O412)</f>
        <v>83.172679702561268</v>
      </c>
    </row>
    <row r="410" spans="1:17" ht="14.4">
      <c r="A410" s="25" t="s">
        <v>149</v>
      </c>
      <c r="B410" s="25" t="s">
        <v>218</v>
      </c>
      <c r="C410" s="25" t="s">
        <v>445</v>
      </c>
      <c r="D410" s="26" t="s">
        <v>295</v>
      </c>
      <c r="E410" s="28">
        <v>4.8000000000000096</v>
      </c>
      <c r="F410" s="28">
        <v>4.5801526717557302</v>
      </c>
      <c r="G410" s="28">
        <v>1251.2</v>
      </c>
      <c r="H410" s="28">
        <v>760.7</v>
      </c>
      <c r="I410" s="28">
        <v>1259.4000000000001</v>
      </c>
      <c r="J410" s="27">
        <v>63.86</v>
      </c>
      <c r="K410" s="27">
        <v>64.17</v>
      </c>
      <c r="L410" s="27">
        <v>63.63</v>
      </c>
      <c r="M410" s="27">
        <v>63.8</v>
      </c>
      <c r="N410" s="27">
        <v>63.865000000000002</v>
      </c>
      <c r="O410" s="27">
        <v>19.05</v>
      </c>
      <c r="P410" s="27">
        <v>2.2200000000000002</v>
      </c>
    </row>
    <row r="411" spans="1:17" ht="14.4">
      <c r="A411" s="25" t="s">
        <v>149</v>
      </c>
      <c r="B411" s="25" t="s">
        <v>218</v>
      </c>
      <c r="C411" s="25" t="s">
        <v>445</v>
      </c>
      <c r="D411" s="26" t="s">
        <v>296</v>
      </c>
      <c r="E411" s="28">
        <v>4.8000000000000096</v>
      </c>
      <c r="F411" s="28">
        <v>4.5801526717557302</v>
      </c>
      <c r="G411" s="28">
        <v>1261.3</v>
      </c>
      <c r="H411" s="28">
        <v>758.2</v>
      </c>
      <c r="I411" s="28">
        <v>1263.3</v>
      </c>
      <c r="J411" s="27">
        <v>64.55</v>
      </c>
      <c r="K411" s="27">
        <v>64.58</v>
      </c>
      <c r="L411" s="27">
        <v>64.400000000000006</v>
      </c>
      <c r="M411" s="27">
        <v>64.83</v>
      </c>
      <c r="N411" s="27">
        <v>64.59</v>
      </c>
      <c r="O411" s="27">
        <v>14.84</v>
      </c>
      <c r="P411" s="27">
        <v>2.72</v>
      </c>
    </row>
    <row r="412" spans="1:17" ht="14.4">
      <c r="A412" s="25" t="s">
        <v>149</v>
      </c>
      <c r="B412" s="25" t="s">
        <v>218</v>
      </c>
      <c r="C412" s="25" t="s">
        <v>445</v>
      </c>
      <c r="D412" s="26" t="s">
        <v>297</v>
      </c>
      <c r="E412" s="28">
        <v>4.8000000000000096</v>
      </c>
      <c r="F412" s="28">
        <v>4.5801526717557302</v>
      </c>
      <c r="G412" s="28">
        <v>1263.5</v>
      </c>
      <c r="H412" s="28">
        <v>764.5</v>
      </c>
      <c r="I412" s="28">
        <v>1265.7</v>
      </c>
      <c r="J412" s="27">
        <v>64.23</v>
      </c>
      <c r="K412" s="27">
        <v>63.83</v>
      </c>
      <c r="L412" s="27">
        <v>64.239999999999995</v>
      </c>
      <c r="M412" s="27">
        <v>64.2</v>
      </c>
      <c r="N412" s="27">
        <v>64.125</v>
      </c>
      <c r="O412" s="27">
        <v>17.260000000000002</v>
      </c>
      <c r="P412" s="27">
        <v>2.52</v>
      </c>
    </row>
    <row r="413" spans="1:17" ht="14.4">
      <c r="A413" s="25" t="s">
        <v>149</v>
      </c>
      <c r="B413" s="25" t="s">
        <v>218</v>
      </c>
      <c r="C413" s="25" t="s">
        <v>445</v>
      </c>
      <c r="D413" s="26" t="s">
        <v>298</v>
      </c>
      <c r="E413" s="28">
        <v>4.8000000000000096</v>
      </c>
      <c r="F413" s="28">
        <v>4.5801526717557302</v>
      </c>
      <c r="G413" s="28">
        <v>1271.5999999999999</v>
      </c>
      <c r="H413" s="28">
        <v>768.5</v>
      </c>
      <c r="I413" s="28">
        <v>1273.7</v>
      </c>
      <c r="J413" s="27">
        <v>64.42</v>
      </c>
      <c r="K413" s="27">
        <v>64.959999999999994</v>
      </c>
      <c r="L413" s="27">
        <v>64.55</v>
      </c>
      <c r="M413" s="27">
        <v>65.05</v>
      </c>
      <c r="N413" s="27">
        <v>64.745000000000005</v>
      </c>
      <c r="O413" s="27">
        <v>14.67</v>
      </c>
      <c r="P413" s="27">
        <v>3.7</v>
      </c>
    </row>
  </sheetData>
  <sheetProtection formatCells="0" insertHyperlinks="0" autoFilter="0"/>
  <mergeCells count="47">
    <mergeCell ref="U1:U2"/>
    <mergeCell ref="B12:B46"/>
    <mergeCell ref="F1:F2"/>
    <mergeCell ref="R1:R2"/>
    <mergeCell ref="S1:S2"/>
    <mergeCell ref="T1:T2"/>
    <mergeCell ref="G1:P1"/>
    <mergeCell ref="A1:A2"/>
    <mergeCell ref="B1:B2"/>
    <mergeCell ref="B3:B6"/>
    <mergeCell ref="B7:B11"/>
    <mergeCell ref="B182:B186"/>
    <mergeCell ref="B47:B51"/>
    <mergeCell ref="B52:B71"/>
    <mergeCell ref="B72:B101"/>
    <mergeCell ref="B102:B106"/>
    <mergeCell ref="B107:B111"/>
    <mergeCell ref="B112:B116"/>
    <mergeCell ref="B117:B121"/>
    <mergeCell ref="B122:B126"/>
    <mergeCell ref="B127:B131"/>
    <mergeCell ref="B157:B161"/>
    <mergeCell ref="B162:B166"/>
    <mergeCell ref="B167:B171"/>
    <mergeCell ref="B172:B176"/>
    <mergeCell ref="B177:B181"/>
    <mergeCell ref="B299:B303"/>
    <mergeCell ref="C1:C2"/>
    <mergeCell ref="D1:D2"/>
    <mergeCell ref="E1:E2"/>
    <mergeCell ref="B187:B191"/>
    <mergeCell ref="B192:B196"/>
    <mergeCell ref="B197:B201"/>
    <mergeCell ref="B202:B221"/>
    <mergeCell ref="B222:B226"/>
    <mergeCell ref="B227:B236"/>
    <mergeCell ref="B237:B246"/>
    <mergeCell ref="B247:B258"/>
    <mergeCell ref="B259:B263"/>
    <mergeCell ref="B132:B136"/>
    <mergeCell ref="B137:B141"/>
    <mergeCell ref="B142:B156"/>
    <mergeCell ref="B264:B268"/>
    <mergeCell ref="B269:B278"/>
    <mergeCell ref="B279:B287"/>
    <mergeCell ref="B288:B293"/>
    <mergeCell ref="B294:B298"/>
  </mergeCells>
  <phoneticPr fontId="34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74E0C1-1556-4C76-8AB6-923FCAA71C34}">
  <dimension ref="A1:Z530"/>
  <sheetViews>
    <sheetView topLeftCell="E1" workbookViewId="0">
      <selection activeCell="G15" sqref="G15"/>
    </sheetView>
  </sheetViews>
  <sheetFormatPr defaultColWidth="9" defaultRowHeight="13.8"/>
  <cols>
    <col min="1" max="1" width="13.6640625" style="29" hidden="1" customWidth="1"/>
    <col min="2" max="2" width="13.21875" style="29" hidden="1" customWidth="1"/>
    <col min="3" max="4" width="14.6640625" style="29" hidden="1" customWidth="1"/>
    <col min="5" max="5" width="9" style="30"/>
    <col min="6" max="7" width="26.88671875" style="30" customWidth="1"/>
    <col min="8" max="8" width="17.33203125" style="31" customWidth="1"/>
    <col min="9" max="9" width="8.109375" style="31" customWidth="1"/>
    <col min="10" max="10" width="9" style="32"/>
    <col min="11" max="13" width="9" style="33"/>
    <col min="14" max="18" width="9" style="32"/>
    <col min="19" max="19" width="10.21875" style="32" customWidth="1"/>
    <col min="20" max="20" width="12.33203125" style="32" customWidth="1"/>
    <col min="21" max="21" width="12.33203125" style="34" customWidth="1"/>
    <col min="22" max="22" width="9" style="32"/>
    <col min="23" max="26" width="9" style="1" hidden="1" customWidth="1"/>
    <col min="27" max="27" width="9" customWidth="1"/>
  </cols>
  <sheetData>
    <row r="1" spans="1:26" ht="14.4">
      <c r="A1" s="301" t="s">
        <v>360</v>
      </c>
      <c r="B1" s="301" t="s">
        <v>361</v>
      </c>
      <c r="C1" s="301" t="s">
        <v>362</v>
      </c>
      <c r="D1" s="301" t="s">
        <v>363</v>
      </c>
      <c r="E1" s="312" t="s">
        <v>269</v>
      </c>
      <c r="F1" s="304" t="s">
        <v>166</v>
      </c>
      <c r="G1" s="312" t="s">
        <v>270</v>
      </c>
      <c r="H1" s="314" t="s">
        <v>271</v>
      </c>
      <c r="I1" s="312" t="s">
        <v>50</v>
      </c>
      <c r="J1" s="315" t="s">
        <v>49</v>
      </c>
      <c r="K1" s="316" t="s">
        <v>275</v>
      </c>
      <c r="L1" s="316"/>
      <c r="M1" s="316"/>
      <c r="N1" s="316"/>
      <c r="O1" s="316"/>
      <c r="P1" s="316"/>
      <c r="Q1" s="316"/>
      <c r="R1" s="316"/>
      <c r="S1" s="316"/>
      <c r="T1" s="312" t="s">
        <v>276</v>
      </c>
      <c r="U1" s="313"/>
      <c r="V1" s="312"/>
      <c r="W1" s="312" t="s">
        <v>364</v>
      </c>
      <c r="X1" s="312" t="s">
        <v>279</v>
      </c>
      <c r="Y1" s="312" t="s">
        <v>280</v>
      </c>
      <c r="Z1" s="312" t="s">
        <v>365</v>
      </c>
    </row>
    <row r="2" spans="1:26" ht="14.4">
      <c r="A2" s="302"/>
      <c r="B2" s="302"/>
      <c r="C2" s="302"/>
      <c r="D2" s="302"/>
      <c r="E2" s="312"/>
      <c r="F2" s="306"/>
      <c r="G2" s="312"/>
      <c r="H2" s="314"/>
      <c r="I2" s="312"/>
      <c r="J2" s="315"/>
      <c r="K2" s="45" t="s">
        <v>39</v>
      </c>
      <c r="L2" s="45" t="s">
        <v>40</v>
      </c>
      <c r="M2" s="45" t="s">
        <v>41</v>
      </c>
      <c r="N2" s="41" t="s">
        <v>282</v>
      </c>
      <c r="O2" s="41" t="s">
        <v>283</v>
      </c>
      <c r="P2" s="41" t="s">
        <v>284</v>
      </c>
      <c r="Q2" s="41" t="s">
        <v>285</v>
      </c>
      <c r="R2" s="41" t="s">
        <v>286</v>
      </c>
      <c r="S2" s="41" t="s">
        <v>369</v>
      </c>
      <c r="T2" s="41" t="s">
        <v>370</v>
      </c>
      <c r="U2" s="43" t="s">
        <v>371</v>
      </c>
      <c r="V2" s="41" t="s">
        <v>372</v>
      </c>
      <c r="W2" s="312"/>
      <c r="X2" s="312"/>
      <c r="Y2" s="312"/>
      <c r="Z2" s="312"/>
    </row>
    <row r="3" spans="1:26" ht="14.4">
      <c r="A3" s="27">
        <v>161</v>
      </c>
      <c r="B3" s="27">
        <v>91</v>
      </c>
      <c r="C3" s="27">
        <v>44</v>
      </c>
      <c r="D3" s="27">
        <v>15</v>
      </c>
      <c r="E3" s="30" t="s">
        <v>60</v>
      </c>
      <c r="F3" s="309" t="s">
        <v>518</v>
      </c>
      <c r="G3" s="30" t="s">
        <v>519</v>
      </c>
      <c r="H3" s="40" t="s">
        <v>294</v>
      </c>
      <c r="I3" s="47">
        <f>100*J3/(100-J3)</f>
        <v>4.2999999999999963</v>
      </c>
      <c r="J3" s="41">
        <v>4.1227229146692199</v>
      </c>
      <c r="K3" s="45">
        <v>1154.5</v>
      </c>
      <c r="L3" s="45">
        <v>682.2</v>
      </c>
      <c r="M3" s="45">
        <v>1161.9000000000001</v>
      </c>
      <c r="N3" s="41">
        <v>63.8</v>
      </c>
      <c r="O3" s="41">
        <v>63.6</v>
      </c>
      <c r="P3" s="41">
        <v>63.6</v>
      </c>
      <c r="Q3" s="41" t="s">
        <v>73</v>
      </c>
      <c r="R3" s="41">
        <f t="shared" ref="R3:R27" si="0">AVERAGE(N3:P3)</f>
        <v>63.666666666666664</v>
      </c>
      <c r="S3" s="41">
        <v>12.42</v>
      </c>
      <c r="T3" s="41">
        <f>0.006287*S3*1000/R3</f>
        <v>1.2264587434554972</v>
      </c>
      <c r="U3" s="34">
        <f>V3/V4</f>
        <v>0.87376329896858562</v>
      </c>
      <c r="V3" s="32">
        <f>AVERAGE(T4,T6)</f>
        <v>1.1169095954927648</v>
      </c>
      <c r="W3" s="32">
        <v>161</v>
      </c>
      <c r="X3" s="32">
        <v>91</v>
      </c>
      <c r="Y3" s="32">
        <v>44</v>
      </c>
      <c r="Z3" s="32">
        <v>15</v>
      </c>
    </row>
    <row r="4" spans="1:26" ht="14.4">
      <c r="A4" s="27">
        <v>161</v>
      </c>
      <c r="B4" s="27">
        <v>91</v>
      </c>
      <c r="C4" s="27">
        <v>44</v>
      </c>
      <c r="D4" s="27">
        <v>15</v>
      </c>
      <c r="E4" s="30" t="s">
        <v>60</v>
      </c>
      <c r="F4" s="305"/>
      <c r="G4" s="30" t="s">
        <v>519</v>
      </c>
      <c r="H4" s="40" t="s">
        <v>378</v>
      </c>
      <c r="I4" s="47">
        <f>100*J4/(100-J4)</f>
        <v>4.2999999999999963</v>
      </c>
      <c r="J4" s="41">
        <v>4.1227229146692199</v>
      </c>
      <c r="K4" s="45">
        <v>1166.9000000000001</v>
      </c>
      <c r="L4" s="45">
        <v>689.2</v>
      </c>
      <c r="M4" s="45">
        <v>1173.3</v>
      </c>
      <c r="N4" s="41">
        <v>63.1</v>
      </c>
      <c r="O4" s="41">
        <v>63</v>
      </c>
      <c r="P4" s="41">
        <v>62.9</v>
      </c>
      <c r="Q4" s="41" t="s">
        <v>73</v>
      </c>
      <c r="R4" s="41">
        <f t="shared" si="0"/>
        <v>63</v>
      </c>
      <c r="S4" s="41">
        <v>11.11</v>
      </c>
      <c r="T4" s="41">
        <f>0.006287*S4*1000/R4</f>
        <v>1.1087074603174603</v>
      </c>
      <c r="V4" s="32">
        <f>AVERAGE(T3,T5,T7)</f>
        <v>1.2782747877041709</v>
      </c>
      <c r="W4" s="32">
        <v>161</v>
      </c>
      <c r="X4" s="32">
        <v>91</v>
      </c>
      <c r="Y4" s="32">
        <v>44</v>
      </c>
      <c r="Z4" s="32">
        <v>15</v>
      </c>
    </row>
    <row r="5" spans="1:26" ht="14.4">
      <c r="A5" s="27">
        <v>161</v>
      </c>
      <c r="B5" s="27">
        <v>91</v>
      </c>
      <c r="C5" s="27">
        <v>44</v>
      </c>
      <c r="D5" s="27">
        <v>15</v>
      </c>
      <c r="E5" s="30" t="s">
        <v>60</v>
      </c>
      <c r="F5" s="305"/>
      <c r="G5" s="30" t="s">
        <v>519</v>
      </c>
      <c r="H5" s="40" t="s">
        <v>296</v>
      </c>
      <c r="I5" s="47">
        <f t="shared" ref="I5:I68" si="1">100*J5/(100-J5)</f>
        <v>4.2999999999999963</v>
      </c>
      <c r="J5" s="41">
        <v>4.1227229146692199</v>
      </c>
      <c r="K5" s="45">
        <v>1154.5999999999999</v>
      </c>
      <c r="L5" s="45">
        <v>681.3</v>
      </c>
      <c r="M5" s="45">
        <v>1161.9000000000001</v>
      </c>
      <c r="N5" s="41">
        <v>62.8</v>
      </c>
      <c r="O5" s="41">
        <v>62.8</v>
      </c>
      <c r="P5" s="41">
        <v>62.6</v>
      </c>
      <c r="Q5" s="41" t="s">
        <v>73</v>
      </c>
      <c r="R5" s="41">
        <f t="shared" si="0"/>
        <v>62.733333333333327</v>
      </c>
      <c r="S5" s="41">
        <v>12.28</v>
      </c>
      <c r="T5" s="41">
        <f t="shared" ref="T5:T17" si="2">0.006287*S5*1000/R5</f>
        <v>1.2306752391073326</v>
      </c>
      <c r="U5" s="43"/>
      <c r="V5" s="41"/>
      <c r="W5" s="32">
        <v>161</v>
      </c>
      <c r="X5" s="32">
        <v>91</v>
      </c>
      <c r="Y5" s="32">
        <v>44</v>
      </c>
      <c r="Z5" s="32">
        <v>15</v>
      </c>
    </row>
    <row r="6" spans="1:26" ht="14.4">
      <c r="A6" s="27">
        <v>161</v>
      </c>
      <c r="B6" s="27">
        <v>91</v>
      </c>
      <c r="C6" s="27">
        <v>44</v>
      </c>
      <c r="D6" s="27">
        <v>15</v>
      </c>
      <c r="E6" s="30" t="s">
        <v>60</v>
      </c>
      <c r="F6" s="305"/>
      <c r="G6" s="30" t="s">
        <v>519</v>
      </c>
      <c r="H6" s="40" t="s">
        <v>381</v>
      </c>
      <c r="I6" s="47">
        <f t="shared" si="1"/>
        <v>4.2999999999999963</v>
      </c>
      <c r="J6" s="41">
        <v>4.1227229146692199</v>
      </c>
      <c r="K6" s="45">
        <v>1159.5999999999999</v>
      </c>
      <c r="L6" s="45">
        <v>684.3</v>
      </c>
      <c r="M6" s="45">
        <v>1167.4000000000001</v>
      </c>
      <c r="N6" s="41">
        <v>63.6</v>
      </c>
      <c r="O6" s="41">
        <v>63.3</v>
      </c>
      <c r="P6" s="41">
        <v>63.2</v>
      </c>
      <c r="Q6" s="41" t="s">
        <v>73</v>
      </c>
      <c r="R6" s="41">
        <f t="shared" si="0"/>
        <v>63.366666666666674</v>
      </c>
      <c r="S6" s="41">
        <v>11.34</v>
      </c>
      <c r="T6" s="41">
        <f t="shared" si="2"/>
        <v>1.1251117306680694</v>
      </c>
      <c r="U6" s="43"/>
      <c r="V6" s="41"/>
      <c r="W6" s="32">
        <v>161</v>
      </c>
      <c r="X6" s="32">
        <v>91</v>
      </c>
      <c r="Y6" s="32">
        <v>44</v>
      </c>
      <c r="Z6" s="32">
        <v>15</v>
      </c>
    </row>
    <row r="7" spans="1:26" ht="14.4">
      <c r="A7" s="27">
        <v>161</v>
      </c>
      <c r="B7" s="27">
        <v>91</v>
      </c>
      <c r="C7" s="27">
        <v>44</v>
      </c>
      <c r="D7" s="27">
        <v>15</v>
      </c>
      <c r="E7" s="30" t="s">
        <v>60</v>
      </c>
      <c r="F7" s="306"/>
      <c r="G7" s="30" t="s">
        <v>519</v>
      </c>
      <c r="H7" s="40" t="s">
        <v>298</v>
      </c>
      <c r="I7" s="47">
        <f t="shared" si="1"/>
        <v>4.2999999999999963</v>
      </c>
      <c r="J7" s="41">
        <v>4.1227229146692199</v>
      </c>
      <c r="K7" s="45">
        <v>1155.0999999999999</v>
      </c>
      <c r="L7" s="45">
        <v>683.6</v>
      </c>
      <c r="M7" s="45">
        <v>1163.3</v>
      </c>
      <c r="N7" s="41">
        <v>63.2</v>
      </c>
      <c r="O7" s="41">
        <v>63</v>
      </c>
      <c r="P7" s="41">
        <v>63</v>
      </c>
      <c r="Q7" s="41" t="s">
        <v>73</v>
      </c>
      <c r="R7" s="41">
        <f t="shared" si="0"/>
        <v>63.066666666666663</v>
      </c>
      <c r="S7" s="41">
        <v>13.82</v>
      </c>
      <c r="T7" s="41">
        <f t="shared" si="2"/>
        <v>1.377690380549683</v>
      </c>
      <c r="U7" s="43"/>
      <c r="V7" s="41"/>
      <c r="W7" s="32">
        <v>161</v>
      </c>
      <c r="X7" s="32">
        <v>91</v>
      </c>
      <c r="Y7" s="32">
        <v>44</v>
      </c>
      <c r="Z7" s="32">
        <v>15</v>
      </c>
    </row>
    <row r="8" spans="1:26" ht="14.4">
      <c r="A8" s="27">
        <v>161</v>
      </c>
      <c r="B8" s="27">
        <v>91</v>
      </c>
      <c r="C8" s="27">
        <v>44</v>
      </c>
      <c r="D8" s="27">
        <v>15</v>
      </c>
      <c r="E8" s="30" t="s">
        <v>60</v>
      </c>
      <c r="F8" s="309" t="s">
        <v>521</v>
      </c>
      <c r="G8" s="30" t="s">
        <v>525</v>
      </c>
      <c r="H8" s="40" t="s">
        <v>294</v>
      </c>
      <c r="I8" s="47">
        <f t="shared" si="1"/>
        <v>4.2999999999999963</v>
      </c>
      <c r="J8" s="41">
        <v>4.1227229146692199</v>
      </c>
      <c r="K8" s="45">
        <v>1155.0999999999999</v>
      </c>
      <c r="L8" s="45">
        <v>683.7</v>
      </c>
      <c r="M8" s="45">
        <v>1158.3</v>
      </c>
      <c r="N8" s="41">
        <v>61.6</v>
      </c>
      <c r="O8" s="41">
        <v>61.8</v>
      </c>
      <c r="P8" s="41">
        <v>61.8</v>
      </c>
      <c r="Q8" s="41" t="s">
        <v>73</v>
      </c>
      <c r="R8" s="41">
        <f t="shared" si="0"/>
        <v>61.733333333333327</v>
      </c>
      <c r="S8" s="41">
        <v>17.32</v>
      </c>
      <c r="T8" s="41">
        <f t="shared" si="2"/>
        <v>1.7638904967602593</v>
      </c>
      <c r="U8" s="34">
        <f>V8/V9</f>
        <v>0.84371546150495313</v>
      </c>
      <c r="V8" s="32">
        <f>AVERAGE(T9,T11)</f>
        <v>1.4120368280458062</v>
      </c>
      <c r="W8" s="32">
        <v>161</v>
      </c>
      <c r="X8" s="32">
        <v>91</v>
      </c>
      <c r="Y8" s="32">
        <v>44</v>
      </c>
      <c r="Z8" s="32">
        <v>15</v>
      </c>
    </row>
    <row r="9" spans="1:26" ht="14.4">
      <c r="A9" s="27">
        <v>161</v>
      </c>
      <c r="B9" s="27">
        <v>91</v>
      </c>
      <c r="C9" s="27">
        <v>44</v>
      </c>
      <c r="D9" s="27">
        <v>15</v>
      </c>
      <c r="E9" s="30" t="s">
        <v>60</v>
      </c>
      <c r="F9" s="305"/>
      <c r="G9" s="30" t="s">
        <v>525</v>
      </c>
      <c r="H9" s="40" t="s">
        <v>378</v>
      </c>
      <c r="I9" s="47">
        <f t="shared" si="1"/>
        <v>4.2999999999999963</v>
      </c>
      <c r="J9" s="41">
        <v>4.1227229146692199</v>
      </c>
      <c r="K9" s="45">
        <v>1163.7</v>
      </c>
      <c r="L9" s="45">
        <v>690.6</v>
      </c>
      <c r="M9" s="45">
        <v>1168.9000000000001</v>
      </c>
      <c r="N9" s="41">
        <v>63</v>
      </c>
      <c r="O9" s="41">
        <v>62.8</v>
      </c>
      <c r="P9" s="41">
        <v>63</v>
      </c>
      <c r="Q9" s="41" t="s">
        <v>73</v>
      </c>
      <c r="R9" s="41">
        <f t="shared" si="0"/>
        <v>62.933333333333337</v>
      </c>
      <c r="S9" s="41">
        <v>13.75</v>
      </c>
      <c r="T9" s="41">
        <f t="shared" si="2"/>
        <v>1.3736162605932203</v>
      </c>
      <c r="V9" s="32">
        <f>AVERAGE(T8,T10,T12)</f>
        <v>1.6735936372756832</v>
      </c>
      <c r="W9" s="32">
        <v>161</v>
      </c>
      <c r="X9" s="32">
        <v>91</v>
      </c>
      <c r="Y9" s="32">
        <v>44</v>
      </c>
      <c r="Z9" s="32">
        <v>15</v>
      </c>
    </row>
    <row r="10" spans="1:26" ht="14.4">
      <c r="A10" s="27">
        <v>161</v>
      </c>
      <c r="B10" s="27">
        <v>91</v>
      </c>
      <c r="C10" s="27">
        <v>44</v>
      </c>
      <c r="D10" s="27">
        <v>15</v>
      </c>
      <c r="E10" s="30" t="s">
        <v>60</v>
      </c>
      <c r="F10" s="305"/>
      <c r="G10" s="30" t="s">
        <v>525</v>
      </c>
      <c r="H10" s="40" t="s">
        <v>296</v>
      </c>
      <c r="I10" s="47">
        <f t="shared" si="1"/>
        <v>4.2999999999999963</v>
      </c>
      <c r="J10" s="41">
        <v>4.1227229146692199</v>
      </c>
      <c r="K10" s="45">
        <v>1166.3</v>
      </c>
      <c r="L10" s="45">
        <v>688.4</v>
      </c>
      <c r="M10" s="45">
        <v>1171.0999999999999</v>
      </c>
      <c r="N10" s="41">
        <v>62.8</v>
      </c>
      <c r="O10" s="41">
        <v>62.6</v>
      </c>
      <c r="P10" s="41">
        <v>62.8</v>
      </c>
      <c r="Q10" s="41" t="s">
        <v>73</v>
      </c>
      <c r="R10" s="41">
        <f t="shared" si="0"/>
        <v>62.733333333333327</v>
      </c>
      <c r="S10" s="41">
        <v>15.4</v>
      </c>
      <c r="T10" s="41">
        <f t="shared" si="2"/>
        <v>1.5433549415515411</v>
      </c>
      <c r="U10" s="43"/>
      <c r="V10" s="41"/>
      <c r="W10" s="32">
        <v>161</v>
      </c>
      <c r="X10" s="32">
        <v>91</v>
      </c>
      <c r="Y10" s="32">
        <v>44</v>
      </c>
      <c r="Z10" s="32">
        <v>15</v>
      </c>
    </row>
    <row r="11" spans="1:26" ht="14.4">
      <c r="A11" s="27">
        <v>161</v>
      </c>
      <c r="B11" s="27">
        <v>91</v>
      </c>
      <c r="C11" s="27">
        <v>44</v>
      </c>
      <c r="D11" s="27">
        <v>15</v>
      </c>
      <c r="E11" s="30" t="s">
        <v>60</v>
      </c>
      <c r="F11" s="305"/>
      <c r="G11" s="30" t="s">
        <v>525</v>
      </c>
      <c r="H11" s="40" t="s">
        <v>381</v>
      </c>
      <c r="I11" s="47">
        <f t="shared" si="1"/>
        <v>4.2999999999999963</v>
      </c>
      <c r="J11" s="41">
        <v>4.1227229146692199</v>
      </c>
      <c r="K11" s="45">
        <v>1163.5999999999999</v>
      </c>
      <c r="L11" s="45">
        <v>689.8</v>
      </c>
      <c r="M11" s="45">
        <v>1168.5</v>
      </c>
      <c r="N11" s="41">
        <v>62</v>
      </c>
      <c r="O11" s="41">
        <v>62.2</v>
      </c>
      <c r="P11" s="41">
        <v>62.4</v>
      </c>
      <c r="Q11" s="41" t="s">
        <v>73</v>
      </c>
      <c r="R11" s="41">
        <f t="shared" si="0"/>
        <v>62.199999999999996</v>
      </c>
      <c r="S11" s="41">
        <v>14.35</v>
      </c>
      <c r="T11" s="41">
        <f t="shared" si="2"/>
        <v>1.4504573954983921</v>
      </c>
      <c r="U11" s="43"/>
      <c r="V11" s="41"/>
      <c r="W11" s="32">
        <v>161</v>
      </c>
      <c r="X11" s="32">
        <v>91</v>
      </c>
      <c r="Y11" s="32">
        <v>44</v>
      </c>
      <c r="Z11" s="32">
        <v>15</v>
      </c>
    </row>
    <row r="12" spans="1:26" ht="14.4">
      <c r="A12" s="27">
        <v>161</v>
      </c>
      <c r="B12" s="27">
        <v>91</v>
      </c>
      <c r="C12" s="27">
        <v>44</v>
      </c>
      <c r="D12" s="27">
        <v>15</v>
      </c>
      <c r="E12" s="30" t="s">
        <v>60</v>
      </c>
      <c r="F12" s="305"/>
      <c r="G12" s="30" t="s">
        <v>525</v>
      </c>
      <c r="H12" s="40" t="s">
        <v>298</v>
      </c>
      <c r="I12" s="47">
        <f t="shared" si="1"/>
        <v>4.2999999999999963</v>
      </c>
      <c r="J12" s="41">
        <v>4.1227229146692199</v>
      </c>
      <c r="K12" s="45">
        <v>1168.4000000000001</v>
      </c>
      <c r="L12" s="45">
        <v>691.1</v>
      </c>
      <c r="M12" s="45">
        <v>1171.0999999999999</v>
      </c>
      <c r="N12" s="41">
        <v>61.6</v>
      </c>
      <c r="O12" s="41">
        <v>62.5</v>
      </c>
      <c r="P12" s="41">
        <v>62.8</v>
      </c>
      <c r="Q12" s="41" t="s">
        <v>73</v>
      </c>
      <c r="R12" s="41">
        <f t="shared" si="0"/>
        <v>62.29999999999999</v>
      </c>
      <c r="S12" s="41">
        <v>16.98</v>
      </c>
      <c r="T12" s="41">
        <f t="shared" si="2"/>
        <v>1.713535473515249</v>
      </c>
      <c r="U12" s="43"/>
      <c r="V12" s="41"/>
      <c r="W12" s="32">
        <v>161</v>
      </c>
      <c r="X12" s="32">
        <v>91</v>
      </c>
      <c r="Y12" s="32">
        <v>44</v>
      </c>
      <c r="Z12" s="32">
        <v>15</v>
      </c>
    </row>
    <row r="13" spans="1:26" ht="14.4">
      <c r="A13" s="27">
        <v>161</v>
      </c>
      <c r="B13" s="27">
        <v>91</v>
      </c>
      <c r="C13" s="27">
        <v>44</v>
      </c>
      <c r="D13" s="27">
        <v>15</v>
      </c>
      <c r="E13" s="30" t="s">
        <v>60</v>
      </c>
      <c r="F13" s="305"/>
      <c r="G13" s="30" t="s">
        <v>522</v>
      </c>
      <c r="H13" s="40" t="s">
        <v>294</v>
      </c>
      <c r="I13" s="47">
        <f t="shared" si="1"/>
        <v>4.2999999999999963</v>
      </c>
      <c r="J13" s="41">
        <v>4.1227229146692199</v>
      </c>
      <c r="K13" s="45">
        <v>1162.2</v>
      </c>
      <c r="L13" s="45">
        <v>686.7</v>
      </c>
      <c r="M13" s="45">
        <v>1171.9000000000001</v>
      </c>
      <c r="N13" s="41">
        <v>64.599999999999994</v>
      </c>
      <c r="O13" s="41">
        <v>64.3</v>
      </c>
      <c r="P13" s="41">
        <v>64.7</v>
      </c>
      <c r="Q13" s="41" t="s">
        <v>73</v>
      </c>
      <c r="R13" s="41">
        <f t="shared" si="0"/>
        <v>64.533333333333317</v>
      </c>
      <c r="S13" s="41">
        <v>13.98</v>
      </c>
      <c r="T13" s="41">
        <f t="shared" si="2"/>
        <v>1.3619668388429755</v>
      </c>
      <c r="U13" s="34">
        <f>V13/V14</f>
        <v>0.8726483697627907</v>
      </c>
      <c r="V13" s="32">
        <f>AVERAGE(T14,T16)</f>
        <v>1.2402841294429319</v>
      </c>
      <c r="W13" s="32">
        <v>161</v>
      </c>
      <c r="X13" s="32">
        <v>91</v>
      </c>
      <c r="Y13" s="32">
        <v>44</v>
      </c>
      <c r="Z13" s="32">
        <v>15</v>
      </c>
    </row>
    <row r="14" spans="1:26" ht="14.4">
      <c r="A14" s="27">
        <v>161</v>
      </c>
      <c r="B14" s="27">
        <v>91</v>
      </c>
      <c r="C14" s="27">
        <v>44</v>
      </c>
      <c r="D14" s="27">
        <v>15</v>
      </c>
      <c r="E14" s="30" t="s">
        <v>60</v>
      </c>
      <c r="F14" s="305"/>
      <c r="G14" s="30" t="s">
        <v>522</v>
      </c>
      <c r="H14" s="40" t="s">
        <v>378</v>
      </c>
      <c r="I14" s="47">
        <f t="shared" si="1"/>
        <v>4.2999999999999963</v>
      </c>
      <c r="J14" s="41">
        <v>4.1227229146692199</v>
      </c>
      <c r="K14" s="45">
        <v>1162.7</v>
      </c>
      <c r="L14" s="45">
        <v>687.9</v>
      </c>
      <c r="M14" s="45">
        <v>1168.5999999999999</v>
      </c>
      <c r="N14" s="41">
        <v>64.2</v>
      </c>
      <c r="O14" s="41">
        <v>64.3</v>
      </c>
      <c r="P14" s="41">
        <v>64.099999999999994</v>
      </c>
      <c r="Q14" s="41" t="s">
        <v>73</v>
      </c>
      <c r="R14" s="41">
        <f t="shared" si="0"/>
        <v>64.2</v>
      </c>
      <c r="S14" s="41">
        <v>12.45</v>
      </c>
      <c r="T14" s="41">
        <f t="shared" si="2"/>
        <v>1.2192079439252337</v>
      </c>
      <c r="V14" s="32">
        <f>AVERAGE(T13,T15,T17)</f>
        <v>1.4212873964115402</v>
      </c>
      <c r="W14" s="32">
        <v>161</v>
      </c>
      <c r="X14" s="32">
        <v>91</v>
      </c>
      <c r="Y14" s="32">
        <v>44</v>
      </c>
      <c r="Z14" s="32">
        <v>15</v>
      </c>
    </row>
    <row r="15" spans="1:26" ht="14.4">
      <c r="A15" s="27">
        <v>161</v>
      </c>
      <c r="B15" s="27">
        <v>91</v>
      </c>
      <c r="C15" s="27">
        <v>44</v>
      </c>
      <c r="D15" s="27">
        <v>15</v>
      </c>
      <c r="E15" s="30" t="s">
        <v>60</v>
      </c>
      <c r="F15" s="305"/>
      <c r="G15" s="30" t="s">
        <v>522</v>
      </c>
      <c r="H15" s="40" t="s">
        <v>296</v>
      </c>
      <c r="I15" s="47">
        <f t="shared" si="1"/>
        <v>4.2999999999999963</v>
      </c>
      <c r="J15" s="41">
        <v>4.1227229146692199</v>
      </c>
      <c r="K15" s="45">
        <v>1160.2</v>
      </c>
      <c r="L15" s="45">
        <v>684.8</v>
      </c>
      <c r="M15" s="45">
        <v>1167</v>
      </c>
      <c r="N15" s="41">
        <v>62.5</v>
      </c>
      <c r="O15" s="41">
        <v>62.4</v>
      </c>
      <c r="P15" s="41">
        <v>62.6</v>
      </c>
      <c r="Q15" s="41" t="s">
        <v>73</v>
      </c>
      <c r="R15" s="41">
        <f t="shared" si="0"/>
        <v>62.5</v>
      </c>
      <c r="S15" s="41">
        <v>14.7</v>
      </c>
      <c r="T15" s="41">
        <f t="shared" si="2"/>
        <v>1.4787024</v>
      </c>
      <c r="U15" s="43"/>
      <c r="V15" s="41"/>
      <c r="W15" s="32">
        <v>161</v>
      </c>
      <c r="X15" s="32">
        <v>91</v>
      </c>
      <c r="Y15" s="32">
        <v>44</v>
      </c>
      <c r="Z15" s="32">
        <v>15</v>
      </c>
    </row>
    <row r="16" spans="1:26" ht="14.4">
      <c r="A16" s="27">
        <v>161</v>
      </c>
      <c r="B16" s="27">
        <v>91</v>
      </c>
      <c r="C16" s="27">
        <v>44</v>
      </c>
      <c r="D16" s="27">
        <v>15</v>
      </c>
      <c r="E16" s="30" t="s">
        <v>60</v>
      </c>
      <c r="F16" s="305"/>
      <c r="G16" s="30" t="s">
        <v>522</v>
      </c>
      <c r="H16" s="40" t="s">
        <v>381</v>
      </c>
      <c r="I16" s="47">
        <f t="shared" si="1"/>
        <v>4.2999999999999963</v>
      </c>
      <c r="J16" s="41">
        <v>4.1227229146692199</v>
      </c>
      <c r="K16" s="45">
        <v>1169</v>
      </c>
      <c r="L16" s="45">
        <v>689.3</v>
      </c>
      <c r="M16" s="45">
        <v>1175.4000000000001</v>
      </c>
      <c r="N16" s="41">
        <v>63.5</v>
      </c>
      <c r="O16" s="41">
        <v>63.5</v>
      </c>
      <c r="P16" s="41">
        <v>63.5</v>
      </c>
      <c r="Q16" s="41" t="s">
        <v>73</v>
      </c>
      <c r="R16" s="41">
        <f t="shared" si="0"/>
        <v>63.5</v>
      </c>
      <c r="S16" s="41">
        <v>12.74</v>
      </c>
      <c r="T16" s="41">
        <f t="shared" si="2"/>
        <v>1.2613603149606301</v>
      </c>
      <c r="U16" s="43"/>
      <c r="V16" s="41"/>
      <c r="W16" s="32">
        <v>161</v>
      </c>
      <c r="X16" s="32">
        <v>91</v>
      </c>
      <c r="Y16" s="32">
        <v>44</v>
      </c>
      <c r="Z16" s="32">
        <v>15</v>
      </c>
    </row>
    <row r="17" spans="1:26" ht="14.4">
      <c r="A17" s="27">
        <v>161</v>
      </c>
      <c r="B17" s="27">
        <v>91</v>
      </c>
      <c r="C17" s="27">
        <v>44</v>
      </c>
      <c r="D17" s="27">
        <v>15</v>
      </c>
      <c r="E17" s="30" t="s">
        <v>60</v>
      </c>
      <c r="F17" s="305"/>
      <c r="G17" s="30" t="s">
        <v>522</v>
      </c>
      <c r="H17" s="40" t="s">
        <v>298</v>
      </c>
      <c r="I17" s="47">
        <f t="shared" si="1"/>
        <v>4.2999999999999963</v>
      </c>
      <c r="J17" s="41">
        <v>4.1227229146692199</v>
      </c>
      <c r="K17" s="45">
        <v>1168.5999999999999</v>
      </c>
      <c r="L17" s="45">
        <v>690</v>
      </c>
      <c r="M17" s="45">
        <v>1178.0999999999999</v>
      </c>
      <c r="N17" s="41">
        <v>64.2</v>
      </c>
      <c r="O17" s="41">
        <v>63.8</v>
      </c>
      <c r="P17" s="41">
        <v>63.5</v>
      </c>
      <c r="Q17" s="41" t="s">
        <v>73</v>
      </c>
      <c r="R17" s="41">
        <f t="shared" si="0"/>
        <v>63.833333333333336</v>
      </c>
      <c r="S17" s="41">
        <v>14.45</v>
      </c>
      <c r="T17" s="41">
        <f t="shared" si="2"/>
        <v>1.423192950391645</v>
      </c>
      <c r="U17" s="43"/>
      <c r="V17" s="41"/>
      <c r="W17" s="32">
        <v>161</v>
      </c>
      <c r="X17" s="32">
        <v>91</v>
      </c>
      <c r="Y17" s="32">
        <v>44</v>
      </c>
      <c r="Z17" s="32">
        <v>15</v>
      </c>
    </row>
    <row r="18" spans="1:26" ht="14.4">
      <c r="A18" s="27">
        <v>161</v>
      </c>
      <c r="B18" s="27">
        <v>91</v>
      </c>
      <c r="C18" s="27">
        <v>44</v>
      </c>
      <c r="D18" s="27">
        <v>15</v>
      </c>
      <c r="E18" s="30" t="s">
        <v>60</v>
      </c>
      <c r="F18" s="305"/>
      <c r="G18" s="30" t="s">
        <v>525</v>
      </c>
      <c r="H18" s="40" t="s">
        <v>397</v>
      </c>
      <c r="I18" s="47">
        <f t="shared" si="1"/>
        <v>4.4999999999999991</v>
      </c>
      <c r="J18" s="32">
        <v>4.3062200956937797</v>
      </c>
      <c r="K18" s="45" t="s">
        <v>73</v>
      </c>
      <c r="L18" s="45" t="s">
        <v>73</v>
      </c>
      <c r="M18" s="45" t="s">
        <v>73</v>
      </c>
      <c r="N18" s="41">
        <v>61.5</v>
      </c>
      <c r="O18" s="41">
        <v>62.1</v>
      </c>
      <c r="P18" s="41">
        <v>61.5</v>
      </c>
      <c r="Q18" s="41" t="s">
        <v>73</v>
      </c>
      <c r="R18" s="41">
        <f t="shared" si="0"/>
        <v>61.699999999999996</v>
      </c>
      <c r="S18" s="41">
        <v>10.82</v>
      </c>
      <c r="T18" s="41">
        <f t="shared" ref="T18:T76" si="3">6.287*S18/R18</f>
        <v>1.1025176661264182</v>
      </c>
      <c r="U18" s="34">
        <f>V18/V19</f>
        <v>0.8843887343650394</v>
      </c>
      <c r="V18" s="32">
        <f>AVERAGE(T18,T20,T22)</f>
        <v>1.1887745615130012</v>
      </c>
      <c r="W18" s="32">
        <v>161</v>
      </c>
      <c r="X18" s="32">
        <v>91</v>
      </c>
      <c r="Y18" s="32">
        <v>44</v>
      </c>
      <c r="Z18" s="32">
        <v>15</v>
      </c>
    </row>
    <row r="19" spans="1:26" ht="14.4">
      <c r="A19" s="27">
        <v>161</v>
      </c>
      <c r="B19" s="27">
        <v>91</v>
      </c>
      <c r="C19" s="27">
        <v>44</v>
      </c>
      <c r="D19" s="27">
        <v>15</v>
      </c>
      <c r="E19" s="30" t="s">
        <v>60</v>
      </c>
      <c r="F19" s="305"/>
      <c r="G19" s="30" t="s">
        <v>525</v>
      </c>
      <c r="H19" s="40" t="s">
        <v>295</v>
      </c>
      <c r="I19" s="47">
        <f t="shared" si="1"/>
        <v>4.4999999999999991</v>
      </c>
      <c r="J19" s="32">
        <v>4.3062200956937797</v>
      </c>
      <c r="K19" s="45" t="s">
        <v>73</v>
      </c>
      <c r="L19" s="45" t="s">
        <v>73</v>
      </c>
      <c r="M19" s="45" t="s">
        <v>73</v>
      </c>
      <c r="N19" s="41">
        <v>63.1</v>
      </c>
      <c r="O19" s="41">
        <v>63.4</v>
      </c>
      <c r="P19" s="41">
        <v>63.3</v>
      </c>
      <c r="Q19" s="41" t="s">
        <v>73</v>
      </c>
      <c r="R19" s="41">
        <f t="shared" si="0"/>
        <v>63.266666666666673</v>
      </c>
      <c r="S19" s="41">
        <v>13.76</v>
      </c>
      <c r="T19" s="41">
        <f t="shared" si="3"/>
        <v>1.3673728134878818</v>
      </c>
      <c r="V19" s="32">
        <f>AVERAGE(T19,T21)</f>
        <v>1.3441765089494275</v>
      </c>
      <c r="W19" s="32">
        <v>161</v>
      </c>
      <c r="X19" s="32">
        <v>91</v>
      </c>
      <c r="Y19" s="32">
        <v>44</v>
      </c>
      <c r="Z19" s="32">
        <v>15</v>
      </c>
    </row>
    <row r="20" spans="1:26" ht="14.4">
      <c r="A20" s="27">
        <v>161</v>
      </c>
      <c r="B20" s="27">
        <v>91</v>
      </c>
      <c r="C20" s="27">
        <v>44</v>
      </c>
      <c r="D20" s="27">
        <v>15</v>
      </c>
      <c r="E20" s="30" t="s">
        <v>60</v>
      </c>
      <c r="F20" s="305"/>
      <c r="G20" s="30" t="s">
        <v>525</v>
      </c>
      <c r="H20" s="40" t="s">
        <v>399</v>
      </c>
      <c r="I20" s="47">
        <f t="shared" si="1"/>
        <v>4.4999999999999991</v>
      </c>
      <c r="J20" s="32">
        <v>4.3062200956937797</v>
      </c>
      <c r="K20" s="45" t="s">
        <v>73</v>
      </c>
      <c r="L20" s="45" t="s">
        <v>73</v>
      </c>
      <c r="M20" s="45" t="s">
        <v>73</v>
      </c>
      <c r="N20" s="41">
        <v>61.4</v>
      </c>
      <c r="O20" s="41">
        <v>61.9</v>
      </c>
      <c r="P20" s="41">
        <v>61.6</v>
      </c>
      <c r="Q20" s="41" t="s">
        <v>73</v>
      </c>
      <c r="R20" s="41">
        <f t="shared" si="0"/>
        <v>61.633333333333333</v>
      </c>
      <c r="S20" s="41">
        <v>12.37</v>
      </c>
      <c r="T20" s="41">
        <f t="shared" si="3"/>
        <v>1.261820281233099</v>
      </c>
      <c r="U20" s="43"/>
      <c r="W20" s="32">
        <v>161</v>
      </c>
      <c r="X20" s="32">
        <v>91</v>
      </c>
      <c r="Y20" s="32">
        <v>44</v>
      </c>
      <c r="Z20" s="32">
        <v>15</v>
      </c>
    </row>
    <row r="21" spans="1:26" ht="14.4">
      <c r="A21" s="27">
        <v>161</v>
      </c>
      <c r="B21" s="27">
        <v>91</v>
      </c>
      <c r="C21" s="27">
        <v>44</v>
      </c>
      <c r="D21" s="27">
        <v>15</v>
      </c>
      <c r="E21" s="30" t="s">
        <v>60</v>
      </c>
      <c r="F21" s="305"/>
      <c r="G21" s="30" t="s">
        <v>525</v>
      </c>
      <c r="H21" s="40" t="s">
        <v>297</v>
      </c>
      <c r="I21" s="47">
        <f t="shared" si="1"/>
        <v>4.4999999999999991</v>
      </c>
      <c r="J21" s="32">
        <v>4.3062200956937797</v>
      </c>
      <c r="K21" s="45" t="s">
        <v>73</v>
      </c>
      <c r="L21" s="45" t="s">
        <v>73</v>
      </c>
      <c r="M21" s="45" t="s">
        <v>73</v>
      </c>
      <c r="N21" s="41">
        <v>61.2</v>
      </c>
      <c r="O21" s="41">
        <v>62.3</v>
      </c>
      <c r="P21" s="41">
        <v>62.4</v>
      </c>
      <c r="Q21" s="41" t="s">
        <v>73</v>
      </c>
      <c r="R21" s="41">
        <f t="shared" si="0"/>
        <v>61.966666666666669</v>
      </c>
      <c r="S21" s="41">
        <v>13.02</v>
      </c>
      <c r="T21" s="41">
        <f t="shared" si="3"/>
        <v>1.3209802044109735</v>
      </c>
      <c r="U21" s="43"/>
      <c r="W21" s="32">
        <v>161</v>
      </c>
      <c r="X21" s="32">
        <v>91</v>
      </c>
      <c r="Y21" s="32">
        <v>44</v>
      </c>
      <c r="Z21" s="32">
        <v>15</v>
      </c>
    </row>
    <row r="22" spans="1:26" ht="14.4">
      <c r="A22" s="27">
        <v>161</v>
      </c>
      <c r="B22" s="27">
        <v>91</v>
      </c>
      <c r="C22" s="27">
        <v>44</v>
      </c>
      <c r="D22" s="27">
        <v>15</v>
      </c>
      <c r="E22" s="30" t="s">
        <v>60</v>
      </c>
      <c r="F22" s="305"/>
      <c r="G22" s="30" t="s">
        <v>525</v>
      </c>
      <c r="H22" s="40" t="s">
        <v>401</v>
      </c>
      <c r="I22" s="47">
        <f t="shared" si="1"/>
        <v>4.4999999999999991</v>
      </c>
      <c r="J22" s="32">
        <v>4.3062200956937797</v>
      </c>
      <c r="K22" s="45" t="s">
        <v>73</v>
      </c>
      <c r="L22" s="45" t="s">
        <v>73</v>
      </c>
      <c r="M22" s="45" t="s">
        <v>73</v>
      </c>
      <c r="N22" s="41">
        <v>62.4</v>
      </c>
      <c r="O22" s="41">
        <v>62.5</v>
      </c>
      <c r="P22" s="41">
        <v>62.3</v>
      </c>
      <c r="Q22" s="41" t="s">
        <v>73</v>
      </c>
      <c r="R22" s="41">
        <f t="shared" si="0"/>
        <v>62.4</v>
      </c>
      <c r="S22" s="41">
        <v>11.93</v>
      </c>
      <c r="T22" s="41">
        <f t="shared" si="3"/>
        <v>1.2019857371794871</v>
      </c>
      <c r="U22" s="43"/>
      <c r="W22" s="32">
        <v>161</v>
      </c>
      <c r="X22" s="32">
        <v>91</v>
      </c>
      <c r="Y22" s="32">
        <v>44</v>
      </c>
      <c r="Z22" s="32">
        <v>15</v>
      </c>
    </row>
    <row r="23" spans="1:26" ht="14.4">
      <c r="A23" s="27">
        <v>161</v>
      </c>
      <c r="B23" s="27">
        <v>91</v>
      </c>
      <c r="C23" s="27">
        <v>44</v>
      </c>
      <c r="D23" s="27">
        <v>15</v>
      </c>
      <c r="E23" s="30" t="s">
        <v>60</v>
      </c>
      <c r="F23" s="305"/>
      <c r="G23" s="30" t="s">
        <v>522</v>
      </c>
      <c r="H23" s="40" t="s">
        <v>294</v>
      </c>
      <c r="I23" s="47">
        <f t="shared" si="1"/>
        <v>4.4999999999999991</v>
      </c>
      <c r="J23" s="32">
        <v>4.3062200956937797</v>
      </c>
      <c r="K23" s="45" t="s">
        <v>73</v>
      </c>
      <c r="L23" s="45" t="s">
        <v>73</v>
      </c>
      <c r="M23" s="45" t="s">
        <v>73</v>
      </c>
      <c r="N23" s="41">
        <v>63.1</v>
      </c>
      <c r="O23" s="41">
        <v>63.4</v>
      </c>
      <c r="P23" s="41">
        <v>63.1</v>
      </c>
      <c r="Q23" s="41" t="s">
        <v>73</v>
      </c>
      <c r="R23" s="41">
        <f t="shared" si="0"/>
        <v>63.199999999999996</v>
      </c>
      <c r="S23" s="41">
        <v>11.71</v>
      </c>
      <c r="T23" s="41">
        <f t="shared" si="3"/>
        <v>1.1648856012658231</v>
      </c>
      <c r="U23" s="34">
        <f>V24/V23</f>
        <v>0.83037732867659331</v>
      </c>
      <c r="V23" s="32">
        <f>AVERAGE(T23,T27)</f>
        <v>1.2647251869965479</v>
      </c>
      <c r="W23" s="32">
        <v>161</v>
      </c>
      <c r="X23" s="32">
        <v>91</v>
      </c>
      <c r="Y23" s="32">
        <v>44</v>
      </c>
      <c r="Z23" s="32">
        <v>15</v>
      </c>
    </row>
    <row r="24" spans="1:26" ht="14.4">
      <c r="A24" s="27">
        <v>161</v>
      </c>
      <c r="B24" s="27">
        <v>91</v>
      </c>
      <c r="C24" s="27">
        <v>44</v>
      </c>
      <c r="D24" s="27">
        <v>15</v>
      </c>
      <c r="E24" s="30" t="s">
        <v>60</v>
      </c>
      <c r="F24" s="305"/>
      <c r="G24" s="30" t="s">
        <v>522</v>
      </c>
      <c r="H24" s="40" t="s">
        <v>378</v>
      </c>
      <c r="I24" s="47">
        <f t="shared" si="1"/>
        <v>4.4999999999999991</v>
      </c>
      <c r="J24" s="32">
        <v>4.3062200956937797</v>
      </c>
      <c r="K24" s="45" t="s">
        <v>73</v>
      </c>
      <c r="L24" s="45" t="s">
        <v>73</v>
      </c>
      <c r="M24" s="45" t="s">
        <v>73</v>
      </c>
      <c r="N24" s="41">
        <v>63.7</v>
      </c>
      <c r="O24" s="41">
        <v>63.9</v>
      </c>
      <c r="P24" s="41">
        <v>63.7</v>
      </c>
      <c r="Q24" s="41" t="s">
        <v>73</v>
      </c>
      <c r="R24" s="41">
        <f t="shared" si="0"/>
        <v>63.766666666666673</v>
      </c>
      <c r="S24" s="41">
        <v>10.3</v>
      </c>
      <c r="T24" s="41">
        <f t="shared" si="3"/>
        <v>1.0155164662833245</v>
      </c>
      <c r="V24" s="32">
        <f>AVERAGE(T25,T24,T26)</f>
        <v>1.0501991222881983</v>
      </c>
      <c r="W24" s="32">
        <v>161</v>
      </c>
      <c r="X24" s="32">
        <v>91</v>
      </c>
      <c r="Y24" s="32">
        <v>44</v>
      </c>
      <c r="Z24" s="32">
        <v>15</v>
      </c>
    </row>
    <row r="25" spans="1:26" ht="14.4">
      <c r="A25" s="27">
        <v>161</v>
      </c>
      <c r="B25" s="27">
        <v>91</v>
      </c>
      <c r="C25" s="27">
        <v>44</v>
      </c>
      <c r="D25" s="27">
        <v>15</v>
      </c>
      <c r="E25" s="30" t="s">
        <v>60</v>
      </c>
      <c r="F25" s="305"/>
      <c r="G25" s="30" t="s">
        <v>522</v>
      </c>
      <c r="H25" s="40" t="s">
        <v>399</v>
      </c>
      <c r="I25" s="47">
        <f t="shared" si="1"/>
        <v>4.4999999999999991</v>
      </c>
      <c r="J25" s="32">
        <v>4.3062200956937797</v>
      </c>
      <c r="K25" s="45" t="s">
        <v>73</v>
      </c>
      <c r="L25" s="45" t="s">
        <v>73</v>
      </c>
      <c r="M25" s="45" t="s">
        <v>73</v>
      </c>
      <c r="N25" s="41">
        <v>62.4</v>
      </c>
      <c r="O25" s="41">
        <v>62.5</v>
      </c>
      <c r="P25" s="41">
        <v>62.6</v>
      </c>
      <c r="Q25" s="41" t="s">
        <v>73</v>
      </c>
      <c r="R25" s="41">
        <f t="shared" si="0"/>
        <v>62.5</v>
      </c>
      <c r="S25" s="41">
        <v>10.73</v>
      </c>
      <c r="T25" s="41">
        <f t="shared" si="3"/>
        <v>1.0793521600000002</v>
      </c>
      <c r="W25" s="32">
        <v>161</v>
      </c>
      <c r="X25" s="32">
        <v>91</v>
      </c>
      <c r="Y25" s="32">
        <v>44</v>
      </c>
      <c r="Z25" s="32">
        <v>15</v>
      </c>
    </row>
    <row r="26" spans="1:26" ht="14.4">
      <c r="A26" s="27">
        <v>161</v>
      </c>
      <c r="B26" s="27">
        <v>91</v>
      </c>
      <c r="C26" s="27">
        <v>44</v>
      </c>
      <c r="D26" s="27">
        <v>15</v>
      </c>
      <c r="E26" s="30" t="s">
        <v>60</v>
      </c>
      <c r="F26" s="305"/>
      <c r="G26" s="30" t="s">
        <v>522</v>
      </c>
      <c r="H26" s="40" t="s">
        <v>381</v>
      </c>
      <c r="I26" s="47">
        <f t="shared" si="1"/>
        <v>4.4999999999999991</v>
      </c>
      <c r="J26" s="32">
        <v>4.3062200956937797</v>
      </c>
      <c r="K26" s="45" t="s">
        <v>73</v>
      </c>
      <c r="L26" s="45" t="s">
        <v>73</v>
      </c>
      <c r="M26" s="45" t="s">
        <v>73</v>
      </c>
      <c r="N26" s="41">
        <v>61.7</v>
      </c>
      <c r="O26" s="41">
        <v>62.2</v>
      </c>
      <c r="P26" s="41">
        <v>61.9</v>
      </c>
      <c r="Q26" s="41" t="s">
        <v>73</v>
      </c>
      <c r="R26" s="41">
        <f t="shared" si="0"/>
        <v>61.933333333333337</v>
      </c>
      <c r="S26" s="41">
        <v>10.4</v>
      </c>
      <c r="T26" s="41">
        <f t="shared" si="3"/>
        <v>1.0557287405812701</v>
      </c>
      <c r="U26" s="43"/>
      <c r="W26" s="32">
        <v>161</v>
      </c>
      <c r="X26" s="32">
        <v>91</v>
      </c>
      <c r="Y26" s="32">
        <v>44</v>
      </c>
      <c r="Z26" s="32">
        <v>15</v>
      </c>
    </row>
    <row r="27" spans="1:26" ht="14.4">
      <c r="A27" s="27">
        <v>161</v>
      </c>
      <c r="B27" s="27">
        <v>91</v>
      </c>
      <c r="C27" s="27">
        <v>44</v>
      </c>
      <c r="D27" s="27">
        <v>15</v>
      </c>
      <c r="E27" s="30" t="s">
        <v>60</v>
      </c>
      <c r="F27" s="306"/>
      <c r="G27" s="30" t="s">
        <v>522</v>
      </c>
      <c r="H27" s="40" t="s">
        <v>298</v>
      </c>
      <c r="I27" s="47">
        <f t="shared" si="1"/>
        <v>4.4999999999999991</v>
      </c>
      <c r="J27" s="32">
        <v>4.3062200956937797</v>
      </c>
      <c r="K27" s="45" t="s">
        <v>73</v>
      </c>
      <c r="L27" s="45" t="s">
        <v>73</v>
      </c>
      <c r="M27" s="45" t="s">
        <v>73</v>
      </c>
      <c r="N27" s="41">
        <v>61.5</v>
      </c>
      <c r="O27" s="41">
        <v>61.7</v>
      </c>
      <c r="P27" s="41">
        <v>61.6</v>
      </c>
      <c r="Q27" s="41" t="s">
        <v>73</v>
      </c>
      <c r="R27" s="41">
        <f t="shared" si="0"/>
        <v>61.6</v>
      </c>
      <c r="S27" s="41">
        <v>13.37</v>
      </c>
      <c r="T27" s="41">
        <f t="shared" si="3"/>
        <v>1.3645647727272725</v>
      </c>
      <c r="U27" s="43"/>
      <c r="W27" s="32">
        <v>161</v>
      </c>
      <c r="X27" s="32">
        <v>91</v>
      </c>
      <c r="Y27" s="32">
        <v>44</v>
      </c>
      <c r="Z27" s="32">
        <v>15</v>
      </c>
    </row>
    <row r="28" spans="1:26" ht="14.4">
      <c r="A28" s="27">
        <v>161</v>
      </c>
      <c r="B28" s="27">
        <v>91</v>
      </c>
      <c r="C28" s="27">
        <v>44</v>
      </c>
      <c r="D28" s="27">
        <v>15</v>
      </c>
      <c r="E28" s="30" t="s">
        <v>69</v>
      </c>
      <c r="F28" s="304" t="s">
        <v>197</v>
      </c>
      <c r="G28" s="30" t="s">
        <v>300</v>
      </c>
      <c r="H28" s="60" t="s">
        <v>294</v>
      </c>
      <c r="I28" s="47">
        <f t="shared" si="1"/>
        <v>4.1999999999999984</v>
      </c>
      <c r="J28" s="61">
        <v>4.0307101727447199</v>
      </c>
      <c r="K28" s="33">
        <v>1180.2</v>
      </c>
      <c r="L28" s="33">
        <v>700.6</v>
      </c>
      <c r="M28" s="33">
        <v>1182.2</v>
      </c>
      <c r="N28" s="32">
        <v>61.7</v>
      </c>
      <c r="O28" s="32">
        <v>61.45</v>
      </c>
      <c r="P28" s="32">
        <v>61.93</v>
      </c>
      <c r="Q28" s="32">
        <v>61.39</v>
      </c>
      <c r="R28" s="32">
        <f t="shared" ref="R28:R70" si="4">AVERAGE(N28:Q28)</f>
        <v>61.617500000000007</v>
      </c>
      <c r="S28" s="32">
        <v>11.2</v>
      </c>
      <c r="T28" s="41">
        <f t="shared" si="3"/>
        <v>1.1427662595853449</v>
      </c>
      <c r="U28" s="34">
        <f>V29/V28</f>
        <v>0.89524209256014053</v>
      </c>
      <c r="V28" s="32">
        <f>AVERAGE(T28,T30,T32)</f>
        <v>1.1845896938432754</v>
      </c>
      <c r="W28" s="32">
        <v>161</v>
      </c>
      <c r="X28" s="32">
        <v>91</v>
      </c>
      <c r="Y28" s="32">
        <v>44</v>
      </c>
      <c r="Z28" s="32">
        <v>15</v>
      </c>
    </row>
    <row r="29" spans="1:26" ht="14.4">
      <c r="A29" s="27">
        <v>161</v>
      </c>
      <c r="B29" s="27">
        <v>91</v>
      </c>
      <c r="C29" s="27">
        <v>44</v>
      </c>
      <c r="D29" s="27">
        <v>15</v>
      </c>
      <c r="E29" s="30" t="s">
        <v>69</v>
      </c>
      <c r="F29" s="305"/>
      <c r="G29" s="30" t="s">
        <v>300</v>
      </c>
      <c r="H29" s="60" t="s">
        <v>378</v>
      </c>
      <c r="I29" s="47">
        <f t="shared" si="1"/>
        <v>4.1999999999999984</v>
      </c>
      <c r="J29" s="61">
        <v>4.0307101727447199</v>
      </c>
      <c r="K29" s="33">
        <v>1197.4000000000001</v>
      </c>
      <c r="L29" s="33">
        <v>709.8</v>
      </c>
      <c r="M29" s="33">
        <v>1199.7</v>
      </c>
      <c r="N29" s="32">
        <v>62.41</v>
      </c>
      <c r="O29" s="32">
        <v>62.78</v>
      </c>
      <c r="P29" s="32">
        <v>62.59</v>
      </c>
      <c r="Q29" s="32">
        <v>62.56</v>
      </c>
      <c r="R29" s="32">
        <f t="shared" si="4"/>
        <v>62.585000000000001</v>
      </c>
      <c r="S29" s="32">
        <v>10.24</v>
      </c>
      <c r="T29" s="41">
        <f t="shared" si="3"/>
        <v>1.0286630981864664</v>
      </c>
      <c r="V29" s="32">
        <f>AVERAGE(T29,T31,T33)</f>
        <v>1.0604945563414301</v>
      </c>
      <c r="W29" s="32">
        <v>161</v>
      </c>
      <c r="X29" s="32">
        <v>91</v>
      </c>
      <c r="Y29" s="32">
        <v>44</v>
      </c>
      <c r="Z29" s="32">
        <v>15</v>
      </c>
    </row>
    <row r="30" spans="1:26" ht="14.4">
      <c r="A30" s="27">
        <v>161</v>
      </c>
      <c r="B30" s="27">
        <v>91</v>
      </c>
      <c r="C30" s="27">
        <v>44</v>
      </c>
      <c r="D30" s="27">
        <v>15</v>
      </c>
      <c r="E30" s="30" t="s">
        <v>69</v>
      </c>
      <c r="F30" s="305"/>
      <c r="G30" s="30" t="s">
        <v>300</v>
      </c>
      <c r="H30" s="60" t="s">
        <v>296</v>
      </c>
      <c r="I30" s="47">
        <f t="shared" si="1"/>
        <v>4.1999999999999984</v>
      </c>
      <c r="J30" s="61">
        <v>4.0307101727447199</v>
      </c>
      <c r="K30" s="33">
        <v>1200.8</v>
      </c>
      <c r="L30" s="33">
        <v>708.7</v>
      </c>
      <c r="M30" s="33">
        <v>1204.0999999999999</v>
      </c>
      <c r="N30" s="32">
        <v>63.3</v>
      </c>
      <c r="O30" s="32">
        <v>63.05</v>
      </c>
      <c r="P30" s="32">
        <v>63.65</v>
      </c>
      <c r="Q30" s="32">
        <v>63.22</v>
      </c>
      <c r="R30" s="32">
        <f t="shared" si="4"/>
        <v>63.305</v>
      </c>
      <c r="S30" s="32">
        <v>12.77</v>
      </c>
      <c r="T30" s="41">
        <f t="shared" si="3"/>
        <v>1.2682251007029459</v>
      </c>
      <c r="W30" s="32">
        <v>161</v>
      </c>
      <c r="X30" s="32">
        <v>91</v>
      </c>
      <c r="Y30" s="32">
        <v>44</v>
      </c>
      <c r="Z30" s="32">
        <v>15</v>
      </c>
    </row>
    <row r="31" spans="1:26" ht="14.4">
      <c r="A31" s="27">
        <v>161</v>
      </c>
      <c r="B31" s="27">
        <v>91</v>
      </c>
      <c r="C31" s="27">
        <v>44</v>
      </c>
      <c r="D31" s="27">
        <v>15</v>
      </c>
      <c r="E31" s="30" t="s">
        <v>69</v>
      </c>
      <c r="F31" s="305"/>
      <c r="G31" s="30" t="s">
        <v>300</v>
      </c>
      <c r="H31" s="60" t="s">
        <v>381</v>
      </c>
      <c r="I31" s="47">
        <f t="shared" si="1"/>
        <v>4.1999999999999984</v>
      </c>
      <c r="J31" s="61">
        <v>4.0307101727447199</v>
      </c>
      <c r="K31" s="33">
        <v>1201.0999999999999</v>
      </c>
      <c r="L31" s="33">
        <v>712.8</v>
      </c>
      <c r="M31" s="33">
        <v>1204.5999999999999</v>
      </c>
      <c r="N31" s="32">
        <v>62.72</v>
      </c>
      <c r="O31" s="32">
        <v>62.82</v>
      </c>
      <c r="P31" s="32">
        <v>62.46</v>
      </c>
      <c r="Q31" s="32">
        <v>62.92</v>
      </c>
      <c r="R31" s="32">
        <f t="shared" si="4"/>
        <v>62.730000000000004</v>
      </c>
      <c r="S31" s="32">
        <v>11.51</v>
      </c>
      <c r="T31" s="41">
        <f t="shared" si="3"/>
        <v>1.1535687868643392</v>
      </c>
      <c r="W31" s="32">
        <v>161</v>
      </c>
      <c r="X31" s="32">
        <v>91</v>
      </c>
      <c r="Y31" s="32">
        <v>44</v>
      </c>
      <c r="Z31" s="32">
        <v>15</v>
      </c>
    </row>
    <row r="32" spans="1:26" ht="14.4">
      <c r="A32" s="27">
        <v>144</v>
      </c>
      <c r="B32" s="27">
        <v>107.8</v>
      </c>
      <c r="C32" s="27">
        <v>43.95</v>
      </c>
      <c r="D32" s="27">
        <v>60.3</v>
      </c>
      <c r="E32" s="30" t="s">
        <v>69</v>
      </c>
      <c r="F32" s="305"/>
      <c r="G32" s="30" t="s">
        <v>300</v>
      </c>
      <c r="H32" s="60" t="s">
        <v>298</v>
      </c>
      <c r="I32" s="47">
        <f t="shared" si="1"/>
        <v>4.1999999999999984</v>
      </c>
      <c r="J32" s="61">
        <v>4.0307101727447199</v>
      </c>
      <c r="K32" s="33">
        <v>1198.2</v>
      </c>
      <c r="L32" s="33">
        <v>706.8</v>
      </c>
      <c r="M32" s="33">
        <v>1201.7</v>
      </c>
      <c r="N32" s="32">
        <v>63.91</v>
      </c>
      <c r="O32" s="32">
        <v>63.87</v>
      </c>
      <c r="P32" s="32">
        <v>63.75</v>
      </c>
      <c r="Q32" s="32">
        <v>63.96</v>
      </c>
      <c r="R32" s="32">
        <f t="shared" si="4"/>
        <v>63.872500000000002</v>
      </c>
      <c r="S32" s="32">
        <v>11.61</v>
      </c>
      <c r="T32" s="41">
        <f t="shared" si="3"/>
        <v>1.1427777212415358</v>
      </c>
      <c r="W32" s="32">
        <v>161</v>
      </c>
      <c r="X32" s="32">
        <v>91</v>
      </c>
      <c r="Y32" s="32">
        <v>44</v>
      </c>
      <c r="Z32" s="32">
        <v>15</v>
      </c>
    </row>
    <row r="33" spans="1:26" ht="14.4">
      <c r="A33" s="27">
        <v>144</v>
      </c>
      <c r="B33" s="27">
        <v>107.8</v>
      </c>
      <c r="C33" s="27">
        <v>43.95</v>
      </c>
      <c r="D33" s="27">
        <v>60.3</v>
      </c>
      <c r="E33" s="30" t="s">
        <v>69</v>
      </c>
      <c r="F33" s="305"/>
      <c r="G33" s="30" t="s">
        <v>300</v>
      </c>
      <c r="H33" s="60" t="s">
        <v>403</v>
      </c>
      <c r="I33" s="47">
        <f t="shared" si="1"/>
        <v>4.1999999999999984</v>
      </c>
      <c r="J33" s="61">
        <v>4.0307101727447199</v>
      </c>
      <c r="K33" s="33">
        <v>1210.9000000000001</v>
      </c>
      <c r="L33" s="33">
        <v>704.2</v>
      </c>
      <c r="M33" s="33">
        <v>1201.3</v>
      </c>
      <c r="N33" s="32">
        <v>64.17</v>
      </c>
      <c r="O33" s="32">
        <v>64.099999999999994</v>
      </c>
      <c r="P33" s="32">
        <v>64.02</v>
      </c>
      <c r="Q33" s="32">
        <v>64.16</v>
      </c>
      <c r="R33" s="32">
        <f t="shared" si="4"/>
        <v>64.112499999999983</v>
      </c>
      <c r="S33" s="32">
        <v>10.19</v>
      </c>
      <c r="T33" s="41">
        <f t="shared" si="3"/>
        <v>0.99925178397348424</v>
      </c>
      <c r="W33" s="32">
        <v>161</v>
      </c>
      <c r="X33" s="32">
        <v>91</v>
      </c>
      <c r="Y33" s="32">
        <v>44</v>
      </c>
      <c r="Z33" s="32">
        <v>15</v>
      </c>
    </row>
    <row r="34" spans="1:26" ht="14.4">
      <c r="A34" s="27">
        <v>144</v>
      </c>
      <c r="B34" s="27">
        <v>107.8</v>
      </c>
      <c r="C34" s="27">
        <v>43.95</v>
      </c>
      <c r="D34" s="27">
        <v>60.3</v>
      </c>
      <c r="E34" s="30" t="s">
        <v>69</v>
      </c>
      <c r="F34" s="305"/>
      <c r="G34" s="30" t="s">
        <v>301</v>
      </c>
      <c r="H34" s="60" t="s">
        <v>397</v>
      </c>
      <c r="I34" s="47">
        <f t="shared" si="1"/>
        <v>4.1999999999999984</v>
      </c>
      <c r="J34" s="61">
        <v>4.0307101727447199</v>
      </c>
      <c r="K34" s="33">
        <v>1201.5</v>
      </c>
      <c r="L34" s="33">
        <v>711.4</v>
      </c>
      <c r="M34" s="33">
        <v>1205.5</v>
      </c>
      <c r="N34" s="32">
        <v>63.28</v>
      </c>
      <c r="O34" s="32">
        <v>62.89</v>
      </c>
      <c r="P34" s="32">
        <v>63.94</v>
      </c>
      <c r="Q34" s="32">
        <v>62.41</v>
      </c>
      <c r="R34" s="32">
        <f t="shared" si="4"/>
        <v>63.13</v>
      </c>
      <c r="S34" s="32">
        <v>10.47</v>
      </c>
      <c r="T34" s="41">
        <f t="shared" si="3"/>
        <v>1.0426879455092666</v>
      </c>
      <c r="U34" s="34">
        <f>V34/V35</f>
        <v>0.89339200289411236</v>
      </c>
      <c r="V34" s="32">
        <f>AVERAGE(T34,T36,T38)</f>
        <v>1.0383570536846374</v>
      </c>
      <c r="W34" s="32">
        <v>161</v>
      </c>
      <c r="X34" s="32">
        <v>91</v>
      </c>
      <c r="Y34" s="32">
        <v>44</v>
      </c>
      <c r="Z34" s="32">
        <v>15</v>
      </c>
    </row>
    <row r="35" spans="1:26" ht="14.4">
      <c r="A35" s="27">
        <v>144</v>
      </c>
      <c r="B35" s="27">
        <v>107.8</v>
      </c>
      <c r="C35" s="27">
        <v>43.95</v>
      </c>
      <c r="D35" s="27">
        <v>60.3</v>
      </c>
      <c r="E35" s="30" t="s">
        <v>69</v>
      </c>
      <c r="F35" s="305"/>
      <c r="G35" s="30" t="s">
        <v>301</v>
      </c>
      <c r="H35" s="60" t="s">
        <v>295</v>
      </c>
      <c r="I35" s="47">
        <f t="shared" si="1"/>
        <v>4.1999999999999984</v>
      </c>
      <c r="J35" s="61">
        <v>4.0307101727447199</v>
      </c>
      <c r="K35" s="33">
        <v>1203.3</v>
      </c>
      <c r="L35" s="33">
        <v>712.9</v>
      </c>
      <c r="M35" s="33">
        <v>1207</v>
      </c>
      <c r="N35" s="32">
        <v>62.99</v>
      </c>
      <c r="O35" s="32">
        <v>63.51</v>
      </c>
      <c r="P35" s="32">
        <v>63.11</v>
      </c>
      <c r="Q35" s="32">
        <v>63.41</v>
      </c>
      <c r="R35" s="32">
        <f t="shared" si="4"/>
        <v>63.255000000000003</v>
      </c>
      <c r="S35" s="32">
        <v>13.09</v>
      </c>
      <c r="T35" s="41">
        <f t="shared" si="3"/>
        <v>1.3010328037309302</v>
      </c>
      <c r="V35" s="32">
        <f>AVERAGE(T35,T37,T39)</f>
        <v>1.1622636539401694</v>
      </c>
      <c r="W35" s="32">
        <v>161</v>
      </c>
      <c r="X35" s="32">
        <v>91</v>
      </c>
      <c r="Y35" s="32">
        <v>44</v>
      </c>
      <c r="Z35" s="32">
        <v>15</v>
      </c>
    </row>
    <row r="36" spans="1:26" ht="14.4">
      <c r="A36" s="27">
        <v>144</v>
      </c>
      <c r="B36" s="27">
        <v>107.8</v>
      </c>
      <c r="C36" s="27">
        <v>43.95</v>
      </c>
      <c r="D36" s="27">
        <v>60.3</v>
      </c>
      <c r="E36" s="30" t="s">
        <v>69</v>
      </c>
      <c r="F36" s="305"/>
      <c r="G36" s="30" t="s">
        <v>301</v>
      </c>
      <c r="H36" s="60" t="s">
        <v>399</v>
      </c>
      <c r="I36" s="47">
        <f t="shared" si="1"/>
        <v>4.1999999999999984</v>
      </c>
      <c r="J36" s="61">
        <v>4.0307101727447199</v>
      </c>
      <c r="K36" s="33">
        <v>1199.5</v>
      </c>
      <c r="L36" s="33">
        <v>707.3</v>
      </c>
      <c r="M36" s="33">
        <v>1203.2</v>
      </c>
      <c r="N36" s="32">
        <v>63.92</v>
      </c>
      <c r="O36" s="32">
        <v>63.65</v>
      </c>
      <c r="P36" s="32">
        <v>63.84</v>
      </c>
      <c r="Q36" s="32">
        <v>63.49</v>
      </c>
      <c r="R36" s="32">
        <f t="shared" si="4"/>
        <v>63.725000000000001</v>
      </c>
      <c r="S36" s="32">
        <v>10.69</v>
      </c>
      <c r="T36" s="41">
        <f t="shared" si="3"/>
        <v>1.0546571989015299</v>
      </c>
      <c r="W36" s="32">
        <v>161</v>
      </c>
      <c r="X36" s="32">
        <v>91</v>
      </c>
      <c r="Y36" s="32">
        <v>44</v>
      </c>
      <c r="Z36" s="32">
        <v>15</v>
      </c>
    </row>
    <row r="37" spans="1:26" ht="14.4">
      <c r="A37" s="27">
        <v>111</v>
      </c>
      <c r="B37" s="27">
        <v>124</v>
      </c>
      <c r="C37" s="27">
        <v>41.5</v>
      </c>
      <c r="D37" s="27">
        <v>56</v>
      </c>
      <c r="E37" s="30" t="s">
        <v>69</v>
      </c>
      <c r="F37" s="305"/>
      <c r="G37" s="30" t="s">
        <v>301</v>
      </c>
      <c r="H37" s="60" t="s">
        <v>297</v>
      </c>
      <c r="I37" s="47">
        <f t="shared" si="1"/>
        <v>4.1999999999999984</v>
      </c>
      <c r="J37" s="61">
        <v>4.0307101727447199</v>
      </c>
      <c r="K37" s="33">
        <v>1202</v>
      </c>
      <c r="L37" s="33">
        <v>710.4</v>
      </c>
      <c r="M37" s="33">
        <v>1206.3</v>
      </c>
      <c r="N37" s="32">
        <v>63.15</v>
      </c>
      <c r="O37" s="32">
        <v>63.39</v>
      </c>
      <c r="P37" s="32">
        <v>62.98</v>
      </c>
      <c r="Q37" s="32">
        <v>63.26</v>
      </c>
      <c r="R37" s="32">
        <f t="shared" si="4"/>
        <v>63.194999999999993</v>
      </c>
      <c r="S37" s="32">
        <v>11.05</v>
      </c>
      <c r="T37" s="41">
        <f t="shared" si="3"/>
        <v>1.0993171928158876</v>
      </c>
      <c r="W37" s="32">
        <v>161</v>
      </c>
      <c r="X37" s="32">
        <v>91</v>
      </c>
      <c r="Y37" s="32">
        <v>44</v>
      </c>
      <c r="Z37" s="32">
        <v>15</v>
      </c>
    </row>
    <row r="38" spans="1:26" ht="14.4">
      <c r="A38" s="27">
        <v>111</v>
      </c>
      <c r="B38" s="27">
        <v>124</v>
      </c>
      <c r="C38" s="27">
        <v>41.5</v>
      </c>
      <c r="D38" s="27">
        <v>56</v>
      </c>
      <c r="E38" s="30" t="s">
        <v>69</v>
      </c>
      <c r="F38" s="305"/>
      <c r="G38" s="30" t="s">
        <v>301</v>
      </c>
      <c r="H38" s="60" t="s">
        <v>401</v>
      </c>
      <c r="I38" s="47">
        <f t="shared" si="1"/>
        <v>4.1999999999999984</v>
      </c>
      <c r="J38" s="61">
        <v>4.0307101727447199</v>
      </c>
      <c r="K38" s="33">
        <v>1202.3</v>
      </c>
      <c r="L38" s="33">
        <v>711.5</v>
      </c>
      <c r="M38" s="33">
        <v>1206.7</v>
      </c>
      <c r="N38" s="32">
        <v>63.72</v>
      </c>
      <c r="O38" s="32">
        <v>63.66</v>
      </c>
      <c r="P38" s="32">
        <v>63.9</v>
      </c>
      <c r="Q38" s="32">
        <v>63.48</v>
      </c>
      <c r="R38" s="32">
        <f t="shared" si="4"/>
        <v>63.69</v>
      </c>
      <c r="S38" s="32">
        <v>10.31</v>
      </c>
      <c r="T38" s="41">
        <f t="shared" si="3"/>
        <v>1.0177260166431152</v>
      </c>
      <c r="W38" s="32">
        <v>161</v>
      </c>
      <c r="X38" s="32">
        <v>91</v>
      </c>
      <c r="Y38" s="32">
        <v>44</v>
      </c>
      <c r="Z38" s="32">
        <v>15</v>
      </c>
    </row>
    <row r="39" spans="1:26" ht="14.4">
      <c r="A39" s="27">
        <v>111</v>
      </c>
      <c r="B39" s="27">
        <v>124</v>
      </c>
      <c r="C39" s="27">
        <v>41.5</v>
      </c>
      <c r="D39" s="27">
        <v>56</v>
      </c>
      <c r="E39" s="30" t="s">
        <v>69</v>
      </c>
      <c r="F39" s="305"/>
      <c r="G39" s="30" t="s">
        <v>301</v>
      </c>
      <c r="H39" s="60" t="s">
        <v>299</v>
      </c>
      <c r="I39" s="47">
        <f t="shared" si="1"/>
        <v>4.1999999999999984</v>
      </c>
      <c r="J39" s="61">
        <v>4.0307101727447199</v>
      </c>
      <c r="K39" s="33">
        <v>1201.7</v>
      </c>
      <c r="L39" s="33">
        <v>710.8</v>
      </c>
      <c r="M39" s="33">
        <v>1207</v>
      </c>
      <c r="N39" s="32">
        <v>63.73</v>
      </c>
      <c r="O39" s="32">
        <v>63.77</v>
      </c>
      <c r="P39" s="32">
        <v>63.44</v>
      </c>
      <c r="Q39" s="32">
        <v>63.91</v>
      </c>
      <c r="R39" s="32">
        <f t="shared" si="4"/>
        <v>63.712499999999999</v>
      </c>
      <c r="S39" s="32">
        <v>11.01</v>
      </c>
      <c r="T39" s="41">
        <f t="shared" si="3"/>
        <v>1.0864409652736904</v>
      </c>
      <c r="W39" s="32">
        <v>161</v>
      </c>
      <c r="X39" s="32">
        <v>91</v>
      </c>
      <c r="Y39" s="32">
        <v>44</v>
      </c>
      <c r="Z39" s="32">
        <v>15</v>
      </c>
    </row>
    <row r="40" spans="1:26" ht="14.4">
      <c r="A40" s="27">
        <v>111</v>
      </c>
      <c r="B40" s="27">
        <v>124</v>
      </c>
      <c r="C40" s="27">
        <v>41.5</v>
      </c>
      <c r="D40" s="27">
        <v>56</v>
      </c>
      <c r="E40" s="30" t="s">
        <v>69</v>
      </c>
      <c r="F40" s="305"/>
      <c r="G40" s="30" t="s">
        <v>302</v>
      </c>
      <c r="H40" s="60" t="s">
        <v>397</v>
      </c>
      <c r="I40" s="47">
        <f t="shared" si="1"/>
        <v>4.1999999999999984</v>
      </c>
      <c r="J40" s="61">
        <v>4.0307101727447199</v>
      </c>
      <c r="K40" s="33">
        <v>1205.5999999999999</v>
      </c>
      <c r="L40" s="33">
        <v>708.7</v>
      </c>
      <c r="M40" s="33">
        <v>1209</v>
      </c>
      <c r="N40" s="32">
        <v>63.28</v>
      </c>
      <c r="O40" s="32">
        <v>62.89</v>
      </c>
      <c r="P40" s="32">
        <v>63.94</v>
      </c>
      <c r="Q40" s="32">
        <v>62.41</v>
      </c>
      <c r="R40" s="32">
        <f t="shared" si="4"/>
        <v>63.13</v>
      </c>
      <c r="S40" s="32">
        <v>11.02</v>
      </c>
      <c r="T40" s="41">
        <f t="shared" si="3"/>
        <v>1.0974614287977187</v>
      </c>
      <c r="U40" s="34">
        <f>V40/V41</f>
        <v>0.88679137023748034</v>
      </c>
      <c r="V40" s="32">
        <f>AVERAGE(T40,T42,T44)</f>
        <v>1.0385233703412136</v>
      </c>
      <c r="W40" s="32">
        <v>161</v>
      </c>
      <c r="X40" s="32">
        <v>91</v>
      </c>
      <c r="Y40" s="32">
        <v>44</v>
      </c>
      <c r="Z40" s="32">
        <v>15</v>
      </c>
    </row>
    <row r="41" spans="1:26" ht="14.4">
      <c r="A41" s="27">
        <v>111</v>
      </c>
      <c r="B41" s="27">
        <v>124</v>
      </c>
      <c r="C41" s="27">
        <v>41.5</v>
      </c>
      <c r="D41" s="27">
        <v>56</v>
      </c>
      <c r="E41" s="30" t="s">
        <v>69</v>
      </c>
      <c r="F41" s="305"/>
      <c r="G41" s="30" t="s">
        <v>302</v>
      </c>
      <c r="H41" s="60" t="s">
        <v>295</v>
      </c>
      <c r="I41" s="47">
        <f t="shared" si="1"/>
        <v>4.1999999999999984</v>
      </c>
      <c r="J41" s="61">
        <v>4.0307101727447199</v>
      </c>
      <c r="K41" s="33">
        <v>1202.7</v>
      </c>
      <c r="L41" s="33">
        <v>706</v>
      </c>
      <c r="M41" s="33">
        <v>1206</v>
      </c>
      <c r="N41" s="32">
        <v>62.99</v>
      </c>
      <c r="O41" s="32">
        <v>63.51</v>
      </c>
      <c r="P41" s="32">
        <v>63.11</v>
      </c>
      <c r="Q41" s="32">
        <v>63.41</v>
      </c>
      <c r="R41" s="32">
        <f t="shared" si="4"/>
        <v>63.255000000000003</v>
      </c>
      <c r="S41" s="32">
        <v>12.04</v>
      </c>
      <c r="T41" s="41">
        <f t="shared" si="3"/>
        <v>1.1966718836455614</v>
      </c>
      <c r="V41" s="32">
        <f>AVERAGE(T41,T43,T45)</f>
        <v>1.1711022515511171</v>
      </c>
      <c r="W41" s="32">
        <v>161</v>
      </c>
      <c r="X41" s="32">
        <v>91</v>
      </c>
      <c r="Y41" s="32">
        <v>44</v>
      </c>
      <c r="Z41" s="32">
        <v>15</v>
      </c>
    </row>
    <row r="42" spans="1:26" ht="14.4">
      <c r="A42" s="27">
        <v>161</v>
      </c>
      <c r="B42" s="27">
        <v>91</v>
      </c>
      <c r="C42" s="27">
        <v>44</v>
      </c>
      <c r="D42" s="27">
        <v>15</v>
      </c>
      <c r="E42" s="30" t="s">
        <v>69</v>
      </c>
      <c r="F42" s="305"/>
      <c r="G42" s="30" t="s">
        <v>302</v>
      </c>
      <c r="H42" s="60" t="s">
        <v>399</v>
      </c>
      <c r="I42" s="47">
        <f t="shared" si="1"/>
        <v>4.1999999999999984</v>
      </c>
      <c r="J42" s="61">
        <v>4.0307101727447199</v>
      </c>
      <c r="K42" s="33">
        <v>1198.5999999999999</v>
      </c>
      <c r="L42" s="33">
        <v>704.2</v>
      </c>
      <c r="M42" s="33">
        <v>1201.7</v>
      </c>
      <c r="N42" s="32">
        <v>63.92</v>
      </c>
      <c r="O42" s="32">
        <v>63.65</v>
      </c>
      <c r="P42" s="32">
        <v>63.84</v>
      </c>
      <c r="Q42" s="32">
        <v>63.49</v>
      </c>
      <c r="R42" s="32">
        <f t="shared" si="4"/>
        <v>63.725000000000001</v>
      </c>
      <c r="S42" s="32">
        <v>10.37</v>
      </c>
      <c r="T42" s="41">
        <f t="shared" si="3"/>
        <v>1.023086543742644</v>
      </c>
      <c r="W42" s="32">
        <v>161</v>
      </c>
      <c r="X42" s="32">
        <v>91</v>
      </c>
      <c r="Y42" s="32">
        <v>44</v>
      </c>
      <c r="Z42" s="32">
        <v>15</v>
      </c>
    </row>
    <row r="43" spans="1:26" ht="14.4">
      <c r="A43" s="27">
        <v>161</v>
      </c>
      <c r="B43" s="27">
        <v>91</v>
      </c>
      <c r="C43" s="27">
        <v>44</v>
      </c>
      <c r="D43" s="27">
        <v>15</v>
      </c>
      <c r="E43" s="30" t="s">
        <v>69</v>
      </c>
      <c r="F43" s="305"/>
      <c r="G43" s="30" t="s">
        <v>302</v>
      </c>
      <c r="H43" s="60" t="s">
        <v>297</v>
      </c>
      <c r="I43" s="47">
        <f t="shared" si="1"/>
        <v>4.1999999999999984</v>
      </c>
      <c r="J43" s="61">
        <v>4.0307101727447199</v>
      </c>
      <c r="K43" s="33">
        <v>1200.5999999999999</v>
      </c>
      <c r="L43" s="33">
        <v>703.6</v>
      </c>
      <c r="M43" s="33">
        <v>1203.2</v>
      </c>
      <c r="N43" s="32">
        <v>63.15</v>
      </c>
      <c r="O43" s="32">
        <v>63.39</v>
      </c>
      <c r="P43" s="32">
        <v>62.98</v>
      </c>
      <c r="Q43" s="32">
        <v>63.26</v>
      </c>
      <c r="R43" s="32">
        <f t="shared" si="4"/>
        <v>63.194999999999993</v>
      </c>
      <c r="S43" s="32">
        <v>11.82</v>
      </c>
      <c r="T43" s="41">
        <f t="shared" si="3"/>
        <v>1.1759211962971756</v>
      </c>
      <c r="W43" s="32">
        <v>161</v>
      </c>
      <c r="X43" s="32">
        <v>91</v>
      </c>
      <c r="Y43" s="32">
        <v>44</v>
      </c>
      <c r="Z43" s="32">
        <v>15</v>
      </c>
    </row>
    <row r="44" spans="1:26" ht="14.4">
      <c r="A44" s="27">
        <v>161</v>
      </c>
      <c r="B44" s="27">
        <v>91</v>
      </c>
      <c r="C44" s="27">
        <v>44</v>
      </c>
      <c r="D44" s="27">
        <v>15</v>
      </c>
      <c r="E44" s="30" t="s">
        <v>69</v>
      </c>
      <c r="F44" s="305"/>
      <c r="G44" s="30" t="s">
        <v>302</v>
      </c>
      <c r="H44" s="60" t="s">
        <v>401</v>
      </c>
      <c r="I44" s="47">
        <f t="shared" si="1"/>
        <v>4.1999999999999984</v>
      </c>
      <c r="J44" s="61">
        <v>4.0307101727447199</v>
      </c>
      <c r="K44" s="33">
        <v>1199.7</v>
      </c>
      <c r="L44" s="33">
        <v>704.7</v>
      </c>
      <c r="M44" s="33">
        <v>1204.3</v>
      </c>
      <c r="N44" s="32">
        <v>63.72</v>
      </c>
      <c r="O44" s="32">
        <v>63.66</v>
      </c>
      <c r="P44" s="32">
        <v>63.9</v>
      </c>
      <c r="Q44" s="32">
        <v>63.48</v>
      </c>
      <c r="R44" s="32">
        <f t="shared" si="4"/>
        <v>63.69</v>
      </c>
      <c r="S44" s="32">
        <v>10.08</v>
      </c>
      <c r="T44" s="41">
        <f t="shared" si="3"/>
        <v>0.99502213848327836</v>
      </c>
      <c r="W44" s="32">
        <v>161</v>
      </c>
      <c r="X44" s="32">
        <v>91</v>
      </c>
      <c r="Y44" s="32">
        <v>44</v>
      </c>
      <c r="Z44" s="32">
        <v>15</v>
      </c>
    </row>
    <row r="45" spans="1:26" ht="14.4">
      <c r="A45" s="27">
        <v>161</v>
      </c>
      <c r="B45" s="27">
        <v>91</v>
      </c>
      <c r="C45" s="27">
        <v>44</v>
      </c>
      <c r="D45" s="27">
        <v>15</v>
      </c>
      <c r="E45" s="30" t="s">
        <v>69</v>
      </c>
      <c r="F45" s="305"/>
      <c r="G45" s="30" t="s">
        <v>302</v>
      </c>
      <c r="H45" s="60" t="s">
        <v>299</v>
      </c>
      <c r="I45" s="47">
        <f t="shared" si="1"/>
        <v>4.1999999999999984</v>
      </c>
      <c r="J45" s="61">
        <v>4.0307101727447199</v>
      </c>
      <c r="K45" s="33">
        <v>1199.9000000000001</v>
      </c>
      <c r="L45" s="33">
        <v>705.1</v>
      </c>
      <c r="M45" s="33">
        <v>1204.3</v>
      </c>
      <c r="N45" s="32">
        <v>63.73</v>
      </c>
      <c r="O45" s="32">
        <v>63.77</v>
      </c>
      <c r="P45" s="32">
        <v>63.44</v>
      </c>
      <c r="Q45" s="32">
        <v>63.91</v>
      </c>
      <c r="R45" s="32">
        <f t="shared" si="4"/>
        <v>63.712499999999999</v>
      </c>
      <c r="S45" s="32">
        <v>11.56</v>
      </c>
      <c r="T45" s="41">
        <f t="shared" si="3"/>
        <v>1.1407136747106141</v>
      </c>
      <c r="W45" s="32">
        <v>161</v>
      </c>
      <c r="X45" s="32">
        <v>91</v>
      </c>
      <c r="Y45" s="32">
        <v>44</v>
      </c>
      <c r="Z45" s="32">
        <v>15</v>
      </c>
    </row>
    <row r="46" spans="1:26" ht="14.4">
      <c r="A46" s="27">
        <v>161</v>
      </c>
      <c r="B46" s="27">
        <v>91</v>
      </c>
      <c r="C46" s="27">
        <v>44</v>
      </c>
      <c r="D46" s="27">
        <v>15</v>
      </c>
      <c r="E46" s="30" t="s">
        <v>69</v>
      </c>
      <c r="F46" s="305"/>
      <c r="G46" s="30" t="s">
        <v>303</v>
      </c>
      <c r="H46" s="60" t="s">
        <v>397</v>
      </c>
      <c r="I46" s="47">
        <f t="shared" si="1"/>
        <v>4.1999999999999984</v>
      </c>
      <c r="J46" s="61">
        <v>4.0307101727447199</v>
      </c>
      <c r="K46" s="33">
        <v>1197.5</v>
      </c>
      <c r="L46" s="33">
        <v>702.2</v>
      </c>
      <c r="M46" s="33">
        <v>1200.5</v>
      </c>
      <c r="N46" s="32">
        <v>63.28</v>
      </c>
      <c r="O46" s="32">
        <v>62.89</v>
      </c>
      <c r="P46" s="32">
        <v>63.94</v>
      </c>
      <c r="Q46" s="32">
        <v>62.41</v>
      </c>
      <c r="R46" s="32">
        <f t="shared" si="4"/>
        <v>63.13</v>
      </c>
      <c r="S46" s="32">
        <v>10.92</v>
      </c>
      <c r="T46" s="41">
        <f t="shared" si="3"/>
        <v>1.087502613654364</v>
      </c>
      <c r="U46" s="34">
        <f>V46/V47</f>
        <v>0.88944139034741876</v>
      </c>
      <c r="V46" s="32">
        <f>AVERAGE(T46,T48,T50)</f>
        <v>1.0733659172537002</v>
      </c>
      <c r="W46" s="32">
        <v>161</v>
      </c>
      <c r="X46" s="32">
        <v>91</v>
      </c>
      <c r="Y46" s="32">
        <v>44</v>
      </c>
      <c r="Z46" s="32">
        <v>15</v>
      </c>
    </row>
    <row r="47" spans="1:26" ht="14.4">
      <c r="A47" s="27">
        <v>161</v>
      </c>
      <c r="B47" s="27">
        <v>91</v>
      </c>
      <c r="C47" s="27">
        <v>44</v>
      </c>
      <c r="D47" s="27">
        <v>15</v>
      </c>
      <c r="E47" s="30" t="s">
        <v>69</v>
      </c>
      <c r="F47" s="305"/>
      <c r="G47" s="30" t="s">
        <v>303</v>
      </c>
      <c r="H47" s="60" t="s">
        <v>295</v>
      </c>
      <c r="I47" s="47">
        <f t="shared" si="1"/>
        <v>4.1999999999999984</v>
      </c>
      <c r="J47" s="61">
        <v>4.0307101727447199</v>
      </c>
      <c r="K47" s="33">
        <v>1183.9000000000001</v>
      </c>
      <c r="L47" s="33">
        <v>696.5</v>
      </c>
      <c r="M47" s="33">
        <v>1188.5</v>
      </c>
      <c r="N47" s="32">
        <v>62.99</v>
      </c>
      <c r="O47" s="32">
        <v>63.51</v>
      </c>
      <c r="P47" s="32">
        <v>63.11</v>
      </c>
      <c r="Q47" s="32">
        <v>63.41</v>
      </c>
      <c r="R47" s="32">
        <f t="shared" si="4"/>
        <v>63.255000000000003</v>
      </c>
      <c r="S47" s="32">
        <v>12.08</v>
      </c>
      <c r="T47" s="41">
        <f t="shared" si="3"/>
        <v>1.200647537744052</v>
      </c>
      <c r="V47" s="32">
        <f>AVERAGE(T47,T49,T51)</f>
        <v>1.2067865616580311</v>
      </c>
      <c r="W47" s="32">
        <v>161</v>
      </c>
      <c r="X47" s="32">
        <v>91</v>
      </c>
      <c r="Y47" s="32">
        <v>44</v>
      </c>
      <c r="Z47" s="32">
        <v>15</v>
      </c>
    </row>
    <row r="48" spans="1:26" ht="14.4">
      <c r="A48" s="27">
        <v>161</v>
      </c>
      <c r="B48" s="27">
        <v>91</v>
      </c>
      <c r="C48" s="27">
        <v>44</v>
      </c>
      <c r="D48" s="27">
        <v>15</v>
      </c>
      <c r="E48" s="30" t="s">
        <v>69</v>
      </c>
      <c r="F48" s="305"/>
      <c r="G48" s="30" t="s">
        <v>303</v>
      </c>
      <c r="H48" s="60" t="s">
        <v>399</v>
      </c>
      <c r="I48" s="47">
        <f t="shared" si="1"/>
        <v>4.1999999999999984</v>
      </c>
      <c r="J48" s="61">
        <v>4.0307101727447199</v>
      </c>
      <c r="K48" s="33">
        <v>1181.0999999999999</v>
      </c>
      <c r="L48" s="33">
        <v>694.9</v>
      </c>
      <c r="M48" s="33">
        <v>1184.5999999999999</v>
      </c>
      <c r="N48" s="32">
        <v>63.92</v>
      </c>
      <c r="O48" s="32">
        <v>63.65</v>
      </c>
      <c r="P48" s="32">
        <v>63.84</v>
      </c>
      <c r="Q48" s="32">
        <v>63.49</v>
      </c>
      <c r="R48" s="32">
        <f t="shared" si="4"/>
        <v>63.725000000000001</v>
      </c>
      <c r="S48" s="32">
        <v>10.74</v>
      </c>
      <c r="T48" s="41">
        <f t="shared" si="3"/>
        <v>1.0595901137701058</v>
      </c>
      <c r="W48" s="32">
        <v>161</v>
      </c>
      <c r="X48" s="32">
        <v>91</v>
      </c>
      <c r="Y48" s="32">
        <v>44</v>
      </c>
      <c r="Z48" s="32">
        <v>15</v>
      </c>
    </row>
    <row r="49" spans="1:26" ht="14.4">
      <c r="A49" s="27">
        <v>161</v>
      </c>
      <c r="B49" s="27">
        <v>91</v>
      </c>
      <c r="C49" s="27">
        <v>44</v>
      </c>
      <c r="D49" s="27">
        <v>15</v>
      </c>
      <c r="E49" s="30" t="s">
        <v>69</v>
      </c>
      <c r="F49" s="305"/>
      <c r="G49" s="30" t="s">
        <v>303</v>
      </c>
      <c r="H49" s="60" t="s">
        <v>297</v>
      </c>
      <c r="I49" s="47">
        <f t="shared" si="1"/>
        <v>4.1999999999999984</v>
      </c>
      <c r="J49" s="61">
        <v>4.0307101727447199</v>
      </c>
      <c r="K49" s="33">
        <v>1182.0999999999999</v>
      </c>
      <c r="L49" s="33">
        <v>695.2</v>
      </c>
      <c r="M49" s="33">
        <v>1185.8</v>
      </c>
      <c r="N49" s="32">
        <v>63.15</v>
      </c>
      <c r="O49" s="32">
        <v>63.39</v>
      </c>
      <c r="P49" s="32">
        <v>62.98</v>
      </c>
      <c r="Q49" s="32">
        <v>63.26</v>
      </c>
      <c r="R49" s="32">
        <f t="shared" si="4"/>
        <v>63.194999999999993</v>
      </c>
      <c r="S49" s="32">
        <v>12.38</v>
      </c>
      <c r="T49" s="41">
        <f t="shared" si="3"/>
        <v>1.2316331988290214</v>
      </c>
      <c r="W49" s="32">
        <v>161</v>
      </c>
      <c r="X49" s="32">
        <v>91</v>
      </c>
      <c r="Y49" s="32">
        <v>44</v>
      </c>
      <c r="Z49" s="32">
        <v>15</v>
      </c>
    </row>
    <row r="50" spans="1:26" ht="14.4">
      <c r="A50" s="27">
        <v>161</v>
      </c>
      <c r="B50" s="27">
        <v>91</v>
      </c>
      <c r="C50" s="27">
        <v>44</v>
      </c>
      <c r="D50" s="27">
        <v>15</v>
      </c>
      <c r="E50" s="30" t="s">
        <v>69</v>
      </c>
      <c r="F50" s="305"/>
      <c r="G50" s="30" t="s">
        <v>303</v>
      </c>
      <c r="H50" s="60" t="s">
        <v>401</v>
      </c>
      <c r="I50" s="47">
        <f t="shared" si="1"/>
        <v>4.1999999999999984</v>
      </c>
      <c r="J50" s="61">
        <v>4.0307101727447199</v>
      </c>
      <c r="K50" s="33">
        <v>1182.8</v>
      </c>
      <c r="L50" s="33">
        <v>693.5</v>
      </c>
      <c r="M50" s="33">
        <v>1185.8</v>
      </c>
      <c r="N50" s="32">
        <v>63.72</v>
      </c>
      <c r="O50" s="32">
        <v>63.66</v>
      </c>
      <c r="P50" s="32">
        <v>63.9</v>
      </c>
      <c r="Q50" s="32">
        <v>63.48</v>
      </c>
      <c r="R50" s="32">
        <f t="shared" si="4"/>
        <v>63.69</v>
      </c>
      <c r="S50" s="32">
        <v>10.87</v>
      </c>
      <c r="T50" s="41">
        <f t="shared" si="3"/>
        <v>1.0730050243366305</v>
      </c>
      <c r="W50" s="32">
        <v>161</v>
      </c>
      <c r="X50" s="32">
        <v>91</v>
      </c>
      <c r="Y50" s="32">
        <v>44</v>
      </c>
      <c r="Z50" s="32">
        <v>15</v>
      </c>
    </row>
    <row r="51" spans="1:26" ht="14.4">
      <c r="A51" s="27">
        <v>161</v>
      </c>
      <c r="B51" s="27">
        <v>91</v>
      </c>
      <c r="C51" s="27">
        <v>44</v>
      </c>
      <c r="D51" s="27">
        <v>15</v>
      </c>
      <c r="E51" s="30" t="s">
        <v>69</v>
      </c>
      <c r="F51" s="305"/>
      <c r="G51" s="30" t="s">
        <v>303</v>
      </c>
      <c r="H51" s="60" t="s">
        <v>299</v>
      </c>
      <c r="I51" s="47">
        <f t="shared" si="1"/>
        <v>4.1999999999999984</v>
      </c>
      <c r="J51" s="61">
        <v>4.0307101727447199</v>
      </c>
      <c r="K51" s="33">
        <v>1180.3</v>
      </c>
      <c r="L51" s="33">
        <v>693.1</v>
      </c>
      <c r="M51" s="33">
        <v>1185.3</v>
      </c>
      <c r="N51" s="32">
        <v>63.73</v>
      </c>
      <c r="O51" s="32">
        <v>63.77</v>
      </c>
      <c r="P51" s="32">
        <v>63.44</v>
      </c>
      <c r="Q51" s="32">
        <v>63.91</v>
      </c>
      <c r="R51" s="32">
        <f t="shared" si="4"/>
        <v>63.712499999999999</v>
      </c>
      <c r="S51" s="32">
        <v>12.04</v>
      </c>
      <c r="T51" s="41">
        <f t="shared" si="3"/>
        <v>1.1880789484010201</v>
      </c>
      <c r="W51" s="32">
        <v>161</v>
      </c>
      <c r="X51" s="32">
        <v>91</v>
      </c>
      <c r="Y51" s="32">
        <v>44</v>
      </c>
      <c r="Z51" s="32">
        <v>15</v>
      </c>
    </row>
    <row r="52" spans="1:26" ht="14.4">
      <c r="A52" s="27">
        <v>161</v>
      </c>
      <c r="B52" s="27">
        <v>91</v>
      </c>
      <c r="C52" s="27">
        <v>44</v>
      </c>
      <c r="D52" s="27">
        <v>15</v>
      </c>
      <c r="E52" s="30" t="s">
        <v>69</v>
      </c>
      <c r="F52" s="305"/>
      <c r="G52" s="30" t="s">
        <v>303</v>
      </c>
      <c r="H52" s="60" t="s">
        <v>409</v>
      </c>
      <c r="I52" s="47">
        <f t="shared" si="1"/>
        <v>4.1999999999999984</v>
      </c>
      <c r="J52" s="61">
        <v>4.0307101727447199</v>
      </c>
      <c r="K52" s="33">
        <v>1179.9000000000001</v>
      </c>
      <c r="L52" s="33">
        <v>695</v>
      </c>
      <c r="M52" s="33">
        <v>1186.5999999999999</v>
      </c>
      <c r="N52" s="32">
        <v>63.73</v>
      </c>
      <c r="O52" s="32">
        <v>63.77</v>
      </c>
      <c r="P52" s="32">
        <v>63.44</v>
      </c>
      <c r="Q52" s="32">
        <v>63.91</v>
      </c>
      <c r="R52" s="32">
        <f t="shared" si="4"/>
        <v>63.712499999999999</v>
      </c>
      <c r="S52" s="32">
        <v>10.6</v>
      </c>
      <c r="T52" s="41">
        <f t="shared" si="3"/>
        <v>1.0459831273298019</v>
      </c>
      <c r="W52" s="32">
        <v>161</v>
      </c>
      <c r="X52" s="32">
        <v>91</v>
      </c>
      <c r="Y52" s="32">
        <v>44</v>
      </c>
      <c r="Z52" s="32">
        <v>15</v>
      </c>
    </row>
    <row r="53" spans="1:26" ht="14.4">
      <c r="A53" s="27">
        <v>161</v>
      </c>
      <c r="B53" s="27">
        <v>91</v>
      </c>
      <c r="C53" s="27">
        <v>44</v>
      </c>
      <c r="D53" s="27">
        <v>15</v>
      </c>
      <c r="E53" s="30" t="s">
        <v>69</v>
      </c>
      <c r="F53" s="305"/>
      <c r="G53" s="30" t="s">
        <v>304</v>
      </c>
      <c r="H53" s="60" t="s">
        <v>397</v>
      </c>
      <c r="I53" s="47">
        <f t="shared" si="1"/>
        <v>4.1999999999999984</v>
      </c>
      <c r="J53" s="61">
        <v>4.0307101727447199</v>
      </c>
      <c r="K53" s="33">
        <v>1195.7</v>
      </c>
      <c r="L53" s="33">
        <v>707.3</v>
      </c>
      <c r="M53" s="33">
        <v>1198.5</v>
      </c>
      <c r="N53" s="32">
        <v>62.76</v>
      </c>
      <c r="O53" s="32">
        <v>62.91</v>
      </c>
      <c r="P53" s="32">
        <v>63.04</v>
      </c>
      <c r="Q53" s="32">
        <v>62.87</v>
      </c>
      <c r="R53" s="32">
        <f t="shared" si="4"/>
        <v>62.894999999999996</v>
      </c>
      <c r="S53" s="32">
        <v>10.44</v>
      </c>
      <c r="T53" s="41">
        <f t="shared" si="3"/>
        <v>1.0435850226568091</v>
      </c>
      <c r="U53" s="34">
        <f>V53/V54</f>
        <v>0.90742157922490196</v>
      </c>
      <c r="V53" s="32">
        <f>AVERAGE(T53,T55,T57)</f>
        <v>0.96781080118841867</v>
      </c>
      <c r="W53" s="32">
        <v>144</v>
      </c>
      <c r="X53" s="32">
        <v>107.8</v>
      </c>
      <c r="Y53" s="32">
        <v>43.95</v>
      </c>
      <c r="Z53" s="32">
        <v>60.3</v>
      </c>
    </row>
    <row r="54" spans="1:26" ht="14.4">
      <c r="A54" s="27">
        <v>161</v>
      </c>
      <c r="B54" s="27">
        <v>91</v>
      </c>
      <c r="C54" s="27">
        <v>44</v>
      </c>
      <c r="D54" s="27">
        <v>15</v>
      </c>
      <c r="E54" s="30" t="s">
        <v>69</v>
      </c>
      <c r="F54" s="305"/>
      <c r="G54" s="30" t="s">
        <v>304</v>
      </c>
      <c r="H54" s="60" t="s">
        <v>295</v>
      </c>
      <c r="I54" s="47">
        <f t="shared" si="1"/>
        <v>4.1999999999999984</v>
      </c>
      <c r="J54" s="61">
        <v>4.0307101727447199</v>
      </c>
      <c r="K54" s="33">
        <v>1199.9000000000001</v>
      </c>
      <c r="L54" s="33">
        <v>712.9</v>
      </c>
      <c r="M54" s="33">
        <v>1202.8</v>
      </c>
      <c r="N54" s="32">
        <v>63.87</v>
      </c>
      <c r="O54" s="32">
        <v>63.57</v>
      </c>
      <c r="P54" s="32">
        <v>64.069999999999993</v>
      </c>
      <c r="Q54" s="32">
        <v>63.69</v>
      </c>
      <c r="R54" s="32">
        <f t="shared" si="4"/>
        <v>63.8</v>
      </c>
      <c r="S54" s="32">
        <v>10.35</v>
      </c>
      <c r="T54" s="41">
        <f t="shared" si="3"/>
        <v>1.0199130094043887</v>
      </c>
      <c r="V54" s="32">
        <f>AVERAGE(T54,T56,T58)</f>
        <v>1.0665503480918976</v>
      </c>
      <c r="W54" s="32">
        <v>144</v>
      </c>
      <c r="X54" s="32">
        <v>107.8</v>
      </c>
      <c r="Y54" s="32">
        <v>43.95</v>
      </c>
      <c r="Z54" s="32">
        <v>60.3</v>
      </c>
    </row>
    <row r="55" spans="1:26" ht="14.4">
      <c r="A55" s="27">
        <v>161</v>
      </c>
      <c r="B55" s="27">
        <v>91</v>
      </c>
      <c r="C55" s="27">
        <v>44</v>
      </c>
      <c r="D55" s="27">
        <v>15</v>
      </c>
      <c r="E55" s="30" t="s">
        <v>69</v>
      </c>
      <c r="F55" s="305"/>
      <c r="G55" s="30" t="s">
        <v>304</v>
      </c>
      <c r="H55" s="60" t="s">
        <v>399</v>
      </c>
      <c r="I55" s="47">
        <f t="shared" si="1"/>
        <v>4.1999999999999984</v>
      </c>
      <c r="J55" s="61">
        <v>4.0307101727447199</v>
      </c>
      <c r="K55" s="33">
        <v>1197.9000000000001</v>
      </c>
      <c r="L55" s="33">
        <v>707.3</v>
      </c>
      <c r="M55" s="33">
        <v>1201.2</v>
      </c>
      <c r="N55" s="32">
        <v>63.41</v>
      </c>
      <c r="O55" s="32">
        <v>63.17</v>
      </c>
      <c r="P55" s="32">
        <v>63.25</v>
      </c>
      <c r="Q55" s="32">
        <v>63.28</v>
      </c>
      <c r="R55" s="32">
        <f t="shared" si="4"/>
        <v>63.277499999999996</v>
      </c>
      <c r="S55" s="32">
        <v>9.23</v>
      </c>
      <c r="T55" s="41">
        <f t="shared" si="3"/>
        <v>0.91705598356445817</v>
      </c>
      <c r="W55" s="32">
        <v>144</v>
      </c>
      <c r="X55" s="32">
        <v>107.8</v>
      </c>
      <c r="Y55" s="32">
        <v>43.95</v>
      </c>
      <c r="Z55" s="32">
        <v>60.3</v>
      </c>
    </row>
    <row r="56" spans="1:26" ht="14.4">
      <c r="A56" s="27">
        <v>161</v>
      </c>
      <c r="B56" s="27">
        <v>91</v>
      </c>
      <c r="C56" s="27">
        <v>44</v>
      </c>
      <c r="D56" s="27">
        <v>15</v>
      </c>
      <c r="E56" s="30" t="s">
        <v>69</v>
      </c>
      <c r="F56" s="305"/>
      <c r="G56" s="30" t="s">
        <v>304</v>
      </c>
      <c r="H56" s="60" t="s">
        <v>297</v>
      </c>
      <c r="I56" s="47">
        <f t="shared" si="1"/>
        <v>4.1999999999999984</v>
      </c>
      <c r="J56" s="61">
        <v>4.0307101727447199</v>
      </c>
      <c r="K56" s="33">
        <v>1201.8</v>
      </c>
      <c r="L56" s="33">
        <v>710.4</v>
      </c>
      <c r="M56" s="33">
        <v>1204.3</v>
      </c>
      <c r="N56" s="32">
        <v>63.34</v>
      </c>
      <c r="O56" s="32">
        <v>63.31</v>
      </c>
      <c r="P56" s="32">
        <v>63.79</v>
      </c>
      <c r="Q56" s="32">
        <v>63.36</v>
      </c>
      <c r="R56" s="32">
        <f t="shared" si="4"/>
        <v>63.45</v>
      </c>
      <c r="S56" s="32">
        <v>11</v>
      </c>
      <c r="T56" s="41">
        <f t="shared" si="3"/>
        <v>1.0899448384554766</v>
      </c>
      <c r="W56" s="32">
        <v>144</v>
      </c>
      <c r="X56" s="32">
        <v>107.8</v>
      </c>
      <c r="Y56" s="32">
        <v>43.95</v>
      </c>
      <c r="Z56" s="32">
        <v>60.3</v>
      </c>
    </row>
    <row r="57" spans="1:26" ht="14.4">
      <c r="A57" s="27">
        <v>161</v>
      </c>
      <c r="B57" s="27">
        <v>91</v>
      </c>
      <c r="C57" s="27">
        <v>44</v>
      </c>
      <c r="D57" s="27">
        <v>15</v>
      </c>
      <c r="E57" s="30" t="s">
        <v>69</v>
      </c>
      <c r="F57" s="305"/>
      <c r="G57" s="30" t="s">
        <v>304</v>
      </c>
      <c r="H57" s="60" t="s">
        <v>401</v>
      </c>
      <c r="I57" s="47">
        <f t="shared" si="1"/>
        <v>4.1999999999999984</v>
      </c>
      <c r="J57" s="61">
        <v>4.0307101727447199</v>
      </c>
      <c r="K57" s="33">
        <v>1198.5999999999999</v>
      </c>
      <c r="L57" s="33">
        <v>711.5</v>
      </c>
      <c r="M57" s="33">
        <v>1203.7</v>
      </c>
      <c r="N57" s="32">
        <v>63.81</v>
      </c>
      <c r="O57" s="32">
        <v>63.89</v>
      </c>
      <c r="P57" s="32">
        <v>63.61</v>
      </c>
      <c r="Q57" s="32">
        <v>63.96</v>
      </c>
      <c r="R57" s="32">
        <f t="shared" si="4"/>
        <v>63.817500000000003</v>
      </c>
      <c r="S57" s="32">
        <v>9.57</v>
      </c>
      <c r="T57" s="41">
        <f t="shared" si="3"/>
        <v>0.94279139734398865</v>
      </c>
      <c r="W57" s="32">
        <v>144</v>
      </c>
      <c r="X57" s="32">
        <v>107.8</v>
      </c>
      <c r="Y57" s="32">
        <v>43.95</v>
      </c>
      <c r="Z57" s="32">
        <v>60.3</v>
      </c>
    </row>
    <row r="58" spans="1:26" ht="14.4">
      <c r="A58" s="27">
        <v>161</v>
      </c>
      <c r="B58" s="27">
        <v>91</v>
      </c>
      <c r="C58" s="27">
        <v>44</v>
      </c>
      <c r="D58" s="27">
        <v>15</v>
      </c>
      <c r="E58" s="30" t="s">
        <v>69</v>
      </c>
      <c r="F58" s="305"/>
      <c r="G58" s="30" t="s">
        <v>304</v>
      </c>
      <c r="H58" s="60" t="s">
        <v>299</v>
      </c>
      <c r="I58" s="47">
        <f t="shared" si="1"/>
        <v>4.1999999999999984</v>
      </c>
      <c r="J58" s="61">
        <v>4.0307101727447199</v>
      </c>
      <c r="K58" s="33">
        <v>1195.9000000000001</v>
      </c>
      <c r="L58" s="33">
        <v>710.8</v>
      </c>
      <c r="M58" s="33">
        <v>1199.0999999999999</v>
      </c>
      <c r="N58" s="32">
        <v>62.72</v>
      </c>
      <c r="O58" s="32">
        <v>63.42</v>
      </c>
      <c r="P58" s="32">
        <v>63.22</v>
      </c>
      <c r="Q58" s="32">
        <v>62.86</v>
      </c>
      <c r="R58" s="32">
        <f t="shared" si="4"/>
        <v>63.055000000000007</v>
      </c>
      <c r="S58" s="32">
        <v>10.93</v>
      </c>
      <c r="T58" s="41">
        <f t="shared" si="3"/>
        <v>1.0897931964158274</v>
      </c>
      <c r="W58" s="32">
        <v>144</v>
      </c>
      <c r="X58" s="32">
        <v>107.8</v>
      </c>
      <c r="Y58" s="32">
        <v>43.95</v>
      </c>
      <c r="Z58" s="32">
        <v>60.3</v>
      </c>
    </row>
    <row r="59" spans="1:26" ht="14.4">
      <c r="A59" s="27">
        <v>161</v>
      </c>
      <c r="B59" s="27">
        <v>91</v>
      </c>
      <c r="C59" s="27">
        <v>44</v>
      </c>
      <c r="D59" s="27">
        <v>15</v>
      </c>
      <c r="E59" s="30" t="s">
        <v>69</v>
      </c>
      <c r="F59" s="305"/>
      <c r="G59" s="30" t="s">
        <v>305</v>
      </c>
      <c r="H59" s="60" t="s">
        <v>397</v>
      </c>
      <c r="I59" s="47">
        <f t="shared" si="1"/>
        <v>4.1999999999999984</v>
      </c>
      <c r="J59" s="61">
        <v>4.0307101727447199</v>
      </c>
      <c r="K59" s="33">
        <v>1204</v>
      </c>
      <c r="L59" s="33">
        <v>718.2</v>
      </c>
      <c r="M59" s="33">
        <v>1205.7</v>
      </c>
      <c r="N59" s="32">
        <v>62.2</v>
      </c>
      <c r="O59" s="32">
        <v>62.32</v>
      </c>
      <c r="P59" s="32">
        <v>62.34</v>
      </c>
      <c r="Q59" s="32">
        <v>62.44</v>
      </c>
      <c r="R59" s="32">
        <f t="shared" si="4"/>
        <v>62.325000000000003</v>
      </c>
      <c r="S59" s="32">
        <v>10.11</v>
      </c>
      <c r="T59" s="41">
        <f t="shared" si="3"/>
        <v>1.0198406738868833</v>
      </c>
      <c r="U59" s="34">
        <f>V59/V60</f>
        <v>0.91909507141949853</v>
      </c>
      <c r="V59" s="32">
        <f>AVERAGE(T59,T61,T63)</f>
        <v>1.0691305305822623</v>
      </c>
      <c r="W59" s="32">
        <v>111</v>
      </c>
      <c r="X59" s="32">
        <v>124</v>
      </c>
      <c r="Y59" s="32">
        <v>41.5</v>
      </c>
      <c r="Z59" s="32">
        <v>56</v>
      </c>
    </row>
    <row r="60" spans="1:26" ht="14.4">
      <c r="A60" s="27">
        <v>161</v>
      </c>
      <c r="B60" s="27">
        <v>91</v>
      </c>
      <c r="C60" s="27">
        <v>44</v>
      </c>
      <c r="D60" s="27">
        <v>15</v>
      </c>
      <c r="E60" s="30" t="s">
        <v>69</v>
      </c>
      <c r="F60" s="305"/>
      <c r="G60" s="30" t="s">
        <v>305</v>
      </c>
      <c r="H60" s="60" t="s">
        <v>295</v>
      </c>
      <c r="I60" s="47">
        <f t="shared" si="1"/>
        <v>4.1999999999999984</v>
      </c>
      <c r="J60" s="61">
        <v>4.0307101727447199</v>
      </c>
      <c r="K60" s="33">
        <v>1210.9000000000001</v>
      </c>
      <c r="L60" s="33">
        <v>721.2</v>
      </c>
      <c r="M60" s="33">
        <v>1212.8</v>
      </c>
      <c r="N60" s="32">
        <v>63.44</v>
      </c>
      <c r="O60" s="32">
        <v>63.44</v>
      </c>
      <c r="P60" s="32">
        <v>63.35</v>
      </c>
      <c r="Q60" s="32">
        <v>63.68</v>
      </c>
      <c r="R60" s="32">
        <f t="shared" si="4"/>
        <v>63.477499999999999</v>
      </c>
      <c r="S60" s="32">
        <v>11.03</v>
      </c>
      <c r="T60" s="41">
        <f t="shared" si="3"/>
        <v>1.0924439368280099</v>
      </c>
      <c r="V60" s="32">
        <f>AVERAGE(T60,T62,T64)</f>
        <v>1.1632425891818146</v>
      </c>
      <c r="W60" s="32">
        <v>111</v>
      </c>
      <c r="X60" s="32">
        <v>124</v>
      </c>
      <c r="Y60" s="32">
        <v>41.5</v>
      </c>
      <c r="Z60" s="32">
        <v>56</v>
      </c>
    </row>
    <row r="61" spans="1:26" ht="14.4">
      <c r="A61" s="27">
        <v>161</v>
      </c>
      <c r="B61" s="27">
        <v>91</v>
      </c>
      <c r="C61" s="27">
        <v>44</v>
      </c>
      <c r="D61" s="27">
        <v>15</v>
      </c>
      <c r="E61" s="30" t="s">
        <v>69</v>
      </c>
      <c r="F61" s="305"/>
      <c r="G61" s="30" t="s">
        <v>305</v>
      </c>
      <c r="H61" s="60" t="s">
        <v>399</v>
      </c>
      <c r="I61" s="47">
        <f t="shared" si="1"/>
        <v>4.1999999999999984</v>
      </c>
      <c r="J61" s="61">
        <v>4.0307101727447199</v>
      </c>
      <c r="K61" s="33">
        <v>1214.3</v>
      </c>
      <c r="L61" s="33">
        <v>720.3</v>
      </c>
      <c r="M61" s="33">
        <v>1215.9000000000001</v>
      </c>
      <c r="N61" s="32">
        <v>63.43</v>
      </c>
      <c r="O61" s="32">
        <v>63.38</v>
      </c>
      <c r="P61" s="32">
        <v>63.68</v>
      </c>
      <c r="Q61" s="32">
        <v>63.51</v>
      </c>
      <c r="R61" s="32">
        <f t="shared" si="4"/>
        <v>63.5</v>
      </c>
      <c r="S61" s="32">
        <v>11.21</v>
      </c>
      <c r="T61" s="41">
        <f t="shared" si="3"/>
        <v>1.1098782677165355</v>
      </c>
      <c r="W61" s="32">
        <v>111</v>
      </c>
      <c r="X61" s="32">
        <v>124</v>
      </c>
      <c r="Y61" s="32">
        <v>41.5</v>
      </c>
      <c r="Z61" s="32">
        <v>56</v>
      </c>
    </row>
    <row r="62" spans="1:26" ht="14.4">
      <c r="A62" s="27">
        <v>161</v>
      </c>
      <c r="B62" s="27">
        <v>91</v>
      </c>
      <c r="C62" s="27">
        <v>44</v>
      </c>
      <c r="D62" s="27">
        <v>15</v>
      </c>
      <c r="E62" s="30" t="s">
        <v>69</v>
      </c>
      <c r="F62" s="305"/>
      <c r="G62" s="30" t="s">
        <v>305</v>
      </c>
      <c r="H62" s="60" t="s">
        <v>297</v>
      </c>
      <c r="I62" s="47">
        <f t="shared" si="1"/>
        <v>4.1999999999999984</v>
      </c>
      <c r="J62" s="61">
        <v>4.0307101727447199</v>
      </c>
      <c r="K62" s="33">
        <v>1212.3</v>
      </c>
      <c r="L62" s="33">
        <v>724.4</v>
      </c>
      <c r="M62" s="33">
        <v>1213.7</v>
      </c>
      <c r="N62" s="32">
        <v>62.24</v>
      </c>
      <c r="O62" s="32">
        <v>61.85</v>
      </c>
      <c r="P62" s="32">
        <v>61.87</v>
      </c>
      <c r="Q62" s="32">
        <v>61.99</v>
      </c>
      <c r="R62" s="32">
        <f t="shared" si="4"/>
        <v>61.987500000000004</v>
      </c>
      <c r="S62" s="32">
        <v>11.89</v>
      </c>
      <c r="T62" s="41">
        <f t="shared" si="3"/>
        <v>1.205927485380117</v>
      </c>
      <c r="W62" s="32">
        <v>111</v>
      </c>
      <c r="X62" s="32">
        <v>124</v>
      </c>
      <c r="Y62" s="32">
        <v>41.5</v>
      </c>
      <c r="Z62" s="32">
        <v>56</v>
      </c>
    </row>
    <row r="63" spans="1:26" ht="14.4">
      <c r="A63" s="27">
        <v>161</v>
      </c>
      <c r="B63" s="27">
        <v>91</v>
      </c>
      <c r="C63" s="27">
        <v>44</v>
      </c>
      <c r="D63" s="27">
        <v>15</v>
      </c>
      <c r="E63" s="30" t="s">
        <v>69</v>
      </c>
      <c r="F63" s="305"/>
      <c r="G63" s="30" t="s">
        <v>305</v>
      </c>
      <c r="H63" s="60" t="s">
        <v>401</v>
      </c>
      <c r="I63" s="47">
        <f t="shared" si="1"/>
        <v>4.1999999999999984</v>
      </c>
      <c r="J63" s="61">
        <v>4.0307101727447199</v>
      </c>
      <c r="K63" s="33">
        <v>1218.3</v>
      </c>
      <c r="L63" s="33">
        <v>721.8</v>
      </c>
      <c r="M63" s="33">
        <v>1220.2</v>
      </c>
      <c r="N63" s="32">
        <v>63.9</v>
      </c>
      <c r="O63" s="32">
        <v>63.54</v>
      </c>
      <c r="P63" s="32">
        <v>63.52</v>
      </c>
      <c r="Q63" s="32">
        <v>63.63</v>
      </c>
      <c r="R63" s="32">
        <f t="shared" si="4"/>
        <v>63.647500000000001</v>
      </c>
      <c r="S63" s="32">
        <v>10.91</v>
      </c>
      <c r="T63" s="41">
        <f t="shared" si="3"/>
        <v>1.0776726501433678</v>
      </c>
      <c r="W63" s="32">
        <v>111</v>
      </c>
      <c r="X63" s="32">
        <v>124</v>
      </c>
      <c r="Y63" s="32">
        <v>41.5</v>
      </c>
      <c r="Z63" s="32">
        <v>56</v>
      </c>
    </row>
    <row r="64" spans="1:26" ht="14.4">
      <c r="A64" s="27">
        <v>161</v>
      </c>
      <c r="B64" s="27">
        <v>91</v>
      </c>
      <c r="C64" s="27">
        <v>44</v>
      </c>
      <c r="D64" s="27">
        <v>15</v>
      </c>
      <c r="E64" s="30" t="s">
        <v>69</v>
      </c>
      <c r="F64" s="305"/>
      <c r="G64" s="30" t="s">
        <v>305</v>
      </c>
      <c r="H64" s="60" t="s">
        <v>299</v>
      </c>
      <c r="I64" s="47">
        <f t="shared" si="1"/>
        <v>4.1999999999999984</v>
      </c>
      <c r="J64" s="61">
        <v>4.0307101727447199</v>
      </c>
      <c r="K64" s="33">
        <v>1219.0999999999999</v>
      </c>
      <c r="L64" s="33">
        <v>721.6</v>
      </c>
      <c r="M64" s="33">
        <v>1221.5</v>
      </c>
      <c r="N64" s="32">
        <v>63.4</v>
      </c>
      <c r="O64" s="32">
        <v>63.47</v>
      </c>
      <c r="P64" s="32">
        <v>63.71</v>
      </c>
      <c r="Q64" s="32">
        <v>63.78</v>
      </c>
      <c r="R64" s="32">
        <f t="shared" si="4"/>
        <v>63.59</v>
      </c>
      <c r="S64" s="32">
        <v>12.05</v>
      </c>
      <c r="T64" s="41">
        <f t="shared" si="3"/>
        <v>1.1913563453373173</v>
      </c>
      <c r="W64" s="32">
        <v>111</v>
      </c>
      <c r="X64" s="32">
        <v>124</v>
      </c>
      <c r="Y64" s="32">
        <v>41.5</v>
      </c>
      <c r="Z64" s="32">
        <v>56</v>
      </c>
    </row>
    <row r="65" spans="1:26" ht="14.4">
      <c r="A65" s="27">
        <v>161</v>
      </c>
      <c r="B65" s="27">
        <v>91</v>
      </c>
      <c r="C65" s="27">
        <v>44</v>
      </c>
      <c r="D65" s="27">
        <v>15</v>
      </c>
      <c r="E65" s="30" t="s">
        <v>69</v>
      </c>
      <c r="F65" s="305"/>
      <c r="G65" s="30" t="s">
        <v>324</v>
      </c>
      <c r="H65" s="60" t="s">
        <v>294</v>
      </c>
      <c r="I65" s="47">
        <f t="shared" si="1"/>
        <v>4.1999999999999984</v>
      </c>
      <c r="J65" s="61">
        <v>4.0307101727447199</v>
      </c>
      <c r="K65" s="33">
        <v>1202.4000000000001</v>
      </c>
      <c r="L65" s="33">
        <v>714.6</v>
      </c>
      <c r="M65" s="33">
        <v>1205</v>
      </c>
      <c r="N65" s="32">
        <v>62.86</v>
      </c>
      <c r="O65" s="32">
        <v>62.37</v>
      </c>
      <c r="P65" s="32">
        <v>62.67</v>
      </c>
      <c r="Q65" s="32">
        <v>62.51</v>
      </c>
      <c r="R65" s="32">
        <f t="shared" si="4"/>
        <v>62.602499999999992</v>
      </c>
      <c r="S65" s="32">
        <v>10.27</v>
      </c>
      <c r="T65" s="41">
        <f t="shared" si="3"/>
        <v>1.0313883630845413</v>
      </c>
      <c r="U65" s="34">
        <f>V65/V66</f>
        <v>0.85377887198332603</v>
      </c>
      <c r="V65" s="32">
        <f>AVERAGE(T65,T67,T69)</f>
        <v>1.0322937216380141</v>
      </c>
      <c r="W65" s="32">
        <v>161</v>
      </c>
      <c r="X65" s="32">
        <v>91</v>
      </c>
      <c r="Y65" s="32">
        <v>44</v>
      </c>
      <c r="Z65" s="32">
        <v>15</v>
      </c>
    </row>
    <row r="66" spans="1:26" ht="14.4">
      <c r="A66" s="27">
        <v>161</v>
      </c>
      <c r="B66" s="27">
        <v>91</v>
      </c>
      <c r="C66" s="27">
        <v>44</v>
      </c>
      <c r="D66" s="27">
        <v>15</v>
      </c>
      <c r="E66" s="30" t="s">
        <v>69</v>
      </c>
      <c r="F66" s="305"/>
      <c r="G66" s="30" t="s">
        <v>324</v>
      </c>
      <c r="H66" s="60" t="s">
        <v>378</v>
      </c>
      <c r="I66" s="47">
        <f t="shared" si="1"/>
        <v>4.1999999999999984</v>
      </c>
      <c r="J66" s="61">
        <v>4.0307101727447199</v>
      </c>
      <c r="K66" s="33">
        <v>1208.4000000000001</v>
      </c>
      <c r="L66" s="33">
        <v>718.7</v>
      </c>
      <c r="M66" s="33">
        <v>1211.8</v>
      </c>
      <c r="N66" s="32">
        <v>63.08</v>
      </c>
      <c r="O66" s="32">
        <v>63.22</v>
      </c>
      <c r="P66" s="32">
        <v>62.96</v>
      </c>
      <c r="Q66" s="32">
        <v>63.33</v>
      </c>
      <c r="R66" s="32">
        <f t="shared" si="4"/>
        <v>63.147499999999994</v>
      </c>
      <c r="S66" s="32">
        <v>11.43</v>
      </c>
      <c r="T66" s="41">
        <f t="shared" si="3"/>
        <v>1.1379771170671842</v>
      </c>
      <c r="V66" s="32">
        <f>AVERAGE(T66,T68,T70)</f>
        <v>1.2090879213724259</v>
      </c>
      <c r="W66" s="32">
        <v>161</v>
      </c>
      <c r="X66" s="32">
        <v>91</v>
      </c>
      <c r="Y66" s="32">
        <v>44</v>
      </c>
      <c r="Z66" s="32">
        <v>15</v>
      </c>
    </row>
    <row r="67" spans="1:26" ht="14.4">
      <c r="A67" s="27">
        <v>258</v>
      </c>
      <c r="B67" s="27">
        <v>72</v>
      </c>
      <c r="C67" s="27">
        <v>47.6</v>
      </c>
      <c r="D67" s="27">
        <v>8.1999999999999993</v>
      </c>
      <c r="E67" s="30" t="s">
        <v>69</v>
      </c>
      <c r="F67" s="305"/>
      <c r="G67" s="30" t="s">
        <v>324</v>
      </c>
      <c r="H67" s="60" t="s">
        <v>296</v>
      </c>
      <c r="I67" s="47">
        <f t="shared" si="1"/>
        <v>4.1999999999999984</v>
      </c>
      <c r="J67" s="61">
        <v>4.0307101727447199</v>
      </c>
      <c r="K67" s="33">
        <v>1207.7</v>
      </c>
      <c r="L67" s="33">
        <v>717.8</v>
      </c>
      <c r="M67" s="33">
        <v>1210.2</v>
      </c>
      <c r="N67" s="32">
        <v>63.31</v>
      </c>
      <c r="O67" s="32">
        <v>64.36</v>
      </c>
      <c r="P67" s="32">
        <v>63.31</v>
      </c>
      <c r="Q67" s="32">
        <v>63.41</v>
      </c>
      <c r="R67" s="32">
        <f t="shared" si="4"/>
        <v>63.597500000000004</v>
      </c>
      <c r="S67" s="32">
        <v>10.88</v>
      </c>
      <c r="T67" s="41">
        <f t="shared" si="3"/>
        <v>1.0755542277605252</v>
      </c>
      <c r="W67" s="32">
        <v>161</v>
      </c>
      <c r="X67" s="32">
        <v>91</v>
      </c>
      <c r="Y67" s="32">
        <v>44</v>
      </c>
      <c r="Z67" s="32">
        <v>15</v>
      </c>
    </row>
    <row r="68" spans="1:26" ht="14.4">
      <c r="A68" s="27">
        <v>258</v>
      </c>
      <c r="B68" s="27">
        <v>72</v>
      </c>
      <c r="C68" s="27">
        <v>47.6</v>
      </c>
      <c r="D68" s="27">
        <v>8.1999999999999993</v>
      </c>
      <c r="E68" s="30" t="s">
        <v>69</v>
      </c>
      <c r="F68" s="305"/>
      <c r="G68" s="30" t="s">
        <v>324</v>
      </c>
      <c r="H68" s="60" t="s">
        <v>381</v>
      </c>
      <c r="I68" s="47">
        <f t="shared" si="1"/>
        <v>4.1999999999999984</v>
      </c>
      <c r="J68" s="61">
        <v>4.0307101727447199</v>
      </c>
      <c r="K68" s="33">
        <v>1198.4000000000001</v>
      </c>
      <c r="L68" s="33">
        <v>709.2</v>
      </c>
      <c r="M68" s="33">
        <v>1200.5999999999999</v>
      </c>
      <c r="N68" s="32">
        <v>62.14</v>
      </c>
      <c r="O68" s="32">
        <v>62.27</v>
      </c>
      <c r="P68" s="32">
        <v>62.5</v>
      </c>
      <c r="Q68" s="32">
        <v>61.91</v>
      </c>
      <c r="R68" s="32">
        <f t="shared" si="4"/>
        <v>62.204999999999998</v>
      </c>
      <c r="S68" s="32">
        <v>12.64</v>
      </c>
      <c r="T68" s="41">
        <f t="shared" si="3"/>
        <v>1.2775127401334299</v>
      </c>
      <c r="W68" s="32">
        <v>161</v>
      </c>
      <c r="X68" s="32">
        <v>91</v>
      </c>
      <c r="Y68" s="32">
        <v>44</v>
      </c>
      <c r="Z68" s="32">
        <v>15</v>
      </c>
    </row>
    <row r="69" spans="1:26" ht="14.4">
      <c r="A69" s="27">
        <v>258</v>
      </c>
      <c r="B69" s="27">
        <v>72</v>
      </c>
      <c r="C69" s="27">
        <v>47.6</v>
      </c>
      <c r="D69" s="27">
        <v>8.1999999999999993</v>
      </c>
      <c r="E69" s="30" t="s">
        <v>69</v>
      </c>
      <c r="F69" s="305"/>
      <c r="G69" s="30" t="s">
        <v>324</v>
      </c>
      <c r="H69" s="60" t="s">
        <v>298</v>
      </c>
      <c r="I69" s="47">
        <f t="shared" ref="I69:I132" si="5">100*J69/(100-J69)</f>
        <v>4.1999999999999984</v>
      </c>
      <c r="J69" s="61">
        <v>4.0307101727447199</v>
      </c>
      <c r="K69" s="33">
        <v>1209.8</v>
      </c>
      <c r="L69" s="33">
        <v>717</v>
      </c>
      <c r="M69" s="33">
        <v>1212.8</v>
      </c>
      <c r="N69" s="32">
        <v>63.49</v>
      </c>
      <c r="O69" s="32">
        <v>63.66</v>
      </c>
      <c r="P69" s="32">
        <v>63.76</v>
      </c>
      <c r="Q69" s="32">
        <v>63.38</v>
      </c>
      <c r="R69" s="32">
        <f t="shared" si="4"/>
        <v>63.572499999999998</v>
      </c>
      <c r="S69" s="32">
        <v>10.01</v>
      </c>
      <c r="T69" s="41">
        <f t="shared" si="3"/>
        <v>0.98993857406897645</v>
      </c>
      <c r="W69" s="32">
        <v>161</v>
      </c>
      <c r="X69" s="32">
        <v>91</v>
      </c>
      <c r="Y69" s="32">
        <v>44</v>
      </c>
      <c r="Z69" s="32">
        <v>15</v>
      </c>
    </row>
    <row r="70" spans="1:26" ht="14.4">
      <c r="A70" s="27">
        <v>258</v>
      </c>
      <c r="B70" s="27">
        <v>72</v>
      </c>
      <c r="C70" s="27">
        <v>47.6</v>
      </c>
      <c r="D70" s="27">
        <v>8.1999999999999993</v>
      </c>
      <c r="E70" s="30" t="s">
        <v>69</v>
      </c>
      <c r="F70" s="306"/>
      <c r="G70" s="30" t="s">
        <v>324</v>
      </c>
      <c r="H70" s="60" t="s">
        <v>403</v>
      </c>
      <c r="I70" s="47">
        <f t="shared" si="5"/>
        <v>4.1999999999999984</v>
      </c>
      <c r="J70" s="61">
        <v>4.0307101727447199</v>
      </c>
      <c r="K70" s="33">
        <v>1209.7</v>
      </c>
      <c r="L70" s="33">
        <v>715.5</v>
      </c>
      <c r="M70" s="33">
        <v>1212.5999999999999</v>
      </c>
      <c r="N70" s="32">
        <v>63.67</v>
      </c>
      <c r="O70" s="32">
        <v>64</v>
      </c>
      <c r="P70" s="32">
        <v>63.84</v>
      </c>
      <c r="Q70" s="32">
        <v>63.96</v>
      </c>
      <c r="R70" s="32">
        <f t="shared" si="4"/>
        <v>63.8675</v>
      </c>
      <c r="S70" s="32">
        <v>12.31</v>
      </c>
      <c r="T70" s="41">
        <f t="shared" si="3"/>
        <v>1.2117739069166635</v>
      </c>
      <c r="W70" s="32">
        <v>161</v>
      </c>
      <c r="X70" s="32">
        <v>91</v>
      </c>
      <c r="Y70" s="32">
        <v>44</v>
      </c>
      <c r="Z70" s="32">
        <v>15</v>
      </c>
    </row>
    <row r="71" spans="1:26" ht="14.4">
      <c r="A71" s="27">
        <v>258</v>
      </c>
      <c r="B71" s="27">
        <v>72</v>
      </c>
      <c r="C71" s="27">
        <v>47.6</v>
      </c>
      <c r="D71" s="27">
        <v>8.1999999999999993</v>
      </c>
      <c r="E71" s="30" t="s">
        <v>78</v>
      </c>
      <c r="F71" s="304" t="s">
        <v>197</v>
      </c>
      <c r="G71" s="30" t="s">
        <v>324</v>
      </c>
      <c r="H71" s="31" t="s">
        <v>294</v>
      </c>
      <c r="I71" s="47">
        <f t="shared" si="5"/>
        <v>4.1999999999999984</v>
      </c>
      <c r="J71" s="61">
        <v>4.0307101727447199</v>
      </c>
      <c r="K71" s="45" t="s">
        <v>73</v>
      </c>
      <c r="L71" s="45" t="s">
        <v>73</v>
      </c>
      <c r="M71" s="45" t="s">
        <v>73</v>
      </c>
      <c r="N71" s="32">
        <v>63.05</v>
      </c>
      <c r="O71" s="32">
        <v>63.05</v>
      </c>
      <c r="P71" s="32">
        <v>63.46</v>
      </c>
      <c r="Q71" s="32">
        <v>63.65</v>
      </c>
      <c r="R71" s="32">
        <v>63.302500000000002</v>
      </c>
      <c r="S71" s="32">
        <v>14.39</v>
      </c>
      <c r="T71" s="41">
        <f t="shared" si="3"/>
        <v>1.4291683582796888</v>
      </c>
      <c r="U71" s="34">
        <f>V72/V71</f>
        <v>0.89706854292933047</v>
      </c>
      <c r="V71" s="32">
        <f>AVERAGE(T71,T73,T75)</f>
        <v>1.3521999599823538</v>
      </c>
      <c r="W71" s="32">
        <v>161</v>
      </c>
      <c r="X71" s="32">
        <v>91</v>
      </c>
      <c r="Y71" s="32">
        <v>44</v>
      </c>
      <c r="Z71" s="32">
        <v>15</v>
      </c>
    </row>
    <row r="72" spans="1:26" ht="14.4">
      <c r="A72" s="27">
        <v>161</v>
      </c>
      <c r="B72" s="27">
        <v>91</v>
      </c>
      <c r="C72" s="27">
        <v>44</v>
      </c>
      <c r="D72" s="27">
        <v>15</v>
      </c>
      <c r="E72" s="30" t="s">
        <v>78</v>
      </c>
      <c r="F72" s="305"/>
      <c r="G72" s="30" t="s">
        <v>324</v>
      </c>
      <c r="H72" s="31" t="s">
        <v>378</v>
      </c>
      <c r="I72" s="47">
        <f t="shared" si="5"/>
        <v>4.1999999999999984</v>
      </c>
      <c r="J72" s="61">
        <v>4.0307101727447199</v>
      </c>
      <c r="K72" s="45" t="s">
        <v>73</v>
      </c>
      <c r="L72" s="45" t="s">
        <v>73</v>
      </c>
      <c r="M72" s="45" t="s">
        <v>73</v>
      </c>
      <c r="N72" s="32">
        <v>62.85</v>
      </c>
      <c r="O72" s="32">
        <v>62.85</v>
      </c>
      <c r="P72" s="32">
        <v>63.08</v>
      </c>
      <c r="Q72" s="32">
        <v>63.08</v>
      </c>
      <c r="R72" s="32">
        <v>62.965000000000003</v>
      </c>
      <c r="S72" s="32">
        <v>12.8</v>
      </c>
      <c r="T72" s="41">
        <f t="shared" si="3"/>
        <v>1.2780687683633765</v>
      </c>
      <c r="V72" s="32">
        <f>AVERAGE(T72,T74,T76)</f>
        <v>1.213016047850469</v>
      </c>
      <c r="W72" s="32">
        <v>161</v>
      </c>
      <c r="X72" s="32">
        <v>91</v>
      </c>
      <c r="Y72" s="32">
        <v>44</v>
      </c>
      <c r="Z72" s="32">
        <v>15</v>
      </c>
    </row>
    <row r="73" spans="1:26" ht="14.4">
      <c r="A73" s="27">
        <v>161</v>
      </c>
      <c r="B73" s="27">
        <v>91</v>
      </c>
      <c r="C73" s="27">
        <v>44</v>
      </c>
      <c r="D73" s="27">
        <v>15</v>
      </c>
      <c r="E73" s="30" t="s">
        <v>78</v>
      </c>
      <c r="F73" s="305"/>
      <c r="G73" s="30" t="s">
        <v>324</v>
      </c>
      <c r="H73" s="31" t="s">
        <v>296</v>
      </c>
      <c r="I73" s="47">
        <f t="shared" si="5"/>
        <v>4.1999999999999984</v>
      </c>
      <c r="J73" s="61">
        <v>4.0307101727447199</v>
      </c>
      <c r="K73" s="45" t="s">
        <v>73</v>
      </c>
      <c r="L73" s="45" t="s">
        <v>73</v>
      </c>
      <c r="M73" s="45" t="s">
        <v>73</v>
      </c>
      <c r="N73" s="32">
        <v>63.78</v>
      </c>
      <c r="O73" s="32">
        <v>63.91</v>
      </c>
      <c r="P73" s="32">
        <v>63.97</v>
      </c>
      <c r="Q73" s="32">
        <v>63.93</v>
      </c>
      <c r="R73" s="32">
        <v>63.897500000000001</v>
      </c>
      <c r="S73" s="32">
        <v>13.4</v>
      </c>
      <c r="T73" s="41">
        <f t="shared" si="3"/>
        <v>1.3184522086153605</v>
      </c>
      <c r="W73" s="32">
        <v>161</v>
      </c>
      <c r="X73" s="32">
        <v>91</v>
      </c>
      <c r="Y73" s="32">
        <v>44</v>
      </c>
      <c r="Z73" s="32">
        <v>15</v>
      </c>
    </row>
    <row r="74" spans="1:26" ht="14.4">
      <c r="A74" s="27">
        <v>161</v>
      </c>
      <c r="B74" s="27">
        <v>91</v>
      </c>
      <c r="C74" s="27">
        <v>44</v>
      </c>
      <c r="D74" s="27">
        <v>15</v>
      </c>
      <c r="E74" s="30" t="s">
        <v>78</v>
      </c>
      <c r="F74" s="305"/>
      <c r="G74" s="30" t="s">
        <v>324</v>
      </c>
      <c r="H74" s="31" t="s">
        <v>381</v>
      </c>
      <c r="I74" s="47">
        <f t="shared" si="5"/>
        <v>4.1999999999999984</v>
      </c>
      <c r="J74" s="61">
        <v>4.0307101727447199</v>
      </c>
      <c r="K74" s="45" t="s">
        <v>73</v>
      </c>
      <c r="L74" s="45" t="s">
        <v>73</v>
      </c>
      <c r="M74" s="45" t="s">
        <v>73</v>
      </c>
      <c r="N74" s="32">
        <v>64.27</v>
      </c>
      <c r="O74" s="32">
        <v>64.069999999999993</v>
      </c>
      <c r="P74" s="32">
        <v>64.23</v>
      </c>
      <c r="Q74" s="32">
        <v>64.349999999999994</v>
      </c>
      <c r="R74" s="32">
        <v>64.23</v>
      </c>
      <c r="S74" s="32">
        <v>12.19</v>
      </c>
      <c r="T74" s="41">
        <f t="shared" si="3"/>
        <v>1.1931890082515959</v>
      </c>
      <c r="W74" s="32">
        <v>161</v>
      </c>
      <c r="X74" s="32">
        <v>91</v>
      </c>
      <c r="Y74" s="32">
        <v>44</v>
      </c>
      <c r="Z74" s="32">
        <v>15</v>
      </c>
    </row>
    <row r="75" spans="1:26" ht="14.4">
      <c r="A75" s="27">
        <v>161</v>
      </c>
      <c r="B75" s="27">
        <v>91</v>
      </c>
      <c r="C75" s="27">
        <v>44</v>
      </c>
      <c r="D75" s="27">
        <v>15</v>
      </c>
      <c r="E75" s="30" t="s">
        <v>78</v>
      </c>
      <c r="F75" s="305"/>
      <c r="G75" s="30" t="s">
        <v>324</v>
      </c>
      <c r="H75" s="31" t="s">
        <v>298</v>
      </c>
      <c r="I75" s="47">
        <f t="shared" si="5"/>
        <v>4.1999999999999984</v>
      </c>
      <c r="J75" s="61">
        <v>4.0307101727447199</v>
      </c>
      <c r="K75" s="45" t="s">
        <v>73</v>
      </c>
      <c r="L75" s="45" t="s">
        <v>73</v>
      </c>
      <c r="M75" s="45" t="s">
        <v>73</v>
      </c>
      <c r="N75" s="32">
        <v>63.37</v>
      </c>
      <c r="O75" s="32">
        <v>63.53</v>
      </c>
      <c r="P75" s="32">
        <v>64.11</v>
      </c>
      <c r="Q75" s="32">
        <v>63.74</v>
      </c>
      <c r="R75" s="32">
        <v>63.6875</v>
      </c>
      <c r="S75" s="32">
        <v>13.26</v>
      </c>
      <c r="T75" s="41">
        <f t="shared" si="3"/>
        <v>1.3089793130520118</v>
      </c>
      <c r="W75" s="32">
        <v>161</v>
      </c>
      <c r="X75" s="32">
        <v>91</v>
      </c>
      <c r="Y75" s="32">
        <v>44</v>
      </c>
      <c r="Z75" s="32">
        <v>15</v>
      </c>
    </row>
    <row r="76" spans="1:26" ht="14.4">
      <c r="A76" s="27">
        <v>161</v>
      </c>
      <c r="B76" s="27">
        <v>91</v>
      </c>
      <c r="C76" s="27">
        <v>44</v>
      </c>
      <c r="D76" s="27">
        <v>15</v>
      </c>
      <c r="E76" s="30" t="s">
        <v>78</v>
      </c>
      <c r="F76" s="306"/>
      <c r="G76" s="30" t="s">
        <v>324</v>
      </c>
      <c r="H76" s="31" t="s">
        <v>403</v>
      </c>
      <c r="I76" s="47">
        <f t="shared" si="5"/>
        <v>4.1999999999999984</v>
      </c>
      <c r="J76" s="61">
        <v>4.0307101727447199</v>
      </c>
      <c r="K76" s="45" t="s">
        <v>73</v>
      </c>
      <c r="L76" s="45" t="s">
        <v>73</v>
      </c>
      <c r="M76" s="45" t="s">
        <v>73</v>
      </c>
      <c r="N76" s="32">
        <v>63.55</v>
      </c>
      <c r="O76" s="32">
        <v>63.63</v>
      </c>
      <c r="P76" s="32">
        <v>63.64</v>
      </c>
      <c r="Q76" s="32">
        <v>63.72</v>
      </c>
      <c r="R76" s="32">
        <v>63.634999999999998</v>
      </c>
      <c r="S76" s="32">
        <v>11.82</v>
      </c>
      <c r="T76" s="41">
        <f t="shared" si="3"/>
        <v>1.1677903669364345</v>
      </c>
      <c r="W76" s="32">
        <v>161</v>
      </c>
      <c r="X76" s="32">
        <v>91</v>
      </c>
      <c r="Y76" s="32">
        <v>44</v>
      </c>
      <c r="Z76" s="32">
        <v>15</v>
      </c>
    </row>
    <row r="77" spans="1:26" ht="14.4">
      <c r="A77" s="27">
        <v>161</v>
      </c>
      <c r="B77" s="27">
        <v>91</v>
      </c>
      <c r="C77" s="27">
        <v>44</v>
      </c>
      <c r="D77" s="27">
        <v>15</v>
      </c>
      <c r="E77" s="30" t="s">
        <v>80</v>
      </c>
      <c r="F77" s="304" t="s">
        <v>197</v>
      </c>
      <c r="G77" s="30" t="s">
        <v>306</v>
      </c>
      <c r="H77" s="31" t="s">
        <v>294</v>
      </c>
      <c r="I77" s="47">
        <f t="shared" si="5"/>
        <v>4.3999999999999995</v>
      </c>
      <c r="J77" s="41">
        <v>4.2145593869731801</v>
      </c>
      <c r="K77" s="45" t="s">
        <v>73</v>
      </c>
      <c r="L77" s="45" t="s">
        <v>73</v>
      </c>
      <c r="M77" s="45" t="s">
        <v>73</v>
      </c>
      <c r="N77" s="32">
        <v>62.71</v>
      </c>
      <c r="O77" s="32">
        <v>62.89</v>
      </c>
      <c r="P77" s="32">
        <v>62.94</v>
      </c>
      <c r="Q77" s="32">
        <v>62.57</v>
      </c>
      <c r="R77" s="32">
        <v>62.777500000000003</v>
      </c>
      <c r="S77" s="32">
        <v>10.73</v>
      </c>
      <c r="T77" s="32">
        <v>1.0745810202699999</v>
      </c>
      <c r="U77" s="34">
        <f>V77/V78</f>
        <v>0.89056336337267006</v>
      </c>
      <c r="V77" s="32">
        <f>AVERAGE(T79,T78,T81,T82)</f>
        <v>0.91996344268695907</v>
      </c>
      <c r="W77" s="32">
        <v>161</v>
      </c>
      <c r="X77" s="32">
        <v>91</v>
      </c>
      <c r="Y77" s="32">
        <v>44</v>
      </c>
      <c r="Z77" s="32">
        <v>15</v>
      </c>
    </row>
    <row r="78" spans="1:26" ht="14.4">
      <c r="A78" s="27">
        <v>161</v>
      </c>
      <c r="B78" s="27">
        <v>91</v>
      </c>
      <c r="C78" s="27">
        <v>44</v>
      </c>
      <c r="D78" s="27">
        <v>15</v>
      </c>
      <c r="E78" s="30" t="s">
        <v>80</v>
      </c>
      <c r="F78" s="305"/>
      <c r="G78" s="30" t="s">
        <v>306</v>
      </c>
      <c r="H78" s="31" t="s">
        <v>378</v>
      </c>
      <c r="I78" s="47">
        <f t="shared" si="5"/>
        <v>4.3999999999999995</v>
      </c>
      <c r="J78" s="41">
        <v>4.2145593869731801</v>
      </c>
      <c r="K78" s="45" t="s">
        <v>73</v>
      </c>
      <c r="L78" s="45" t="s">
        <v>73</v>
      </c>
      <c r="M78" s="45" t="s">
        <v>73</v>
      </c>
      <c r="N78" s="32">
        <v>63.26</v>
      </c>
      <c r="O78" s="32">
        <v>63.03</v>
      </c>
      <c r="P78" s="32">
        <v>63.03</v>
      </c>
      <c r="Q78" s="32">
        <v>63.34</v>
      </c>
      <c r="R78" s="32">
        <v>63.164999999999999</v>
      </c>
      <c r="S78" s="32">
        <v>9.65</v>
      </c>
      <c r="T78" s="32">
        <v>0.96049315285363701</v>
      </c>
      <c r="V78" s="32">
        <f>AVERAGE(T77,T80,T83)</f>
        <v>1.0330129000624362</v>
      </c>
      <c r="W78" s="32">
        <v>161</v>
      </c>
      <c r="X78" s="32">
        <v>91</v>
      </c>
      <c r="Y78" s="32">
        <v>44</v>
      </c>
      <c r="Z78" s="32">
        <v>15</v>
      </c>
    </row>
    <row r="79" spans="1:26" ht="14.4">
      <c r="A79" s="27">
        <v>161</v>
      </c>
      <c r="B79" s="27">
        <v>91</v>
      </c>
      <c r="C79" s="27">
        <v>44</v>
      </c>
      <c r="D79" s="27">
        <v>15</v>
      </c>
      <c r="E79" s="30" t="s">
        <v>80</v>
      </c>
      <c r="F79" s="305"/>
      <c r="G79" s="30" t="s">
        <v>306</v>
      </c>
      <c r="H79" s="31" t="s">
        <v>399</v>
      </c>
      <c r="I79" s="47">
        <f t="shared" si="5"/>
        <v>4.3999999999999995</v>
      </c>
      <c r="J79" s="41">
        <v>4.2145593869731801</v>
      </c>
      <c r="K79" s="45" t="s">
        <v>73</v>
      </c>
      <c r="L79" s="45" t="s">
        <v>73</v>
      </c>
      <c r="M79" s="45" t="s">
        <v>73</v>
      </c>
      <c r="N79" s="32">
        <v>64.209999999999994</v>
      </c>
      <c r="O79" s="32">
        <v>63.92</v>
      </c>
      <c r="P79" s="32">
        <v>63.95</v>
      </c>
      <c r="Q79" s="32">
        <v>63.99</v>
      </c>
      <c r="R79" s="32">
        <v>64.017499999999998</v>
      </c>
      <c r="S79" s="32">
        <v>9.5500000000000007</v>
      </c>
      <c r="T79" s="32">
        <v>0.93788182918733198</v>
      </c>
      <c r="W79" s="32">
        <v>161</v>
      </c>
      <c r="X79" s="32">
        <v>91</v>
      </c>
      <c r="Y79" s="32">
        <v>44</v>
      </c>
      <c r="Z79" s="32">
        <v>15</v>
      </c>
    </row>
    <row r="80" spans="1:26" ht="14.4">
      <c r="A80" s="27">
        <v>161</v>
      </c>
      <c r="B80" s="27">
        <v>91</v>
      </c>
      <c r="C80" s="27">
        <v>44</v>
      </c>
      <c r="D80" s="27">
        <v>15</v>
      </c>
      <c r="E80" s="30" t="s">
        <v>80</v>
      </c>
      <c r="F80" s="305"/>
      <c r="G80" s="30" t="s">
        <v>306</v>
      </c>
      <c r="H80" s="31" t="s">
        <v>297</v>
      </c>
      <c r="I80" s="47">
        <f t="shared" si="5"/>
        <v>4.3999999999999995</v>
      </c>
      <c r="J80" s="41">
        <v>4.2145593869731801</v>
      </c>
      <c r="K80" s="45" t="s">
        <v>73</v>
      </c>
      <c r="L80" s="45" t="s">
        <v>73</v>
      </c>
      <c r="M80" s="45" t="s">
        <v>73</v>
      </c>
      <c r="N80" s="32">
        <v>63.89</v>
      </c>
      <c r="O80" s="32">
        <v>63.61</v>
      </c>
      <c r="P80" s="32">
        <v>63.53</v>
      </c>
      <c r="Q80" s="32">
        <v>63.88</v>
      </c>
      <c r="R80" s="32">
        <v>63.727499999999999</v>
      </c>
      <c r="S80" s="32">
        <v>10.86</v>
      </c>
      <c r="T80" s="32">
        <v>1.0713870777921599</v>
      </c>
      <c r="W80" s="32">
        <v>161</v>
      </c>
      <c r="X80" s="32">
        <v>91</v>
      </c>
      <c r="Y80" s="32">
        <v>44</v>
      </c>
      <c r="Z80" s="32">
        <v>15</v>
      </c>
    </row>
    <row r="81" spans="1:26" ht="14.4">
      <c r="A81" s="27">
        <v>161</v>
      </c>
      <c r="B81" s="27">
        <v>91</v>
      </c>
      <c r="C81" s="27">
        <v>44</v>
      </c>
      <c r="D81" s="27">
        <v>15</v>
      </c>
      <c r="E81" s="30" t="s">
        <v>80</v>
      </c>
      <c r="F81" s="305"/>
      <c r="G81" s="30" t="s">
        <v>306</v>
      </c>
      <c r="H81" s="31" t="s">
        <v>401</v>
      </c>
      <c r="I81" s="47">
        <f t="shared" si="5"/>
        <v>4.3999999999999995</v>
      </c>
      <c r="J81" s="41">
        <v>4.2145593869731801</v>
      </c>
      <c r="K81" s="45" t="s">
        <v>73</v>
      </c>
      <c r="L81" s="45" t="s">
        <v>73</v>
      </c>
      <c r="M81" s="45" t="s">
        <v>73</v>
      </c>
      <c r="N81" s="32">
        <v>62.98</v>
      </c>
      <c r="O81" s="32">
        <v>63.5</v>
      </c>
      <c r="P81" s="32">
        <v>63.49</v>
      </c>
      <c r="Q81" s="32">
        <v>63.37</v>
      </c>
      <c r="R81" s="32">
        <v>63.335000000000001</v>
      </c>
      <c r="S81" s="32">
        <v>9.2100000000000009</v>
      </c>
      <c r="T81" s="32">
        <v>0.91423809899739505</v>
      </c>
      <c r="W81" s="32">
        <v>161</v>
      </c>
      <c r="X81" s="32">
        <v>91</v>
      </c>
      <c r="Y81" s="32">
        <v>44</v>
      </c>
      <c r="Z81" s="32">
        <v>15</v>
      </c>
    </row>
    <row r="82" spans="1:26" ht="14.4">
      <c r="A82" s="27">
        <v>161</v>
      </c>
      <c r="B82" s="27">
        <v>91</v>
      </c>
      <c r="C82" s="27">
        <v>44</v>
      </c>
      <c r="D82" s="27">
        <v>15</v>
      </c>
      <c r="E82" s="30" t="s">
        <v>80</v>
      </c>
      <c r="F82" s="305"/>
      <c r="G82" s="30" t="s">
        <v>306</v>
      </c>
      <c r="H82" s="31" t="s">
        <v>403</v>
      </c>
      <c r="I82" s="47">
        <f t="shared" si="5"/>
        <v>4.3999999999999995</v>
      </c>
      <c r="J82" s="41">
        <v>4.2145593869731801</v>
      </c>
      <c r="K82" s="45" t="s">
        <v>73</v>
      </c>
      <c r="L82" s="45" t="s">
        <v>73</v>
      </c>
      <c r="M82" s="45" t="s">
        <v>73</v>
      </c>
      <c r="N82" s="32">
        <v>63.36</v>
      </c>
      <c r="O82" s="32">
        <v>63.63</v>
      </c>
      <c r="P82" s="32">
        <v>63.64</v>
      </c>
      <c r="Q82" s="32">
        <v>63.39</v>
      </c>
      <c r="R82" s="32">
        <v>63.505000000000003</v>
      </c>
      <c r="S82" s="32">
        <v>8.76</v>
      </c>
      <c r="T82" s="32">
        <v>0.86724068970947199</v>
      </c>
      <c r="W82" s="32">
        <v>161</v>
      </c>
      <c r="X82" s="32">
        <v>91</v>
      </c>
      <c r="Y82" s="32">
        <v>44</v>
      </c>
      <c r="Z82" s="32">
        <v>15</v>
      </c>
    </row>
    <row r="83" spans="1:26" ht="14.4">
      <c r="A83" s="27">
        <v>161</v>
      </c>
      <c r="B83" s="27">
        <v>91</v>
      </c>
      <c r="C83" s="27">
        <v>44</v>
      </c>
      <c r="D83" s="27">
        <v>15</v>
      </c>
      <c r="E83" s="30" t="s">
        <v>80</v>
      </c>
      <c r="F83" s="305"/>
      <c r="G83" s="30" t="s">
        <v>306</v>
      </c>
      <c r="H83" s="31" t="s">
        <v>404</v>
      </c>
      <c r="I83" s="47">
        <f t="shared" si="5"/>
        <v>4.3999999999999995</v>
      </c>
      <c r="J83" s="41">
        <v>4.2145593869731801</v>
      </c>
      <c r="K83" s="45" t="s">
        <v>73</v>
      </c>
      <c r="L83" s="45" t="s">
        <v>73</v>
      </c>
      <c r="M83" s="45" t="s">
        <v>73</v>
      </c>
      <c r="N83" s="32">
        <v>63.3</v>
      </c>
      <c r="O83" s="32">
        <v>63.49</v>
      </c>
      <c r="P83" s="32">
        <v>63.78</v>
      </c>
      <c r="Q83" s="32">
        <v>63.53</v>
      </c>
      <c r="R83" s="32">
        <v>63.524999999999999</v>
      </c>
      <c r="S83" s="32">
        <v>9.6300000000000008</v>
      </c>
      <c r="T83" s="32">
        <v>0.95307060212514805</v>
      </c>
      <c r="W83" s="32">
        <v>161</v>
      </c>
      <c r="X83" s="32">
        <v>91</v>
      </c>
      <c r="Y83" s="32">
        <v>44</v>
      </c>
      <c r="Z83" s="32">
        <v>15</v>
      </c>
    </row>
    <row r="84" spans="1:26" ht="14.4">
      <c r="A84" s="27">
        <v>161</v>
      </c>
      <c r="B84" s="27">
        <v>91</v>
      </c>
      <c r="C84" s="27">
        <v>44</v>
      </c>
      <c r="D84" s="27">
        <v>15</v>
      </c>
      <c r="E84" s="30" t="s">
        <v>80</v>
      </c>
      <c r="F84" s="305"/>
      <c r="G84" s="30" t="s">
        <v>324</v>
      </c>
      <c r="H84" s="40" t="s">
        <v>294</v>
      </c>
      <c r="I84" s="47">
        <f t="shared" si="5"/>
        <v>4.3999999999999995</v>
      </c>
      <c r="J84" s="41">
        <v>4.2145593869731801</v>
      </c>
      <c r="K84" s="45" t="s">
        <v>73</v>
      </c>
      <c r="L84" s="45" t="s">
        <v>73</v>
      </c>
      <c r="M84" s="45" t="s">
        <v>73</v>
      </c>
      <c r="N84" s="42">
        <v>63.86</v>
      </c>
      <c r="O84" s="42">
        <v>63.56</v>
      </c>
      <c r="P84" s="42">
        <v>63.8</v>
      </c>
      <c r="Q84" s="42">
        <v>63.89</v>
      </c>
      <c r="R84" s="42">
        <f>AVERAGE(N84:Q84)</f>
        <v>63.777500000000003</v>
      </c>
      <c r="S84" s="42">
        <v>10.27</v>
      </c>
      <c r="T84" s="42">
        <f>6.287*S84/Q84</f>
        <v>1.0106040068868367</v>
      </c>
      <c r="U84" s="34">
        <f>V84/V85</f>
        <v>0.87726964524658968</v>
      </c>
      <c r="V84" s="32">
        <f>AVERAGE(T87,T85,T88,T89)</f>
        <v>0.96676992977743315</v>
      </c>
      <c r="W84" s="32">
        <v>161</v>
      </c>
      <c r="X84" s="32">
        <v>91</v>
      </c>
      <c r="Y84" s="32">
        <v>44</v>
      </c>
      <c r="Z84" s="32">
        <v>15</v>
      </c>
    </row>
    <row r="85" spans="1:26" ht="14.4">
      <c r="A85" s="27">
        <v>161</v>
      </c>
      <c r="B85" s="27">
        <v>91</v>
      </c>
      <c r="C85" s="27">
        <v>44</v>
      </c>
      <c r="D85" s="27">
        <v>15</v>
      </c>
      <c r="E85" s="30" t="s">
        <v>80</v>
      </c>
      <c r="F85" s="305"/>
      <c r="G85" s="30" t="s">
        <v>324</v>
      </c>
      <c r="H85" s="40" t="s">
        <v>378</v>
      </c>
      <c r="I85" s="47">
        <f t="shared" si="5"/>
        <v>4.3999999999999995</v>
      </c>
      <c r="J85" s="41">
        <v>4.2145593869731801</v>
      </c>
      <c r="K85" s="45" t="s">
        <v>73</v>
      </c>
      <c r="L85" s="45" t="s">
        <v>73</v>
      </c>
      <c r="M85" s="45" t="s">
        <v>73</v>
      </c>
      <c r="N85" s="42">
        <v>63.32</v>
      </c>
      <c r="O85" s="42">
        <v>63.29</v>
      </c>
      <c r="P85" s="42">
        <v>63.34</v>
      </c>
      <c r="Q85" s="42">
        <v>63.42</v>
      </c>
      <c r="R85" s="42">
        <f t="shared" ref="R85:R97" si="6">AVERAGE(N85:Q85)</f>
        <v>63.342500000000001</v>
      </c>
      <c r="S85" s="42">
        <v>9.34</v>
      </c>
      <c r="T85" s="42">
        <f t="shared" ref="T85:T90" si="7">6.287*S85/Q85</f>
        <v>0.92590003153579303</v>
      </c>
      <c r="V85" s="32">
        <f>AVERAGE(T84,T86,T90)</f>
        <v>1.1020214081449109</v>
      </c>
      <c r="W85" s="32">
        <v>161</v>
      </c>
      <c r="X85" s="32">
        <v>91</v>
      </c>
      <c r="Y85" s="32">
        <v>44</v>
      </c>
      <c r="Z85" s="32">
        <v>15</v>
      </c>
    </row>
    <row r="86" spans="1:26" ht="14.4">
      <c r="A86" s="27">
        <v>161</v>
      </c>
      <c r="B86" s="27">
        <v>91</v>
      </c>
      <c r="C86" s="27">
        <v>44</v>
      </c>
      <c r="D86" s="27">
        <v>15</v>
      </c>
      <c r="E86" s="30" t="s">
        <v>80</v>
      </c>
      <c r="F86" s="305"/>
      <c r="G86" s="30" t="s">
        <v>324</v>
      </c>
      <c r="H86" s="40" t="s">
        <v>296</v>
      </c>
      <c r="I86" s="47">
        <f t="shared" si="5"/>
        <v>4.3999999999999995</v>
      </c>
      <c r="J86" s="41">
        <v>4.2145593869731801</v>
      </c>
      <c r="K86" s="45" t="s">
        <v>73</v>
      </c>
      <c r="L86" s="45" t="s">
        <v>73</v>
      </c>
      <c r="M86" s="45" t="s">
        <v>73</v>
      </c>
      <c r="N86" s="42">
        <v>63.89</v>
      </c>
      <c r="O86" s="42">
        <v>63.49</v>
      </c>
      <c r="P86" s="42">
        <v>63.4</v>
      </c>
      <c r="Q86" s="42">
        <v>63.53</v>
      </c>
      <c r="R86" s="42">
        <f t="shared" si="6"/>
        <v>63.577500000000001</v>
      </c>
      <c r="S86" s="42">
        <v>9.9700000000000006</v>
      </c>
      <c r="T86" s="42">
        <f t="shared" si="7"/>
        <v>0.98664237368172514</v>
      </c>
      <c r="W86" s="32">
        <v>161</v>
      </c>
      <c r="X86" s="32">
        <v>91</v>
      </c>
      <c r="Y86" s="32">
        <v>44</v>
      </c>
      <c r="Z86" s="32">
        <v>15</v>
      </c>
    </row>
    <row r="87" spans="1:26" ht="14.4">
      <c r="A87" s="27">
        <v>161</v>
      </c>
      <c r="B87" s="27">
        <v>91</v>
      </c>
      <c r="C87" s="27">
        <v>44</v>
      </c>
      <c r="D87" s="27">
        <v>15</v>
      </c>
      <c r="E87" s="30" t="s">
        <v>80</v>
      </c>
      <c r="F87" s="305"/>
      <c r="G87" s="30" t="s">
        <v>324</v>
      </c>
      <c r="H87" s="40" t="s">
        <v>381</v>
      </c>
      <c r="I87" s="47">
        <f t="shared" si="5"/>
        <v>4.3999999999999995</v>
      </c>
      <c r="J87" s="41">
        <v>4.2145593869731801</v>
      </c>
      <c r="K87" s="45" t="s">
        <v>73</v>
      </c>
      <c r="L87" s="45" t="s">
        <v>73</v>
      </c>
      <c r="M87" s="45" t="s">
        <v>73</v>
      </c>
      <c r="N87" s="42">
        <v>63.66</v>
      </c>
      <c r="O87" s="42">
        <v>63.75</v>
      </c>
      <c r="P87" s="42">
        <v>63.69</v>
      </c>
      <c r="Q87" s="42">
        <v>63.51</v>
      </c>
      <c r="R87" s="42">
        <f t="shared" si="6"/>
        <v>63.652499999999996</v>
      </c>
      <c r="S87" s="42">
        <v>9.67</v>
      </c>
      <c r="T87" s="42">
        <f t="shared" si="7"/>
        <v>0.9572553928515195</v>
      </c>
      <c r="W87" s="32">
        <v>161</v>
      </c>
      <c r="X87" s="32">
        <v>91</v>
      </c>
      <c r="Y87" s="32">
        <v>44</v>
      </c>
      <c r="Z87" s="32">
        <v>15</v>
      </c>
    </row>
    <row r="88" spans="1:26" ht="14.4">
      <c r="A88" s="27">
        <v>161</v>
      </c>
      <c r="B88" s="27">
        <v>91</v>
      </c>
      <c r="C88" s="27">
        <v>44</v>
      </c>
      <c r="D88" s="27">
        <v>15</v>
      </c>
      <c r="E88" s="30" t="s">
        <v>80</v>
      </c>
      <c r="F88" s="305"/>
      <c r="G88" s="30" t="s">
        <v>324</v>
      </c>
      <c r="H88" s="40" t="s">
        <v>401</v>
      </c>
      <c r="I88" s="47">
        <f t="shared" si="5"/>
        <v>4.3999999999999995</v>
      </c>
      <c r="J88" s="41">
        <v>4.2145593869731801</v>
      </c>
      <c r="K88" s="45" t="s">
        <v>73</v>
      </c>
      <c r="L88" s="45" t="s">
        <v>73</v>
      </c>
      <c r="M88" s="45" t="s">
        <v>73</v>
      </c>
      <c r="N88" s="42">
        <v>63.82</v>
      </c>
      <c r="O88" s="42">
        <v>63.62</v>
      </c>
      <c r="P88" s="42">
        <v>63.37</v>
      </c>
      <c r="Q88" s="42">
        <v>63.48</v>
      </c>
      <c r="R88" s="42">
        <f t="shared" si="6"/>
        <v>63.572499999999998</v>
      </c>
      <c r="S88" s="42">
        <v>9.7799999999999994</v>
      </c>
      <c r="T88" s="42">
        <f t="shared" si="7"/>
        <v>0.96860207939508502</v>
      </c>
      <c r="W88" s="32">
        <v>161</v>
      </c>
      <c r="X88" s="32">
        <v>91</v>
      </c>
      <c r="Y88" s="32">
        <v>44</v>
      </c>
      <c r="Z88" s="32">
        <v>15</v>
      </c>
    </row>
    <row r="89" spans="1:26" ht="14.4">
      <c r="A89" s="27">
        <v>161</v>
      </c>
      <c r="B89" s="27">
        <v>91</v>
      </c>
      <c r="C89" s="27">
        <v>44</v>
      </c>
      <c r="D89" s="27">
        <v>15</v>
      </c>
      <c r="E89" s="30" t="s">
        <v>80</v>
      </c>
      <c r="F89" s="305"/>
      <c r="G89" s="30" t="s">
        <v>324</v>
      </c>
      <c r="H89" s="40" t="s">
        <v>403</v>
      </c>
      <c r="I89" s="47">
        <f t="shared" si="5"/>
        <v>4.3999999999999995</v>
      </c>
      <c r="J89" s="41">
        <v>4.2145593869731801</v>
      </c>
      <c r="K89" s="45" t="s">
        <v>73</v>
      </c>
      <c r="L89" s="45" t="s">
        <v>73</v>
      </c>
      <c r="M89" s="45" t="s">
        <v>73</v>
      </c>
      <c r="N89" s="42">
        <v>64.28</v>
      </c>
      <c r="O89" s="42">
        <v>64.36</v>
      </c>
      <c r="P89" s="42">
        <v>64.25</v>
      </c>
      <c r="Q89" s="42">
        <v>64.459999999999994</v>
      </c>
      <c r="R89" s="42">
        <f t="shared" si="6"/>
        <v>64.337499999999991</v>
      </c>
      <c r="S89" s="42">
        <v>10.41</v>
      </c>
      <c r="T89" s="42">
        <f t="shared" si="7"/>
        <v>1.0153222153273349</v>
      </c>
      <c r="W89" s="32">
        <v>161</v>
      </c>
      <c r="X89" s="32">
        <v>91</v>
      </c>
      <c r="Y89" s="32">
        <v>44</v>
      </c>
      <c r="Z89" s="32">
        <v>15</v>
      </c>
    </row>
    <row r="90" spans="1:26" ht="14.4">
      <c r="A90" s="27">
        <v>161</v>
      </c>
      <c r="B90" s="27">
        <v>91</v>
      </c>
      <c r="C90" s="27">
        <v>44</v>
      </c>
      <c r="D90" s="27">
        <v>15</v>
      </c>
      <c r="E90" s="30" t="s">
        <v>80</v>
      </c>
      <c r="F90" s="305"/>
      <c r="G90" s="30" t="s">
        <v>324</v>
      </c>
      <c r="H90" s="40" t="s">
        <v>404</v>
      </c>
      <c r="I90" s="47">
        <f t="shared" si="5"/>
        <v>4.3999999999999995</v>
      </c>
      <c r="J90" s="41">
        <v>4.2145593869731801</v>
      </c>
      <c r="K90" s="45" t="s">
        <v>73</v>
      </c>
      <c r="L90" s="45" t="s">
        <v>73</v>
      </c>
      <c r="M90" s="45" t="s">
        <v>73</v>
      </c>
      <c r="N90" s="42">
        <v>64.63</v>
      </c>
      <c r="O90" s="42">
        <v>64.37</v>
      </c>
      <c r="P90" s="42">
        <v>64.599999999999994</v>
      </c>
      <c r="Q90" s="42">
        <v>64.56</v>
      </c>
      <c r="R90" s="42">
        <f t="shared" si="6"/>
        <v>64.539999999999992</v>
      </c>
      <c r="S90" s="42">
        <v>13.44</v>
      </c>
      <c r="T90" s="42">
        <f t="shared" si="7"/>
        <v>1.3088178438661708</v>
      </c>
      <c r="W90" s="32">
        <v>161</v>
      </c>
      <c r="X90" s="32">
        <v>91</v>
      </c>
      <c r="Y90" s="32">
        <v>44</v>
      </c>
      <c r="Z90" s="32">
        <v>15</v>
      </c>
    </row>
    <row r="91" spans="1:26" ht="14.4">
      <c r="A91" s="27">
        <v>161</v>
      </c>
      <c r="B91" s="27">
        <v>91</v>
      </c>
      <c r="C91" s="27">
        <v>44</v>
      </c>
      <c r="D91" s="27">
        <v>15</v>
      </c>
      <c r="E91" s="30" t="s">
        <v>80</v>
      </c>
      <c r="F91" s="305"/>
      <c r="G91" s="30" t="s">
        <v>523</v>
      </c>
      <c r="H91" s="31" t="s">
        <v>397</v>
      </c>
      <c r="I91" s="47">
        <f t="shared" si="5"/>
        <v>4.3999999999999995</v>
      </c>
      <c r="J91" s="41">
        <v>4.2145593869731801</v>
      </c>
      <c r="K91" s="45" t="s">
        <v>73</v>
      </c>
      <c r="L91" s="45" t="s">
        <v>73</v>
      </c>
      <c r="M91" s="45" t="s">
        <v>73</v>
      </c>
      <c r="N91" s="42">
        <v>62.71</v>
      </c>
      <c r="O91" s="42">
        <v>62.89</v>
      </c>
      <c r="P91" s="42">
        <v>62.94</v>
      </c>
      <c r="Q91" s="42">
        <v>62.57</v>
      </c>
      <c r="R91" s="42">
        <f t="shared" si="6"/>
        <v>62.777499999999996</v>
      </c>
      <c r="S91" s="42">
        <v>10.73</v>
      </c>
      <c r="T91" s="42">
        <f>6.287*S91/R91</f>
        <v>1.0745810202700015</v>
      </c>
      <c r="U91" s="34">
        <f>V91/V92</f>
        <v>0.95326736956055536</v>
      </c>
      <c r="V91" s="32">
        <f>AVERAGE(T91,T93,T95,T96)</f>
        <v>0.94848540954104998</v>
      </c>
      <c r="W91" s="32">
        <v>161</v>
      </c>
      <c r="X91" s="32">
        <v>91</v>
      </c>
      <c r="Y91" s="32">
        <v>44</v>
      </c>
      <c r="Z91" s="32">
        <v>15</v>
      </c>
    </row>
    <row r="92" spans="1:26" ht="14.4">
      <c r="A92" s="27">
        <v>162</v>
      </c>
      <c r="B92" s="27">
        <v>92</v>
      </c>
      <c r="C92" s="27">
        <v>45</v>
      </c>
      <c r="D92" s="27">
        <v>16</v>
      </c>
      <c r="E92" s="30" t="s">
        <v>80</v>
      </c>
      <c r="F92" s="305"/>
      <c r="G92" s="30" t="s">
        <v>523</v>
      </c>
      <c r="H92" s="31" t="s">
        <v>295</v>
      </c>
      <c r="I92" s="47">
        <f t="shared" si="5"/>
        <v>4.3999999999999995</v>
      </c>
      <c r="J92" s="41">
        <v>4.2145593869731801</v>
      </c>
      <c r="K92" s="45" t="s">
        <v>73</v>
      </c>
      <c r="L92" s="45" t="s">
        <v>73</v>
      </c>
      <c r="M92" s="45" t="s">
        <v>73</v>
      </c>
      <c r="N92" s="42">
        <v>63.26</v>
      </c>
      <c r="O92" s="42">
        <v>63.03</v>
      </c>
      <c r="P92" s="42">
        <v>63.03</v>
      </c>
      <c r="Q92" s="42">
        <v>63.34</v>
      </c>
      <c r="R92" s="42">
        <f t="shared" si="6"/>
        <v>63.164999999999999</v>
      </c>
      <c r="S92" s="42">
        <v>9.65</v>
      </c>
      <c r="T92" s="42">
        <f t="shared" ref="T92:T155" si="8">6.287*S92/R92</f>
        <v>0.96049315285363734</v>
      </c>
      <c r="V92" s="32">
        <f>AVERAGE(T92,T94,T97)</f>
        <v>0.99498361092364906</v>
      </c>
      <c r="W92" s="32">
        <v>161</v>
      </c>
      <c r="X92" s="32">
        <v>91</v>
      </c>
      <c r="Y92" s="32">
        <v>44</v>
      </c>
      <c r="Z92" s="32">
        <v>15</v>
      </c>
    </row>
    <row r="93" spans="1:26" ht="14.4">
      <c r="A93" s="27">
        <v>163</v>
      </c>
      <c r="B93" s="27">
        <v>93</v>
      </c>
      <c r="C93" s="27">
        <v>46</v>
      </c>
      <c r="D93" s="27">
        <v>17</v>
      </c>
      <c r="E93" s="30" t="s">
        <v>80</v>
      </c>
      <c r="F93" s="305"/>
      <c r="G93" s="30" t="s">
        <v>523</v>
      </c>
      <c r="H93" s="31" t="s">
        <v>399</v>
      </c>
      <c r="I93" s="47">
        <f t="shared" si="5"/>
        <v>4.3999999999999995</v>
      </c>
      <c r="J93" s="41">
        <v>4.2145593869731801</v>
      </c>
      <c r="K93" s="45" t="s">
        <v>73</v>
      </c>
      <c r="L93" s="45" t="s">
        <v>73</v>
      </c>
      <c r="M93" s="45" t="s">
        <v>73</v>
      </c>
      <c r="N93" s="42">
        <v>64.209999999999994</v>
      </c>
      <c r="O93" s="42">
        <v>63.92</v>
      </c>
      <c r="P93" s="42">
        <v>63.95</v>
      </c>
      <c r="Q93" s="42">
        <v>63.99</v>
      </c>
      <c r="R93" s="42">
        <f t="shared" si="6"/>
        <v>64.017499999999998</v>
      </c>
      <c r="S93" s="42">
        <v>9.5500000000000007</v>
      </c>
      <c r="T93" s="42">
        <f t="shared" si="8"/>
        <v>0.93788182918733176</v>
      </c>
      <c r="W93" s="32">
        <v>161</v>
      </c>
      <c r="X93" s="32">
        <v>91</v>
      </c>
      <c r="Y93" s="32">
        <v>44</v>
      </c>
      <c r="Z93" s="32">
        <v>15</v>
      </c>
    </row>
    <row r="94" spans="1:26" ht="14.4">
      <c r="A94" s="27">
        <v>164</v>
      </c>
      <c r="B94" s="27">
        <v>94</v>
      </c>
      <c r="C94" s="27">
        <v>47</v>
      </c>
      <c r="D94" s="27">
        <v>18</v>
      </c>
      <c r="E94" s="30" t="s">
        <v>80</v>
      </c>
      <c r="F94" s="305"/>
      <c r="G94" s="30" t="s">
        <v>523</v>
      </c>
      <c r="H94" s="31" t="s">
        <v>297</v>
      </c>
      <c r="I94" s="47">
        <f t="shared" si="5"/>
        <v>4.3999999999999995</v>
      </c>
      <c r="J94" s="41">
        <v>4.2145593869731801</v>
      </c>
      <c r="K94" s="45" t="s">
        <v>73</v>
      </c>
      <c r="L94" s="45" t="s">
        <v>73</v>
      </c>
      <c r="M94" s="45" t="s">
        <v>73</v>
      </c>
      <c r="N94" s="42">
        <v>63.89</v>
      </c>
      <c r="O94" s="42">
        <v>63.61</v>
      </c>
      <c r="P94" s="42">
        <v>63.53</v>
      </c>
      <c r="Q94" s="42">
        <v>63.88</v>
      </c>
      <c r="R94" s="42">
        <f t="shared" si="6"/>
        <v>63.727499999999999</v>
      </c>
      <c r="S94" s="42">
        <v>10.86</v>
      </c>
      <c r="T94" s="42">
        <f t="shared" si="8"/>
        <v>1.0713870777921619</v>
      </c>
      <c r="W94" s="32">
        <v>161</v>
      </c>
      <c r="X94" s="32">
        <v>91</v>
      </c>
      <c r="Y94" s="32">
        <v>44</v>
      </c>
      <c r="Z94" s="32">
        <v>15</v>
      </c>
    </row>
    <row r="95" spans="1:26" ht="14.4">
      <c r="A95" s="27">
        <v>165</v>
      </c>
      <c r="B95" s="27">
        <v>95</v>
      </c>
      <c r="C95" s="27">
        <v>48</v>
      </c>
      <c r="D95" s="27">
        <v>19</v>
      </c>
      <c r="E95" s="30" t="s">
        <v>80</v>
      </c>
      <c r="F95" s="305"/>
      <c r="G95" s="30" t="s">
        <v>523</v>
      </c>
      <c r="H95" s="31" t="s">
        <v>401</v>
      </c>
      <c r="I95" s="47">
        <f t="shared" si="5"/>
        <v>4.3999999999999995</v>
      </c>
      <c r="J95" s="41">
        <v>4.2145593869731801</v>
      </c>
      <c r="K95" s="45" t="s">
        <v>73</v>
      </c>
      <c r="L95" s="45" t="s">
        <v>73</v>
      </c>
      <c r="M95" s="45" t="s">
        <v>73</v>
      </c>
      <c r="N95" s="42">
        <v>62.98</v>
      </c>
      <c r="O95" s="42">
        <v>63.5</v>
      </c>
      <c r="P95" s="42">
        <v>63.49</v>
      </c>
      <c r="Q95" s="42">
        <v>63.37</v>
      </c>
      <c r="R95" s="42">
        <f t="shared" si="6"/>
        <v>63.335000000000001</v>
      </c>
      <c r="S95" s="42">
        <v>9.2100000000000009</v>
      </c>
      <c r="T95" s="42">
        <f t="shared" si="8"/>
        <v>0.91423809899739494</v>
      </c>
      <c r="W95" s="32">
        <v>161</v>
      </c>
      <c r="X95" s="32">
        <v>91</v>
      </c>
      <c r="Y95" s="32">
        <v>44</v>
      </c>
      <c r="Z95" s="32">
        <v>15</v>
      </c>
    </row>
    <row r="96" spans="1:26" ht="14.4">
      <c r="A96" s="27">
        <v>166</v>
      </c>
      <c r="B96" s="27">
        <v>96</v>
      </c>
      <c r="C96" s="27">
        <v>49</v>
      </c>
      <c r="D96" s="27">
        <v>20</v>
      </c>
      <c r="E96" s="30" t="s">
        <v>80</v>
      </c>
      <c r="F96" s="305"/>
      <c r="G96" s="30" t="s">
        <v>523</v>
      </c>
      <c r="H96" s="31" t="s">
        <v>403</v>
      </c>
      <c r="I96" s="47">
        <f t="shared" si="5"/>
        <v>4.3999999999999995</v>
      </c>
      <c r="J96" s="41">
        <v>4.2145593869731801</v>
      </c>
      <c r="K96" s="45" t="s">
        <v>73</v>
      </c>
      <c r="L96" s="45" t="s">
        <v>73</v>
      </c>
      <c r="M96" s="45" t="s">
        <v>73</v>
      </c>
      <c r="N96" s="42">
        <v>63.36</v>
      </c>
      <c r="O96" s="42">
        <v>63.63</v>
      </c>
      <c r="P96" s="42">
        <v>63.64</v>
      </c>
      <c r="Q96" s="42">
        <v>63.39</v>
      </c>
      <c r="R96" s="42">
        <f t="shared" si="6"/>
        <v>63.504999999999995</v>
      </c>
      <c r="S96" s="42">
        <v>8.76</v>
      </c>
      <c r="T96" s="42">
        <f t="shared" si="8"/>
        <v>0.86724068970947177</v>
      </c>
      <c r="W96" s="32">
        <v>161</v>
      </c>
      <c r="X96" s="32">
        <v>91</v>
      </c>
      <c r="Y96" s="32">
        <v>44</v>
      </c>
      <c r="Z96" s="32">
        <v>15</v>
      </c>
    </row>
    <row r="97" spans="1:26" ht="14.4">
      <c r="A97" s="27">
        <v>167</v>
      </c>
      <c r="B97" s="27">
        <v>97</v>
      </c>
      <c r="C97" s="27">
        <v>50</v>
      </c>
      <c r="D97" s="27">
        <v>21</v>
      </c>
      <c r="E97" s="30" t="s">
        <v>80</v>
      </c>
      <c r="F97" s="305"/>
      <c r="G97" s="30" t="s">
        <v>523</v>
      </c>
      <c r="H97" s="31" t="s">
        <v>404</v>
      </c>
      <c r="I97" s="47">
        <f t="shared" si="5"/>
        <v>4.3999999999999995</v>
      </c>
      <c r="J97" s="41">
        <v>4.2145593869731801</v>
      </c>
      <c r="K97" s="45" t="s">
        <v>73</v>
      </c>
      <c r="L97" s="45" t="s">
        <v>73</v>
      </c>
      <c r="M97" s="45" t="s">
        <v>73</v>
      </c>
      <c r="N97" s="42">
        <v>63.3</v>
      </c>
      <c r="O97" s="42">
        <v>63.49</v>
      </c>
      <c r="P97" s="42">
        <v>63.78</v>
      </c>
      <c r="Q97" s="42">
        <v>63.53</v>
      </c>
      <c r="R97" s="42">
        <f t="shared" si="6"/>
        <v>63.524999999999999</v>
      </c>
      <c r="S97" s="42">
        <v>9.6300000000000008</v>
      </c>
      <c r="T97" s="42">
        <f t="shared" si="8"/>
        <v>0.95307060212514771</v>
      </c>
      <c r="W97" s="32">
        <v>161</v>
      </c>
      <c r="X97" s="32">
        <v>91</v>
      </c>
      <c r="Y97" s="32">
        <v>44</v>
      </c>
      <c r="Z97" s="32">
        <v>15</v>
      </c>
    </row>
    <row r="98" spans="1:26" ht="14.4">
      <c r="A98" s="27">
        <v>168</v>
      </c>
      <c r="B98" s="27">
        <v>98</v>
      </c>
      <c r="C98" s="27">
        <v>51</v>
      </c>
      <c r="D98" s="27">
        <v>22</v>
      </c>
      <c r="E98" s="30" t="s">
        <v>80</v>
      </c>
      <c r="F98" s="305"/>
      <c r="G98" s="30" t="s">
        <v>314</v>
      </c>
      <c r="H98" s="31" t="s">
        <v>397</v>
      </c>
      <c r="I98" s="47">
        <f t="shared" si="5"/>
        <v>4.3999999999999995</v>
      </c>
      <c r="J98" s="41">
        <v>4.2145593869731801</v>
      </c>
      <c r="K98" s="45">
        <v>1233.5</v>
      </c>
      <c r="L98" s="45">
        <v>732.1</v>
      </c>
      <c r="M98" s="45">
        <v>1237.5999999999999</v>
      </c>
      <c r="N98" s="32">
        <v>64.78</v>
      </c>
      <c r="O98" s="32">
        <v>64.95</v>
      </c>
      <c r="P98" s="32">
        <v>64.900000000000006</v>
      </c>
      <c r="Q98" s="32">
        <v>64.709999999999994</v>
      </c>
      <c r="R98" s="32">
        <v>64.834999999999994</v>
      </c>
      <c r="S98" s="32">
        <v>10.92</v>
      </c>
      <c r="T98" s="42">
        <f t="shared" si="8"/>
        <v>1.0589039870440349</v>
      </c>
      <c r="U98" s="34">
        <f>V98/V99</f>
        <v>0.93806070357498084</v>
      </c>
      <c r="V98" s="32">
        <f>AVERAGE(T98,T99,T101,T103)</f>
        <v>1.0342076195608396</v>
      </c>
      <c r="W98" s="32">
        <v>258</v>
      </c>
      <c r="X98" s="32">
        <v>72</v>
      </c>
      <c r="Y98" s="32">
        <v>47.6</v>
      </c>
      <c r="Z98" s="32">
        <v>8.1999999999999993</v>
      </c>
    </row>
    <row r="99" spans="1:26" ht="14.4">
      <c r="A99" s="27">
        <v>169</v>
      </c>
      <c r="B99" s="27">
        <v>99</v>
      </c>
      <c r="C99" s="27">
        <v>52</v>
      </c>
      <c r="D99" s="27">
        <v>23</v>
      </c>
      <c r="E99" s="30" t="s">
        <v>80</v>
      </c>
      <c r="F99" s="305"/>
      <c r="G99" s="30" t="s">
        <v>314</v>
      </c>
      <c r="H99" s="31" t="s">
        <v>378</v>
      </c>
      <c r="I99" s="47">
        <f t="shared" si="5"/>
        <v>4.3999999999999995</v>
      </c>
      <c r="J99" s="41">
        <v>4.2145593869731801</v>
      </c>
      <c r="K99" s="45">
        <v>1200.9000000000001</v>
      </c>
      <c r="L99" s="45">
        <v>709.1</v>
      </c>
      <c r="M99" s="45">
        <v>1205.4000000000001</v>
      </c>
      <c r="N99" s="32">
        <v>63.05</v>
      </c>
      <c r="O99" s="32">
        <v>62.86</v>
      </c>
      <c r="P99" s="32">
        <v>62.98</v>
      </c>
      <c r="Q99" s="32">
        <v>63.22</v>
      </c>
      <c r="R99" s="32">
        <v>63.027500000000003</v>
      </c>
      <c r="S99" s="32">
        <v>10.72</v>
      </c>
      <c r="T99" s="42">
        <f t="shared" si="8"/>
        <v>1.0693211693308478</v>
      </c>
      <c r="V99" s="32">
        <f>AVERAGE(T100,T102,T104)</f>
        <v>1.1024954095395316</v>
      </c>
      <c r="W99" s="32">
        <v>258</v>
      </c>
      <c r="X99" s="32">
        <v>72</v>
      </c>
      <c r="Y99" s="32">
        <v>47.6</v>
      </c>
      <c r="Z99" s="32">
        <v>8.1999999999999993</v>
      </c>
    </row>
    <row r="100" spans="1:26" ht="14.4">
      <c r="A100" s="27">
        <v>170</v>
      </c>
      <c r="B100" s="27">
        <v>100</v>
      </c>
      <c r="C100" s="27">
        <v>53</v>
      </c>
      <c r="D100" s="27">
        <v>24</v>
      </c>
      <c r="E100" s="30" t="s">
        <v>80</v>
      </c>
      <c r="F100" s="305"/>
      <c r="G100" s="30" t="s">
        <v>314</v>
      </c>
      <c r="H100" s="31" t="s">
        <v>296</v>
      </c>
      <c r="I100" s="47">
        <f t="shared" si="5"/>
        <v>4.3999999999999995</v>
      </c>
      <c r="J100" s="41">
        <v>4.2145593869731801</v>
      </c>
      <c r="K100" s="45">
        <v>1221</v>
      </c>
      <c r="L100" s="45">
        <v>715.3</v>
      </c>
      <c r="M100" s="45">
        <v>1214.4000000000001</v>
      </c>
      <c r="N100" s="32">
        <v>63.8</v>
      </c>
      <c r="O100" s="32">
        <v>63.9</v>
      </c>
      <c r="P100" s="32">
        <v>63.8</v>
      </c>
      <c r="Q100" s="32">
        <v>64.16</v>
      </c>
      <c r="R100" s="32">
        <v>63.914999999999999</v>
      </c>
      <c r="S100" s="32">
        <v>11.76</v>
      </c>
      <c r="T100" s="42">
        <f t="shared" si="8"/>
        <v>1.1567725885942266</v>
      </c>
      <c r="W100" s="32">
        <v>258</v>
      </c>
      <c r="X100" s="32">
        <v>72</v>
      </c>
      <c r="Y100" s="32">
        <v>47.6</v>
      </c>
      <c r="Z100" s="32">
        <v>8.1999999999999993</v>
      </c>
    </row>
    <row r="101" spans="1:26" ht="14.4">
      <c r="A101" s="27">
        <v>171</v>
      </c>
      <c r="B101" s="27">
        <v>101</v>
      </c>
      <c r="C101" s="27">
        <v>54</v>
      </c>
      <c r="D101" s="27">
        <v>25</v>
      </c>
      <c r="E101" s="30" t="s">
        <v>80</v>
      </c>
      <c r="F101" s="305"/>
      <c r="G101" s="30" t="s">
        <v>314</v>
      </c>
      <c r="H101" s="31" t="s">
        <v>381</v>
      </c>
      <c r="I101" s="47">
        <f t="shared" si="5"/>
        <v>4.3999999999999995</v>
      </c>
      <c r="J101" s="41">
        <v>4.2145593869731801</v>
      </c>
      <c r="K101" s="45">
        <v>1205.8</v>
      </c>
      <c r="L101" s="45">
        <v>712.8</v>
      </c>
      <c r="M101" s="45">
        <v>1211.3</v>
      </c>
      <c r="N101" s="32">
        <v>63.67</v>
      </c>
      <c r="O101" s="32">
        <v>63.78</v>
      </c>
      <c r="P101" s="32">
        <v>64.260000000000005</v>
      </c>
      <c r="Q101" s="32">
        <v>63.64</v>
      </c>
      <c r="R101" s="32">
        <v>63.837499999999999</v>
      </c>
      <c r="S101" s="32">
        <v>10.42</v>
      </c>
      <c r="T101" s="42">
        <f t="shared" si="8"/>
        <v>1.0262077932249851</v>
      </c>
      <c r="W101" s="32">
        <v>258</v>
      </c>
      <c r="X101" s="32">
        <v>72</v>
      </c>
      <c r="Y101" s="32">
        <v>47.6</v>
      </c>
      <c r="Z101" s="32">
        <v>8.1999999999999993</v>
      </c>
    </row>
    <row r="102" spans="1:26" ht="14.4">
      <c r="A102" s="27">
        <v>161</v>
      </c>
      <c r="B102" s="27">
        <v>91</v>
      </c>
      <c r="C102" s="27">
        <v>44</v>
      </c>
      <c r="D102" s="27">
        <v>15</v>
      </c>
      <c r="E102" s="30" t="s">
        <v>80</v>
      </c>
      <c r="F102" s="305"/>
      <c r="G102" s="30" t="s">
        <v>314</v>
      </c>
      <c r="H102" s="31" t="s">
        <v>298</v>
      </c>
      <c r="I102" s="47">
        <f t="shared" si="5"/>
        <v>4.3999999999999995</v>
      </c>
      <c r="J102" s="41">
        <v>4.2145593869731801</v>
      </c>
      <c r="K102" s="45">
        <v>1203.7</v>
      </c>
      <c r="L102" s="45">
        <v>711</v>
      </c>
      <c r="M102" s="45">
        <v>1210.5999999999999</v>
      </c>
      <c r="N102" s="32">
        <v>64.38</v>
      </c>
      <c r="O102" s="32">
        <v>64.510000000000005</v>
      </c>
      <c r="P102" s="32">
        <v>64.58</v>
      </c>
      <c r="Q102" s="32">
        <v>64.489999999999995</v>
      </c>
      <c r="R102" s="32">
        <v>64.489999999999995</v>
      </c>
      <c r="S102" s="32">
        <v>12.15</v>
      </c>
      <c r="T102" s="42">
        <f t="shared" si="8"/>
        <v>1.1844789889905414</v>
      </c>
      <c r="W102" s="32">
        <v>258</v>
      </c>
      <c r="X102" s="32">
        <v>72</v>
      </c>
      <c r="Y102" s="32">
        <v>47.6</v>
      </c>
      <c r="Z102" s="32">
        <v>8.1999999999999993</v>
      </c>
    </row>
    <row r="103" spans="1:26" ht="14.4">
      <c r="A103" s="27">
        <v>161</v>
      </c>
      <c r="B103" s="27">
        <v>91</v>
      </c>
      <c r="C103" s="27">
        <v>44</v>
      </c>
      <c r="D103" s="27">
        <v>15</v>
      </c>
      <c r="E103" s="30" t="s">
        <v>80</v>
      </c>
      <c r="F103" s="305"/>
      <c r="G103" s="30" t="s">
        <v>314</v>
      </c>
      <c r="H103" s="31" t="s">
        <v>403</v>
      </c>
      <c r="I103" s="47">
        <f t="shared" si="5"/>
        <v>4.3999999999999995</v>
      </c>
      <c r="J103" s="41">
        <v>4.2145593869731801</v>
      </c>
      <c r="K103" s="45">
        <v>1194</v>
      </c>
      <c r="L103" s="45">
        <v>706.7</v>
      </c>
      <c r="M103" s="45">
        <v>1201.9000000000001</v>
      </c>
      <c r="N103" s="32">
        <v>63.94</v>
      </c>
      <c r="O103" s="32">
        <v>64.150000000000006</v>
      </c>
      <c r="P103" s="32">
        <v>63.67</v>
      </c>
      <c r="Q103" s="32">
        <v>63.97</v>
      </c>
      <c r="R103" s="32">
        <v>63.932499999999997</v>
      </c>
      <c r="S103" s="32">
        <v>9.99</v>
      </c>
      <c r="T103" s="42">
        <f t="shared" si="8"/>
        <v>0.98239752864349128</v>
      </c>
      <c r="W103" s="32">
        <v>258</v>
      </c>
      <c r="X103" s="32">
        <v>72</v>
      </c>
      <c r="Y103" s="32">
        <v>47.6</v>
      </c>
      <c r="Z103" s="32">
        <v>8.1999999999999993</v>
      </c>
    </row>
    <row r="104" spans="1:26" ht="14.4">
      <c r="A104" s="27">
        <v>161</v>
      </c>
      <c r="B104" s="27">
        <v>91</v>
      </c>
      <c r="C104" s="27">
        <v>44</v>
      </c>
      <c r="D104" s="27">
        <v>15</v>
      </c>
      <c r="E104" s="30" t="s">
        <v>80</v>
      </c>
      <c r="F104" s="306"/>
      <c r="G104" s="30" t="s">
        <v>314</v>
      </c>
      <c r="H104" s="31" t="s">
        <v>404</v>
      </c>
      <c r="I104" s="47">
        <f t="shared" si="5"/>
        <v>4.3999999999999995</v>
      </c>
      <c r="J104" s="41">
        <v>4.2145593869731801</v>
      </c>
      <c r="K104" s="45">
        <v>1182</v>
      </c>
      <c r="L104" s="45">
        <v>699.5</v>
      </c>
      <c r="M104" s="45">
        <v>1187.5</v>
      </c>
      <c r="N104" s="32">
        <v>63.16</v>
      </c>
      <c r="O104" s="32">
        <v>63.12</v>
      </c>
      <c r="P104" s="32">
        <v>63.18</v>
      </c>
      <c r="Q104" s="32">
        <v>63</v>
      </c>
      <c r="R104" s="32">
        <v>63.115000000000002</v>
      </c>
      <c r="S104" s="32">
        <v>9.6999999999999993</v>
      </c>
      <c r="T104" s="42">
        <f t="shared" si="8"/>
        <v>0.966234651033827</v>
      </c>
      <c r="W104" s="32">
        <v>258</v>
      </c>
      <c r="X104" s="32">
        <v>72</v>
      </c>
      <c r="Y104" s="32">
        <v>47.6</v>
      </c>
      <c r="Z104" s="32">
        <v>8.1999999999999993</v>
      </c>
    </row>
    <row r="105" spans="1:26" ht="14.4">
      <c r="A105" s="27">
        <v>161</v>
      </c>
      <c r="B105" s="27">
        <v>91</v>
      </c>
      <c r="C105" s="27">
        <v>44</v>
      </c>
      <c r="D105" s="27">
        <v>15</v>
      </c>
      <c r="E105" s="30" t="s">
        <v>83</v>
      </c>
      <c r="F105" s="304" t="s">
        <v>197</v>
      </c>
      <c r="G105" s="30" t="s">
        <v>398</v>
      </c>
      <c r="H105" s="31" t="s">
        <v>397</v>
      </c>
      <c r="I105" s="47">
        <f t="shared" si="5"/>
        <v>4.5041279130525647</v>
      </c>
      <c r="J105" s="32">
        <v>4.3099999999999996</v>
      </c>
      <c r="K105" s="45" t="s">
        <v>73</v>
      </c>
      <c r="L105" s="45" t="s">
        <v>73</v>
      </c>
      <c r="M105" s="45" t="s">
        <v>73</v>
      </c>
      <c r="N105" s="32">
        <v>62.46</v>
      </c>
      <c r="O105" s="32">
        <v>62.23</v>
      </c>
      <c r="P105" s="32">
        <v>62.22</v>
      </c>
      <c r="Q105" s="32">
        <v>62.64</v>
      </c>
      <c r="R105" s="32">
        <v>62.387500000000003</v>
      </c>
      <c r="S105" s="32">
        <v>5.9</v>
      </c>
      <c r="T105" s="42">
        <f t="shared" si="8"/>
        <v>0.5945630134241634</v>
      </c>
      <c r="U105" s="34">
        <f>V105/V106</f>
        <v>0.87205776065698992</v>
      </c>
      <c r="V105" s="32">
        <f>AVERAGE(T105,T107,T109)</f>
        <v>0.57004383414365745</v>
      </c>
      <c r="W105" s="32">
        <v>161</v>
      </c>
      <c r="X105" s="32">
        <v>91</v>
      </c>
      <c r="Y105" s="32">
        <v>44</v>
      </c>
      <c r="Z105" s="32">
        <v>15</v>
      </c>
    </row>
    <row r="106" spans="1:26" ht="14.4">
      <c r="A106" s="27">
        <v>161</v>
      </c>
      <c r="B106" s="27">
        <v>91</v>
      </c>
      <c r="C106" s="27">
        <v>44</v>
      </c>
      <c r="D106" s="27">
        <v>15</v>
      </c>
      <c r="E106" s="30" t="s">
        <v>83</v>
      </c>
      <c r="F106" s="305"/>
      <c r="G106" s="30" t="s">
        <v>398</v>
      </c>
      <c r="H106" s="31" t="s">
        <v>295</v>
      </c>
      <c r="I106" s="47">
        <f t="shared" si="5"/>
        <v>4.5041279130525647</v>
      </c>
      <c r="J106" s="32">
        <v>4.3099999999999996</v>
      </c>
      <c r="K106" s="45" t="s">
        <v>73</v>
      </c>
      <c r="L106" s="45" t="s">
        <v>73</v>
      </c>
      <c r="M106" s="45" t="s">
        <v>73</v>
      </c>
      <c r="N106" s="32">
        <v>62.88</v>
      </c>
      <c r="O106" s="32">
        <v>63.06</v>
      </c>
      <c r="P106" s="32">
        <v>63.05</v>
      </c>
      <c r="Q106" s="32">
        <v>63.92</v>
      </c>
      <c r="R106" s="32">
        <v>63.227499999999999</v>
      </c>
      <c r="S106" s="32">
        <v>6.79</v>
      </c>
      <c r="T106" s="42">
        <f t="shared" si="8"/>
        <v>0.67516080819263768</v>
      </c>
      <c r="V106" s="32">
        <f>AVERAGE(T106,T108,T110)</f>
        <v>0.65367669420681318</v>
      </c>
      <c r="W106" s="32">
        <v>161</v>
      </c>
      <c r="X106" s="32">
        <v>91</v>
      </c>
      <c r="Y106" s="32">
        <v>44</v>
      </c>
      <c r="Z106" s="32">
        <v>15</v>
      </c>
    </row>
    <row r="107" spans="1:26" ht="14.4">
      <c r="A107" s="27">
        <v>144</v>
      </c>
      <c r="B107" s="27">
        <v>107.8</v>
      </c>
      <c r="C107" s="27">
        <v>43.95</v>
      </c>
      <c r="D107" s="27">
        <v>60.3</v>
      </c>
      <c r="E107" s="30" t="s">
        <v>83</v>
      </c>
      <c r="F107" s="305"/>
      <c r="G107" s="30" t="s">
        <v>398</v>
      </c>
      <c r="H107" s="31" t="s">
        <v>399</v>
      </c>
      <c r="I107" s="47">
        <f t="shared" si="5"/>
        <v>4.5041279130525647</v>
      </c>
      <c r="J107" s="32">
        <v>4.3099999999999996</v>
      </c>
      <c r="K107" s="45" t="s">
        <v>73</v>
      </c>
      <c r="L107" s="45" t="s">
        <v>73</v>
      </c>
      <c r="M107" s="45" t="s">
        <v>73</v>
      </c>
      <c r="N107" s="32">
        <v>63.32</v>
      </c>
      <c r="O107" s="32">
        <v>63.34</v>
      </c>
      <c r="P107" s="32">
        <v>63.53</v>
      </c>
      <c r="Q107" s="32">
        <v>63.64</v>
      </c>
      <c r="R107" s="32">
        <v>63.457500000000003</v>
      </c>
      <c r="S107" s="32">
        <v>5.99</v>
      </c>
      <c r="T107" s="42">
        <f t="shared" si="8"/>
        <v>0.59345435921679857</v>
      </c>
      <c r="W107" s="32">
        <v>161</v>
      </c>
      <c r="X107" s="32">
        <v>91</v>
      </c>
      <c r="Y107" s="32">
        <v>44</v>
      </c>
      <c r="Z107" s="32">
        <v>15</v>
      </c>
    </row>
    <row r="108" spans="1:26" ht="14.4">
      <c r="A108" s="27">
        <v>144</v>
      </c>
      <c r="B108" s="27">
        <v>107.8</v>
      </c>
      <c r="C108" s="27">
        <v>43.95</v>
      </c>
      <c r="D108" s="27">
        <v>60.3</v>
      </c>
      <c r="E108" s="30" t="s">
        <v>83</v>
      </c>
      <c r="F108" s="305"/>
      <c r="G108" s="30" t="s">
        <v>398</v>
      </c>
      <c r="H108" s="31" t="s">
        <v>297</v>
      </c>
      <c r="I108" s="47">
        <f t="shared" si="5"/>
        <v>4.5041279130525647</v>
      </c>
      <c r="J108" s="32">
        <v>4.3099999999999996</v>
      </c>
      <c r="K108" s="45" t="s">
        <v>73</v>
      </c>
      <c r="L108" s="45" t="s">
        <v>73</v>
      </c>
      <c r="M108" s="45" t="s">
        <v>73</v>
      </c>
      <c r="N108" s="32">
        <v>62.61</v>
      </c>
      <c r="O108" s="32">
        <v>62.42</v>
      </c>
      <c r="P108" s="32">
        <v>62.64</v>
      </c>
      <c r="Q108" s="32">
        <v>62.84</v>
      </c>
      <c r="R108" s="32">
        <v>62.627499999999998</v>
      </c>
      <c r="S108" s="32">
        <v>6.25</v>
      </c>
      <c r="T108" s="42">
        <f t="shared" si="8"/>
        <v>0.62742006307133458</v>
      </c>
      <c r="W108" s="32">
        <v>161</v>
      </c>
      <c r="X108" s="32">
        <v>91</v>
      </c>
      <c r="Y108" s="32">
        <v>44</v>
      </c>
      <c r="Z108" s="32">
        <v>15</v>
      </c>
    </row>
    <row r="109" spans="1:26" ht="14.4">
      <c r="A109" s="27">
        <v>144</v>
      </c>
      <c r="B109" s="27">
        <v>107.8</v>
      </c>
      <c r="C109" s="27">
        <v>43.95</v>
      </c>
      <c r="D109" s="27">
        <v>60.3</v>
      </c>
      <c r="E109" s="30" t="s">
        <v>83</v>
      </c>
      <c r="F109" s="305"/>
      <c r="G109" s="30" t="s">
        <v>398</v>
      </c>
      <c r="H109" s="31" t="s">
        <v>401</v>
      </c>
      <c r="I109" s="47">
        <f t="shared" si="5"/>
        <v>4.5041279130525647</v>
      </c>
      <c r="J109" s="32">
        <v>4.3099999999999996</v>
      </c>
      <c r="K109" s="45" t="s">
        <v>73</v>
      </c>
      <c r="L109" s="45" t="s">
        <v>73</v>
      </c>
      <c r="M109" s="45" t="s">
        <v>73</v>
      </c>
      <c r="N109" s="32">
        <v>63.12</v>
      </c>
      <c r="O109" s="32">
        <v>63.3</v>
      </c>
      <c r="P109" s="32">
        <v>63.31</v>
      </c>
      <c r="Q109" s="32">
        <v>63.14</v>
      </c>
      <c r="R109" s="32">
        <v>63.217500000000001</v>
      </c>
      <c r="S109" s="32">
        <v>5.25</v>
      </c>
      <c r="T109" s="42">
        <f t="shared" si="8"/>
        <v>0.52211412979001059</v>
      </c>
      <c r="W109" s="32">
        <v>161</v>
      </c>
      <c r="X109" s="32">
        <v>91</v>
      </c>
      <c r="Y109" s="32">
        <v>44</v>
      </c>
      <c r="Z109" s="32">
        <v>15</v>
      </c>
    </row>
    <row r="110" spans="1:26" ht="14.4">
      <c r="A110" s="27">
        <v>144</v>
      </c>
      <c r="B110" s="27">
        <v>107.8</v>
      </c>
      <c r="C110" s="27">
        <v>43.95</v>
      </c>
      <c r="D110" s="27">
        <v>60.3</v>
      </c>
      <c r="E110" s="30" t="s">
        <v>83</v>
      </c>
      <c r="F110" s="305"/>
      <c r="G110" s="30" t="s">
        <v>398</v>
      </c>
      <c r="H110" s="31" t="s">
        <v>299</v>
      </c>
      <c r="I110" s="47">
        <f t="shared" si="5"/>
        <v>4.5041279130525647</v>
      </c>
      <c r="J110" s="32">
        <v>4.3099999999999996</v>
      </c>
      <c r="K110" s="45" t="s">
        <v>73</v>
      </c>
      <c r="L110" s="45" t="s">
        <v>73</v>
      </c>
      <c r="M110" s="45" t="s">
        <v>73</v>
      </c>
      <c r="N110" s="32">
        <v>63.35</v>
      </c>
      <c r="O110" s="32">
        <v>63.48</v>
      </c>
      <c r="P110" s="32">
        <v>63.46</v>
      </c>
      <c r="Q110" s="32">
        <v>63.31</v>
      </c>
      <c r="R110" s="32">
        <v>63.4</v>
      </c>
      <c r="S110" s="32">
        <v>6.64</v>
      </c>
      <c r="T110" s="42">
        <f t="shared" si="8"/>
        <v>0.65844921135646695</v>
      </c>
      <c r="W110" s="32">
        <v>161</v>
      </c>
      <c r="X110" s="32">
        <v>91</v>
      </c>
      <c r="Y110" s="32">
        <v>44</v>
      </c>
      <c r="Z110" s="32">
        <v>15</v>
      </c>
    </row>
    <row r="111" spans="1:26" ht="14.4">
      <c r="A111" s="27">
        <v>144</v>
      </c>
      <c r="B111" s="27">
        <v>107.8</v>
      </c>
      <c r="C111" s="27">
        <v>43.95</v>
      </c>
      <c r="D111" s="27">
        <v>60.3</v>
      </c>
      <c r="E111" s="30" t="s">
        <v>83</v>
      </c>
      <c r="F111" s="305"/>
      <c r="G111" s="30" t="s">
        <v>317</v>
      </c>
      <c r="H111" s="31" t="s">
        <v>397</v>
      </c>
      <c r="I111" s="47">
        <f t="shared" si="5"/>
        <v>4.5041279130525647</v>
      </c>
      <c r="J111" s="32">
        <v>4.3099999999999996</v>
      </c>
      <c r="K111" s="45" t="s">
        <v>73</v>
      </c>
      <c r="L111" s="45" t="s">
        <v>73</v>
      </c>
      <c r="M111" s="45" t="s">
        <v>73</v>
      </c>
      <c r="N111" s="32">
        <v>62.71</v>
      </c>
      <c r="O111" s="32">
        <v>62.95</v>
      </c>
      <c r="P111" s="32">
        <v>62.61</v>
      </c>
      <c r="Q111" s="32">
        <v>62.66</v>
      </c>
      <c r="R111" s="32">
        <v>62.732500000000002</v>
      </c>
      <c r="S111" s="32">
        <v>5.0599999999999996</v>
      </c>
      <c r="T111" s="42">
        <f t="shared" si="8"/>
        <v>0.50710907424381291</v>
      </c>
      <c r="U111" s="34">
        <f>V111/V112</f>
        <v>0.86612955055050023</v>
      </c>
      <c r="V111" s="32">
        <f>AVERAGE(T111,T113,T115)</f>
        <v>0.53219381897358675</v>
      </c>
      <c r="W111" s="32">
        <v>161</v>
      </c>
      <c r="X111" s="32">
        <v>91</v>
      </c>
      <c r="Y111" s="32">
        <v>44</v>
      </c>
      <c r="Z111" s="32">
        <v>15</v>
      </c>
    </row>
    <row r="112" spans="1:26" ht="14.4">
      <c r="A112" s="27">
        <v>111</v>
      </c>
      <c r="B112" s="27">
        <v>124</v>
      </c>
      <c r="C112" s="27">
        <v>41.5</v>
      </c>
      <c r="D112" s="27">
        <v>56</v>
      </c>
      <c r="E112" s="30" t="s">
        <v>83</v>
      </c>
      <c r="F112" s="305"/>
      <c r="G112" s="30" t="s">
        <v>317</v>
      </c>
      <c r="H112" s="31" t="s">
        <v>295</v>
      </c>
      <c r="I112" s="47">
        <f t="shared" si="5"/>
        <v>4.5041279130525647</v>
      </c>
      <c r="J112" s="32">
        <v>4.3099999999999996</v>
      </c>
      <c r="K112" s="45" t="s">
        <v>73</v>
      </c>
      <c r="L112" s="45" t="s">
        <v>73</v>
      </c>
      <c r="M112" s="45" t="s">
        <v>73</v>
      </c>
      <c r="N112" s="32">
        <v>63.37</v>
      </c>
      <c r="O112" s="32">
        <v>63.29</v>
      </c>
      <c r="P112" s="32">
        <v>63.14</v>
      </c>
      <c r="Q112" s="32">
        <v>63.09</v>
      </c>
      <c r="R112" s="32">
        <v>63.222499999999997</v>
      </c>
      <c r="S112" s="32">
        <v>6.19</v>
      </c>
      <c r="T112" s="42">
        <f t="shared" si="8"/>
        <v>0.61554873660484799</v>
      </c>
      <c r="V112" s="32">
        <f>AVERAGE(T112,T114,T116)</f>
        <v>0.61445059649024969</v>
      </c>
      <c r="W112" s="32">
        <v>161</v>
      </c>
      <c r="X112" s="32">
        <v>91</v>
      </c>
      <c r="Y112" s="32">
        <v>44</v>
      </c>
      <c r="Z112" s="32">
        <v>15</v>
      </c>
    </row>
    <row r="113" spans="1:26" ht="14.4">
      <c r="A113" s="27">
        <v>111</v>
      </c>
      <c r="B113" s="27">
        <v>124</v>
      </c>
      <c r="C113" s="27">
        <v>41.5</v>
      </c>
      <c r="D113" s="27">
        <v>56</v>
      </c>
      <c r="E113" s="30" t="s">
        <v>83</v>
      </c>
      <c r="F113" s="305"/>
      <c r="G113" s="30" t="s">
        <v>317</v>
      </c>
      <c r="H113" s="31" t="s">
        <v>399</v>
      </c>
      <c r="I113" s="47">
        <f t="shared" si="5"/>
        <v>4.5041279130525647</v>
      </c>
      <c r="J113" s="32">
        <v>4.3099999999999996</v>
      </c>
      <c r="K113" s="45" t="s">
        <v>73</v>
      </c>
      <c r="L113" s="45" t="s">
        <v>73</v>
      </c>
      <c r="M113" s="45" t="s">
        <v>73</v>
      </c>
      <c r="N113" s="32">
        <v>63.21</v>
      </c>
      <c r="O113" s="32">
        <v>63.46</v>
      </c>
      <c r="P113" s="32">
        <v>63.39</v>
      </c>
      <c r="Q113" s="32">
        <v>63.27</v>
      </c>
      <c r="R113" s="32">
        <v>63.332500000000003</v>
      </c>
      <c r="S113" s="32">
        <v>5.12</v>
      </c>
      <c r="T113" s="42">
        <f t="shared" si="8"/>
        <v>0.50826100343425562</v>
      </c>
      <c r="W113" s="32">
        <v>161</v>
      </c>
      <c r="X113" s="32">
        <v>91</v>
      </c>
      <c r="Y113" s="32">
        <v>44</v>
      </c>
      <c r="Z113" s="32">
        <v>15</v>
      </c>
    </row>
    <row r="114" spans="1:26" ht="14.4">
      <c r="A114" s="27">
        <v>111</v>
      </c>
      <c r="B114" s="27">
        <v>124</v>
      </c>
      <c r="C114" s="27">
        <v>41.5</v>
      </c>
      <c r="D114" s="27">
        <v>56</v>
      </c>
      <c r="E114" s="30" t="s">
        <v>83</v>
      </c>
      <c r="F114" s="305"/>
      <c r="G114" s="30" t="s">
        <v>317</v>
      </c>
      <c r="H114" s="31" t="s">
        <v>297</v>
      </c>
      <c r="I114" s="47">
        <f t="shared" si="5"/>
        <v>4.5041279130525647</v>
      </c>
      <c r="J114" s="32">
        <v>4.3099999999999996</v>
      </c>
      <c r="K114" s="45" t="s">
        <v>73</v>
      </c>
      <c r="L114" s="45" t="s">
        <v>73</v>
      </c>
      <c r="M114" s="45" t="s">
        <v>73</v>
      </c>
      <c r="N114" s="32">
        <v>63.05</v>
      </c>
      <c r="O114" s="32">
        <v>63.19</v>
      </c>
      <c r="P114" s="32">
        <v>63.35</v>
      </c>
      <c r="Q114" s="32">
        <v>63.26</v>
      </c>
      <c r="R114" s="32">
        <v>63.212499999999999</v>
      </c>
      <c r="S114" s="32">
        <v>6.84</v>
      </c>
      <c r="T114" s="42">
        <f t="shared" si="8"/>
        <v>0.68029392920703968</v>
      </c>
      <c r="W114" s="32">
        <v>161</v>
      </c>
      <c r="X114" s="32">
        <v>91</v>
      </c>
      <c r="Y114" s="32">
        <v>44</v>
      </c>
      <c r="Z114" s="32">
        <v>15</v>
      </c>
    </row>
    <row r="115" spans="1:26" ht="14.4">
      <c r="A115" s="27">
        <v>111</v>
      </c>
      <c r="B115" s="27">
        <v>124</v>
      </c>
      <c r="C115" s="27">
        <v>41.5</v>
      </c>
      <c r="D115" s="27">
        <v>56</v>
      </c>
      <c r="E115" s="30" t="s">
        <v>83</v>
      </c>
      <c r="F115" s="305"/>
      <c r="G115" s="30" t="s">
        <v>317</v>
      </c>
      <c r="H115" s="31" t="s">
        <v>401</v>
      </c>
      <c r="I115" s="47">
        <f t="shared" si="5"/>
        <v>4.5041279130525647</v>
      </c>
      <c r="J115" s="32">
        <v>4.3099999999999996</v>
      </c>
      <c r="K115" s="45" t="s">
        <v>73</v>
      </c>
      <c r="L115" s="45" t="s">
        <v>73</v>
      </c>
      <c r="M115" s="45" t="s">
        <v>73</v>
      </c>
      <c r="N115" s="32">
        <v>63.7</v>
      </c>
      <c r="O115" s="32">
        <v>63.7</v>
      </c>
      <c r="P115" s="32">
        <v>63.8</v>
      </c>
      <c r="Q115" s="32">
        <v>63.65</v>
      </c>
      <c r="R115" s="32">
        <v>63.712499999999999</v>
      </c>
      <c r="S115" s="32">
        <v>5.89</v>
      </c>
      <c r="T115" s="42">
        <f t="shared" si="8"/>
        <v>0.58121137924269173</v>
      </c>
      <c r="W115" s="32">
        <v>161</v>
      </c>
      <c r="X115" s="32">
        <v>91</v>
      </c>
      <c r="Y115" s="32">
        <v>44</v>
      </c>
      <c r="Z115" s="32">
        <v>15</v>
      </c>
    </row>
    <row r="116" spans="1:26" ht="14.4">
      <c r="A116" s="27">
        <v>111</v>
      </c>
      <c r="B116" s="27">
        <v>124</v>
      </c>
      <c r="C116" s="27">
        <v>41.5</v>
      </c>
      <c r="D116" s="27">
        <v>56</v>
      </c>
      <c r="E116" s="30" t="s">
        <v>83</v>
      </c>
      <c r="F116" s="305"/>
      <c r="G116" s="30" t="s">
        <v>317</v>
      </c>
      <c r="H116" s="31" t="s">
        <v>299</v>
      </c>
      <c r="I116" s="47">
        <f t="shared" si="5"/>
        <v>4.5041279130525647</v>
      </c>
      <c r="J116" s="32">
        <v>4.3099999999999996</v>
      </c>
      <c r="K116" s="45" t="s">
        <v>73</v>
      </c>
      <c r="L116" s="45" t="s">
        <v>73</v>
      </c>
      <c r="M116" s="45" t="s">
        <v>73</v>
      </c>
      <c r="N116" s="32">
        <v>64.58</v>
      </c>
      <c r="O116" s="32">
        <v>63.77</v>
      </c>
      <c r="P116" s="32">
        <v>63.48</v>
      </c>
      <c r="Q116" s="32">
        <v>63.55</v>
      </c>
      <c r="R116" s="32">
        <v>63.844999999999999</v>
      </c>
      <c r="S116" s="32">
        <v>5.56</v>
      </c>
      <c r="T116" s="42">
        <f t="shared" si="8"/>
        <v>0.54750912365886129</v>
      </c>
      <c r="W116" s="32">
        <v>161</v>
      </c>
      <c r="X116" s="32">
        <v>91</v>
      </c>
      <c r="Y116" s="32">
        <v>44</v>
      </c>
      <c r="Z116" s="32">
        <v>15</v>
      </c>
    </row>
    <row r="117" spans="1:26" ht="14.4">
      <c r="A117" s="27">
        <v>161</v>
      </c>
      <c r="B117" s="27">
        <v>91</v>
      </c>
      <c r="C117" s="27">
        <v>44</v>
      </c>
      <c r="D117" s="27">
        <v>15</v>
      </c>
      <c r="E117" s="30" t="s">
        <v>83</v>
      </c>
      <c r="F117" s="305"/>
      <c r="G117" s="30" t="s">
        <v>318</v>
      </c>
      <c r="H117" s="31" t="s">
        <v>397</v>
      </c>
      <c r="I117" s="47">
        <f t="shared" si="5"/>
        <v>4.5041279130525647</v>
      </c>
      <c r="J117" s="32">
        <v>4.3099999999999996</v>
      </c>
      <c r="K117" s="45" t="s">
        <v>73</v>
      </c>
      <c r="L117" s="45" t="s">
        <v>73</v>
      </c>
      <c r="M117" s="45" t="s">
        <v>73</v>
      </c>
      <c r="N117" s="32">
        <v>62.95</v>
      </c>
      <c r="O117" s="32">
        <v>62.93</v>
      </c>
      <c r="P117" s="32">
        <v>63.09</v>
      </c>
      <c r="Q117" s="32">
        <v>63.02</v>
      </c>
      <c r="R117" s="32">
        <v>62.997500000000002</v>
      </c>
      <c r="S117" s="32">
        <v>5.5</v>
      </c>
      <c r="T117" s="42">
        <f t="shared" si="8"/>
        <v>0.54888686058970593</v>
      </c>
      <c r="U117" s="34">
        <f>V117/V118</f>
        <v>0.85681016419692135</v>
      </c>
      <c r="V117" s="32">
        <f>AVERAGE(T117,T119,T121)</f>
        <v>0.54332084757720345</v>
      </c>
      <c r="W117" s="32">
        <v>161</v>
      </c>
      <c r="X117" s="32">
        <v>91</v>
      </c>
      <c r="Y117" s="32">
        <v>44</v>
      </c>
      <c r="Z117" s="32">
        <v>15</v>
      </c>
    </row>
    <row r="118" spans="1:26" ht="14.4">
      <c r="A118" s="27">
        <v>161</v>
      </c>
      <c r="B118" s="27">
        <v>91</v>
      </c>
      <c r="C118" s="27">
        <v>44</v>
      </c>
      <c r="D118" s="27">
        <v>15</v>
      </c>
      <c r="E118" s="30" t="s">
        <v>83</v>
      </c>
      <c r="F118" s="305"/>
      <c r="G118" s="30" t="s">
        <v>318</v>
      </c>
      <c r="H118" s="31" t="s">
        <v>295</v>
      </c>
      <c r="I118" s="47">
        <f t="shared" si="5"/>
        <v>4.5041279130525647</v>
      </c>
      <c r="J118" s="32">
        <v>4.3099999999999996</v>
      </c>
      <c r="K118" s="45" t="s">
        <v>73</v>
      </c>
      <c r="L118" s="45" t="s">
        <v>73</v>
      </c>
      <c r="M118" s="45" t="s">
        <v>73</v>
      </c>
      <c r="N118" s="32">
        <v>63.91</v>
      </c>
      <c r="O118" s="32">
        <v>63.89</v>
      </c>
      <c r="P118" s="32">
        <v>64.03</v>
      </c>
      <c r="Q118" s="32">
        <v>64.099999999999994</v>
      </c>
      <c r="R118" s="32">
        <v>63.982500000000002</v>
      </c>
      <c r="S118" s="32">
        <v>6.35</v>
      </c>
      <c r="T118" s="42">
        <f t="shared" si="8"/>
        <v>0.6239588950103544</v>
      </c>
      <c r="V118" s="32">
        <f>AVERAGE(T118,T120,T122)</f>
        <v>0.6341204508077376</v>
      </c>
      <c r="W118" s="32">
        <v>161</v>
      </c>
      <c r="X118" s="32">
        <v>91</v>
      </c>
      <c r="Y118" s="32">
        <v>44</v>
      </c>
      <c r="Z118" s="32">
        <v>15</v>
      </c>
    </row>
    <row r="119" spans="1:26" ht="14.4">
      <c r="A119" s="27">
        <v>161</v>
      </c>
      <c r="B119" s="27">
        <v>91</v>
      </c>
      <c r="C119" s="27">
        <v>44</v>
      </c>
      <c r="D119" s="27">
        <v>15</v>
      </c>
      <c r="E119" s="30" t="s">
        <v>83</v>
      </c>
      <c r="F119" s="305"/>
      <c r="G119" s="30" t="s">
        <v>318</v>
      </c>
      <c r="H119" s="31" t="s">
        <v>399</v>
      </c>
      <c r="I119" s="47">
        <f t="shared" si="5"/>
        <v>4.5041279130525647</v>
      </c>
      <c r="J119" s="32">
        <v>4.3099999999999996</v>
      </c>
      <c r="K119" s="45" t="s">
        <v>73</v>
      </c>
      <c r="L119" s="45" t="s">
        <v>73</v>
      </c>
      <c r="M119" s="45" t="s">
        <v>73</v>
      </c>
      <c r="N119" s="32">
        <v>62.11</v>
      </c>
      <c r="O119" s="32">
        <v>62.1</v>
      </c>
      <c r="P119" s="32">
        <v>62.3</v>
      </c>
      <c r="Q119" s="32">
        <v>62.25</v>
      </c>
      <c r="R119" s="32">
        <v>62.19</v>
      </c>
      <c r="S119" s="32">
        <v>5.37</v>
      </c>
      <c r="T119" s="42">
        <f t="shared" si="8"/>
        <v>0.54287168355041004</v>
      </c>
      <c r="W119" s="32">
        <v>161</v>
      </c>
      <c r="X119" s="32">
        <v>91</v>
      </c>
      <c r="Y119" s="32">
        <v>44</v>
      </c>
      <c r="Z119" s="32">
        <v>15</v>
      </c>
    </row>
    <row r="120" spans="1:26" ht="14.4">
      <c r="A120" s="27">
        <v>161</v>
      </c>
      <c r="B120" s="27">
        <v>91</v>
      </c>
      <c r="C120" s="27">
        <v>44</v>
      </c>
      <c r="D120" s="27">
        <v>15</v>
      </c>
      <c r="E120" s="30" t="s">
        <v>83</v>
      </c>
      <c r="F120" s="305"/>
      <c r="G120" s="30" t="s">
        <v>318</v>
      </c>
      <c r="H120" s="31" t="s">
        <v>297</v>
      </c>
      <c r="I120" s="47">
        <f t="shared" si="5"/>
        <v>4.5041279130525647</v>
      </c>
      <c r="J120" s="32">
        <v>4.3099999999999996</v>
      </c>
      <c r="K120" s="45" t="s">
        <v>73</v>
      </c>
      <c r="L120" s="45" t="s">
        <v>73</v>
      </c>
      <c r="M120" s="45" t="s">
        <v>73</v>
      </c>
      <c r="N120" s="32">
        <v>63.14</v>
      </c>
      <c r="O120" s="32">
        <v>63.17</v>
      </c>
      <c r="P120" s="32">
        <v>63.39</v>
      </c>
      <c r="Q120" s="32">
        <v>63.37</v>
      </c>
      <c r="R120" s="32">
        <v>63.267499999999998</v>
      </c>
      <c r="S120" s="32">
        <v>6.19</v>
      </c>
      <c r="T120" s="42">
        <f t="shared" si="8"/>
        <v>0.61511091792784611</v>
      </c>
      <c r="W120" s="32">
        <v>161</v>
      </c>
      <c r="X120" s="32">
        <v>91</v>
      </c>
      <c r="Y120" s="32">
        <v>44</v>
      </c>
      <c r="Z120" s="32">
        <v>15</v>
      </c>
    </row>
    <row r="121" spans="1:26" ht="14.4">
      <c r="A121" s="27">
        <v>161</v>
      </c>
      <c r="B121" s="27">
        <v>91</v>
      </c>
      <c r="C121" s="27">
        <v>44</v>
      </c>
      <c r="D121" s="27">
        <v>15</v>
      </c>
      <c r="E121" s="30" t="s">
        <v>83</v>
      </c>
      <c r="F121" s="305"/>
      <c r="G121" s="30" t="s">
        <v>318</v>
      </c>
      <c r="H121" s="31" t="s">
        <v>401</v>
      </c>
      <c r="I121" s="47">
        <f t="shared" si="5"/>
        <v>4.5041279130525647</v>
      </c>
      <c r="J121" s="32">
        <v>4.3099999999999996</v>
      </c>
      <c r="K121" s="45" t="s">
        <v>73</v>
      </c>
      <c r="L121" s="45" t="s">
        <v>73</v>
      </c>
      <c r="M121" s="45" t="s">
        <v>73</v>
      </c>
      <c r="N121" s="32">
        <v>64.14</v>
      </c>
      <c r="O121" s="32">
        <v>63.97</v>
      </c>
      <c r="P121" s="32">
        <v>63.72</v>
      </c>
      <c r="Q121" s="32">
        <v>63.76</v>
      </c>
      <c r="R121" s="32">
        <v>63.897500000000001</v>
      </c>
      <c r="S121" s="32">
        <v>5.47</v>
      </c>
      <c r="T121" s="42">
        <f t="shared" si="8"/>
        <v>0.53820399859149415</v>
      </c>
      <c r="W121" s="32">
        <v>161</v>
      </c>
      <c r="X121" s="32">
        <v>91</v>
      </c>
      <c r="Y121" s="32">
        <v>44</v>
      </c>
      <c r="Z121" s="32">
        <v>15</v>
      </c>
    </row>
    <row r="122" spans="1:26" ht="14.4">
      <c r="A122" s="27">
        <v>161</v>
      </c>
      <c r="B122" s="27">
        <v>91</v>
      </c>
      <c r="C122" s="27">
        <v>44</v>
      </c>
      <c r="D122" s="27">
        <v>15</v>
      </c>
      <c r="E122" s="30" t="s">
        <v>83</v>
      </c>
      <c r="F122" s="305"/>
      <c r="G122" s="30" t="s">
        <v>318</v>
      </c>
      <c r="H122" s="31" t="s">
        <v>299</v>
      </c>
      <c r="I122" s="47">
        <f t="shared" si="5"/>
        <v>4.5041279130525647</v>
      </c>
      <c r="J122" s="32">
        <v>4.3099999999999996</v>
      </c>
      <c r="K122" s="45" t="s">
        <v>73</v>
      </c>
      <c r="L122" s="45" t="s">
        <v>73</v>
      </c>
      <c r="M122" s="45" t="s">
        <v>73</v>
      </c>
      <c r="N122" s="32">
        <v>64.05</v>
      </c>
      <c r="O122" s="32">
        <v>63.75</v>
      </c>
      <c r="P122" s="32">
        <v>63.78</v>
      </c>
      <c r="Q122" s="32">
        <v>63.96</v>
      </c>
      <c r="R122" s="32">
        <v>63.884999999999998</v>
      </c>
      <c r="S122" s="32">
        <v>6.74</v>
      </c>
      <c r="T122" s="42">
        <f t="shared" si="8"/>
        <v>0.66329153948501218</v>
      </c>
      <c r="W122" s="32">
        <v>161</v>
      </c>
      <c r="X122" s="32">
        <v>91</v>
      </c>
      <c r="Y122" s="32">
        <v>44</v>
      </c>
      <c r="Z122" s="32">
        <v>15</v>
      </c>
    </row>
    <row r="123" spans="1:26" ht="14.4">
      <c r="A123" s="27">
        <v>161</v>
      </c>
      <c r="B123" s="27">
        <v>91</v>
      </c>
      <c r="C123" s="27">
        <v>44</v>
      </c>
      <c r="D123" s="27">
        <v>15</v>
      </c>
      <c r="E123" s="30" t="s">
        <v>83</v>
      </c>
      <c r="F123" s="305"/>
      <c r="G123" s="30" t="s">
        <v>319</v>
      </c>
      <c r="H123" s="31" t="s">
        <v>397</v>
      </c>
      <c r="I123" s="47">
        <f t="shared" si="5"/>
        <v>4.5041279130525647</v>
      </c>
      <c r="J123" s="32">
        <v>4.3099999999999996</v>
      </c>
      <c r="K123" s="33">
        <v>1199.0999999999999</v>
      </c>
      <c r="L123" s="33">
        <v>704</v>
      </c>
      <c r="M123" s="33">
        <v>1202.0999999999999</v>
      </c>
      <c r="N123" s="32">
        <v>73.7</v>
      </c>
      <c r="O123" s="32">
        <v>63.7</v>
      </c>
      <c r="P123" s="32">
        <v>63.73</v>
      </c>
      <c r="Q123" s="32">
        <v>63.77</v>
      </c>
      <c r="R123" s="32">
        <v>66.224999999999994</v>
      </c>
      <c r="S123" s="32">
        <v>9.69</v>
      </c>
      <c r="T123" s="42">
        <f t="shared" si="8"/>
        <v>0.91990985277463189</v>
      </c>
      <c r="U123" s="34">
        <f>V123/V124</f>
        <v>0.90827430398013265</v>
      </c>
      <c r="V123" s="32">
        <f>AVERAGE(T123,T125,T127)</f>
        <v>0.9420910832856787</v>
      </c>
      <c r="W123" s="32">
        <v>161</v>
      </c>
      <c r="X123" s="32">
        <v>91</v>
      </c>
      <c r="Y123" s="32">
        <v>44</v>
      </c>
      <c r="Z123" s="32">
        <v>15</v>
      </c>
    </row>
    <row r="124" spans="1:26" ht="14.4">
      <c r="A124" s="27">
        <v>161</v>
      </c>
      <c r="B124" s="27">
        <v>91</v>
      </c>
      <c r="C124" s="27">
        <v>44</v>
      </c>
      <c r="D124" s="27">
        <v>15</v>
      </c>
      <c r="E124" s="30" t="s">
        <v>83</v>
      </c>
      <c r="F124" s="305"/>
      <c r="G124" s="30" t="s">
        <v>319</v>
      </c>
      <c r="H124" s="31" t="s">
        <v>295</v>
      </c>
      <c r="I124" s="47">
        <f t="shared" si="5"/>
        <v>4.5041279130525647</v>
      </c>
      <c r="J124" s="32">
        <v>4.3099999999999996</v>
      </c>
      <c r="K124" s="33">
        <v>1191.0999999999999</v>
      </c>
      <c r="L124" s="33">
        <v>697.1</v>
      </c>
      <c r="M124" s="33">
        <v>1192.8</v>
      </c>
      <c r="N124" s="32">
        <v>63.79</v>
      </c>
      <c r="O124" s="32">
        <v>63.89</v>
      </c>
      <c r="P124" s="32">
        <v>63.79</v>
      </c>
      <c r="Q124" s="32">
        <v>63.74</v>
      </c>
      <c r="R124" s="32">
        <v>63.802500000000002</v>
      </c>
      <c r="S124" s="32">
        <v>10.64</v>
      </c>
      <c r="T124" s="42">
        <f t="shared" si="8"/>
        <v>1.0484491986991105</v>
      </c>
      <c r="V124" s="32">
        <f>AVERAGE(T124,T126,T128)</f>
        <v>1.0372319013731404</v>
      </c>
      <c r="W124" s="32">
        <v>161</v>
      </c>
      <c r="X124" s="32">
        <v>91</v>
      </c>
      <c r="Y124" s="32">
        <v>44</v>
      </c>
      <c r="Z124" s="32">
        <v>15</v>
      </c>
    </row>
    <row r="125" spans="1:26" ht="14.4">
      <c r="A125" s="27">
        <v>161</v>
      </c>
      <c r="B125" s="27">
        <v>91</v>
      </c>
      <c r="C125" s="27">
        <v>44</v>
      </c>
      <c r="D125" s="27">
        <v>15</v>
      </c>
      <c r="E125" s="30" t="s">
        <v>83</v>
      </c>
      <c r="F125" s="305"/>
      <c r="G125" s="30" t="s">
        <v>319</v>
      </c>
      <c r="H125" s="31" t="s">
        <v>399</v>
      </c>
      <c r="I125" s="47">
        <f t="shared" si="5"/>
        <v>4.5041279130525647</v>
      </c>
      <c r="J125" s="32">
        <v>4.3099999999999996</v>
      </c>
      <c r="K125" s="33">
        <v>1190.5999999999999</v>
      </c>
      <c r="L125" s="33">
        <v>699.8</v>
      </c>
      <c r="M125" s="33">
        <v>1193.7</v>
      </c>
      <c r="N125" s="32">
        <v>63.32</v>
      </c>
      <c r="O125" s="32">
        <v>63.48</v>
      </c>
      <c r="P125" s="32">
        <v>63.26</v>
      </c>
      <c r="Q125" s="32">
        <v>63.18</v>
      </c>
      <c r="R125" s="32">
        <v>63.31</v>
      </c>
      <c r="S125" s="32">
        <v>9.98</v>
      </c>
      <c r="T125" s="42">
        <f t="shared" si="8"/>
        <v>0.99106397093666088</v>
      </c>
      <c r="W125" s="32">
        <v>161</v>
      </c>
      <c r="X125" s="32">
        <v>91</v>
      </c>
      <c r="Y125" s="32">
        <v>44</v>
      </c>
      <c r="Z125" s="32">
        <v>15</v>
      </c>
    </row>
    <row r="126" spans="1:26" ht="14.4">
      <c r="A126" s="27">
        <v>161</v>
      </c>
      <c r="B126" s="27">
        <v>91</v>
      </c>
      <c r="C126" s="27">
        <v>44</v>
      </c>
      <c r="D126" s="27">
        <v>15</v>
      </c>
      <c r="E126" s="30" t="s">
        <v>83</v>
      </c>
      <c r="F126" s="305"/>
      <c r="G126" s="30" t="s">
        <v>319</v>
      </c>
      <c r="H126" s="31" t="s">
        <v>297</v>
      </c>
      <c r="I126" s="47">
        <f t="shared" si="5"/>
        <v>4.5041279130525647</v>
      </c>
      <c r="J126" s="32">
        <v>4.3099999999999996</v>
      </c>
      <c r="K126" s="33">
        <v>1186.7</v>
      </c>
      <c r="L126" s="33">
        <v>698.4</v>
      </c>
      <c r="M126" s="33">
        <v>1189.9000000000001</v>
      </c>
      <c r="N126" s="32">
        <v>62.97</v>
      </c>
      <c r="O126" s="32">
        <v>63</v>
      </c>
      <c r="P126" s="32">
        <v>63.31</v>
      </c>
      <c r="Q126" s="32">
        <v>63.24</v>
      </c>
      <c r="R126" s="32">
        <v>63.13</v>
      </c>
      <c r="S126" s="32">
        <v>10.61</v>
      </c>
      <c r="T126" s="42">
        <f t="shared" si="8"/>
        <v>1.0566302867099635</v>
      </c>
      <c r="W126" s="32">
        <v>161</v>
      </c>
      <c r="X126" s="32">
        <v>91</v>
      </c>
      <c r="Y126" s="32">
        <v>44</v>
      </c>
      <c r="Z126" s="32">
        <v>15</v>
      </c>
    </row>
    <row r="127" spans="1:26" ht="14.4">
      <c r="A127" s="27">
        <v>161</v>
      </c>
      <c r="B127" s="27">
        <v>91</v>
      </c>
      <c r="C127" s="27">
        <v>44</v>
      </c>
      <c r="D127" s="27">
        <v>15</v>
      </c>
      <c r="E127" s="30" t="s">
        <v>83</v>
      </c>
      <c r="F127" s="305"/>
      <c r="G127" s="30" t="s">
        <v>319</v>
      </c>
      <c r="H127" s="31" t="s">
        <v>401</v>
      </c>
      <c r="I127" s="47">
        <f t="shared" si="5"/>
        <v>4.5041279130525647</v>
      </c>
      <c r="J127" s="32">
        <v>4.3099999999999996</v>
      </c>
      <c r="K127" s="33">
        <v>1196.2</v>
      </c>
      <c r="L127" s="33">
        <v>700.7</v>
      </c>
      <c r="M127" s="33">
        <v>1199</v>
      </c>
      <c r="N127" s="32">
        <v>63.81</v>
      </c>
      <c r="O127" s="32">
        <v>63.52</v>
      </c>
      <c r="P127" s="32">
        <v>63.5</v>
      </c>
      <c r="Q127" s="32">
        <v>63.59</v>
      </c>
      <c r="R127" s="32">
        <v>63.604999999999997</v>
      </c>
      <c r="S127" s="32">
        <v>9.26</v>
      </c>
      <c r="T127" s="42">
        <f t="shared" si="8"/>
        <v>0.91529942614574322</v>
      </c>
      <c r="W127" s="32">
        <v>161</v>
      </c>
      <c r="X127" s="32">
        <v>91</v>
      </c>
      <c r="Y127" s="32">
        <v>44</v>
      </c>
      <c r="Z127" s="32">
        <v>15</v>
      </c>
    </row>
    <row r="128" spans="1:26" ht="14.4">
      <c r="A128" s="27">
        <v>161</v>
      </c>
      <c r="B128" s="27">
        <v>91</v>
      </c>
      <c r="C128" s="27">
        <v>44</v>
      </c>
      <c r="D128" s="27">
        <v>15</v>
      </c>
      <c r="E128" s="30" t="s">
        <v>83</v>
      </c>
      <c r="F128" s="305"/>
      <c r="G128" s="30" t="s">
        <v>319</v>
      </c>
      <c r="H128" s="31" t="s">
        <v>299</v>
      </c>
      <c r="I128" s="47">
        <f t="shared" si="5"/>
        <v>4.5041279130525647</v>
      </c>
      <c r="J128" s="32">
        <v>4.3099999999999996</v>
      </c>
      <c r="K128" s="33">
        <v>1197.4000000000001</v>
      </c>
      <c r="L128" s="33">
        <v>701.4</v>
      </c>
      <c r="M128" s="33">
        <v>1200.5999999999999</v>
      </c>
      <c r="N128" s="32">
        <v>65.02</v>
      </c>
      <c r="O128" s="32">
        <v>64.87</v>
      </c>
      <c r="P128" s="32">
        <v>65.010000000000005</v>
      </c>
      <c r="Q128" s="32">
        <v>65.17</v>
      </c>
      <c r="R128" s="32">
        <v>65.017499999999998</v>
      </c>
      <c r="S128" s="32">
        <v>10.41</v>
      </c>
      <c r="T128" s="42">
        <f t="shared" si="8"/>
        <v>1.0066162187103473</v>
      </c>
      <c r="W128" s="32">
        <v>161</v>
      </c>
      <c r="X128" s="32">
        <v>91</v>
      </c>
      <c r="Y128" s="32">
        <v>44</v>
      </c>
      <c r="Z128" s="32">
        <v>15</v>
      </c>
    </row>
    <row r="129" spans="1:26" ht="14.4">
      <c r="A129" s="27">
        <v>161</v>
      </c>
      <c r="B129" s="27">
        <v>91</v>
      </c>
      <c r="C129" s="27">
        <v>44</v>
      </c>
      <c r="D129" s="27">
        <v>15</v>
      </c>
      <c r="E129" s="30" t="s">
        <v>83</v>
      </c>
      <c r="F129" s="305"/>
      <c r="G129" s="30" t="s">
        <v>320</v>
      </c>
      <c r="H129" s="31" t="s">
        <v>397</v>
      </c>
      <c r="I129" s="47">
        <f t="shared" si="5"/>
        <v>4.5041279130525647</v>
      </c>
      <c r="J129" s="32">
        <v>4.3099999999999996</v>
      </c>
      <c r="K129" s="33">
        <v>1204.7</v>
      </c>
      <c r="L129" s="33">
        <v>706.9</v>
      </c>
      <c r="M129" s="33">
        <v>1206.2</v>
      </c>
      <c r="N129" s="32">
        <v>63.9</v>
      </c>
      <c r="O129" s="32">
        <v>64.12</v>
      </c>
      <c r="P129" s="32">
        <v>64.44</v>
      </c>
      <c r="Q129" s="32">
        <v>64.12</v>
      </c>
      <c r="R129" s="32">
        <v>64.144999999999996</v>
      </c>
      <c r="S129" s="32">
        <v>9.58</v>
      </c>
      <c r="T129" s="42">
        <f t="shared" si="8"/>
        <v>0.93895798581339163</v>
      </c>
      <c r="U129" s="34">
        <f>V129/V130</f>
        <v>0.89529637643505511</v>
      </c>
      <c r="V129" s="32">
        <f>AVERAGE(T129,T131,T133)</f>
        <v>0.92338687398861186</v>
      </c>
      <c r="W129" s="32">
        <v>162</v>
      </c>
      <c r="X129" s="32">
        <v>92</v>
      </c>
      <c r="Y129" s="32">
        <v>45</v>
      </c>
      <c r="Z129" s="32">
        <v>16</v>
      </c>
    </row>
    <row r="130" spans="1:26" ht="14.4">
      <c r="A130" s="27">
        <v>161</v>
      </c>
      <c r="B130" s="27">
        <v>91</v>
      </c>
      <c r="C130" s="27">
        <v>44</v>
      </c>
      <c r="D130" s="27">
        <v>15</v>
      </c>
      <c r="E130" s="30" t="s">
        <v>83</v>
      </c>
      <c r="F130" s="305"/>
      <c r="G130" s="30" t="s">
        <v>320</v>
      </c>
      <c r="H130" s="31" t="s">
        <v>295</v>
      </c>
      <c r="I130" s="47">
        <f t="shared" si="5"/>
        <v>4.5041279130525647</v>
      </c>
      <c r="J130" s="32">
        <v>4.3099999999999996</v>
      </c>
      <c r="K130" s="33">
        <v>1194.4000000000001</v>
      </c>
      <c r="L130" s="33">
        <v>704.5</v>
      </c>
      <c r="M130" s="33">
        <v>1201.5</v>
      </c>
      <c r="N130" s="32">
        <v>64.650000000000006</v>
      </c>
      <c r="O130" s="32">
        <v>64.52</v>
      </c>
      <c r="P130" s="32">
        <v>64.05</v>
      </c>
      <c r="Q130" s="32">
        <v>64.069999999999993</v>
      </c>
      <c r="R130" s="32">
        <v>64.322500000000005</v>
      </c>
      <c r="S130" s="32">
        <v>10.65</v>
      </c>
      <c r="T130" s="42">
        <f t="shared" si="8"/>
        <v>1.0409506782230169</v>
      </c>
      <c r="V130" s="32">
        <f>AVERAGE(T130,T132,T134)</f>
        <v>1.0313756408413146</v>
      </c>
      <c r="W130" s="32">
        <v>163</v>
      </c>
      <c r="X130" s="32">
        <v>93</v>
      </c>
      <c r="Y130" s="32">
        <v>46</v>
      </c>
      <c r="Z130" s="32">
        <v>17</v>
      </c>
    </row>
    <row r="131" spans="1:26" ht="14.4">
      <c r="A131" s="27">
        <v>161</v>
      </c>
      <c r="B131" s="27">
        <v>91</v>
      </c>
      <c r="C131" s="27">
        <v>44</v>
      </c>
      <c r="D131" s="27">
        <v>15</v>
      </c>
      <c r="E131" s="30" t="s">
        <v>83</v>
      </c>
      <c r="F131" s="305"/>
      <c r="G131" s="30" t="s">
        <v>320</v>
      </c>
      <c r="H131" s="31" t="s">
        <v>399</v>
      </c>
      <c r="I131" s="47">
        <f t="shared" si="5"/>
        <v>4.5041279130525647</v>
      </c>
      <c r="J131" s="32">
        <v>4.3099999999999996</v>
      </c>
      <c r="K131" s="33">
        <v>1194.2</v>
      </c>
      <c r="L131" s="33">
        <v>700.5</v>
      </c>
      <c r="M131" s="33">
        <v>1196.4000000000001</v>
      </c>
      <c r="N131" s="32">
        <v>63.87</v>
      </c>
      <c r="O131" s="32">
        <v>63.78</v>
      </c>
      <c r="P131" s="32">
        <v>64.03</v>
      </c>
      <c r="Q131" s="32">
        <v>64.03</v>
      </c>
      <c r="R131" s="32">
        <v>63.927500000000002</v>
      </c>
      <c r="S131" s="32">
        <v>9.56</v>
      </c>
      <c r="T131" s="42">
        <f t="shared" si="8"/>
        <v>0.94018567908959372</v>
      </c>
      <c r="W131" s="32">
        <v>164</v>
      </c>
      <c r="X131" s="32">
        <v>94</v>
      </c>
      <c r="Y131" s="32">
        <v>47</v>
      </c>
      <c r="Z131" s="32">
        <v>18</v>
      </c>
    </row>
    <row r="132" spans="1:26" ht="14.4">
      <c r="A132" s="27">
        <v>144</v>
      </c>
      <c r="B132" s="27">
        <v>107.8</v>
      </c>
      <c r="C132" s="27">
        <v>43.95</v>
      </c>
      <c r="D132" s="27">
        <v>60.3</v>
      </c>
      <c r="E132" s="30" t="s">
        <v>83</v>
      </c>
      <c r="F132" s="305"/>
      <c r="G132" s="30" t="s">
        <v>320</v>
      </c>
      <c r="H132" s="31" t="s">
        <v>297</v>
      </c>
      <c r="I132" s="47">
        <f t="shared" si="5"/>
        <v>4.5041279130525647</v>
      </c>
      <c r="J132" s="32">
        <v>4.3099999999999996</v>
      </c>
      <c r="K132" s="33">
        <v>1197.0999999999999</v>
      </c>
      <c r="L132" s="33">
        <v>701.7</v>
      </c>
      <c r="M132" s="33">
        <v>1201</v>
      </c>
      <c r="N132" s="32">
        <v>64.55</v>
      </c>
      <c r="O132" s="32">
        <v>64.36</v>
      </c>
      <c r="P132" s="32">
        <v>64.38</v>
      </c>
      <c r="Q132" s="32">
        <v>64.45</v>
      </c>
      <c r="R132" s="32">
        <v>64.435000000000002</v>
      </c>
      <c r="S132" s="32">
        <v>10.79</v>
      </c>
      <c r="T132" s="42">
        <f t="shared" si="8"/>
        <v>1.0527932024520832</v>
      </c>
      <c r="W132" s="32">
        <v>165</v>
      </c>
      <c r="X132" s="32">
        <v>95</v>
      </c>
      <c r="Y132" s="32">
        <v>48</v>
      </c>
      <c r="Z132" s="32">
        <v>19</v>
      </c>
    </row>
    <row r="133" spans="1:26" ht="14.4">
      <c r="A133" s="27">
        <v>144</v>
      </c>
      <c r="B133" s="27">
        <v>107.8</v>
      </c>
      <c r="C133" s="27">
        <v>43.95</v>
      </c>
      <c r="D133" s="27">
        <v>60.3</v>
      </c>
      <c r="E133" s="30" t="s">
        <v>83</v>
      </c>
      <c r="F133" s="305"/>
      <c r="G133" s="30" t="s">
        <v>320</v>
      </c>
      <c r="H133" s="31" t="s">
        <v>401</v>
      </c>
      <c r="I133" s="47">
        <f t="shared" ref="I133:I196" si="9">100*J133/(100-J133)</f>
        <v>4.5041279130525647</v>
      </c>
      <c r="J133" s="32">
        <v>4.3099999999999996</v>
      </c>
      <c r="K133" s="33">
        <v>1189.3</v>
      </c>
      <c r="L133" s="33">
        <v>698.2</v>
      </c>
      <c r="M133" s="33">
        <v>1193.5</v>
      </c>
      <c r="N133" s="32">
        <v>64.819999999999993</v>
      </c>
      <c r="O133" s="32">
        <v>64</v>
      </c>
      <c r="P133" s="32">
        <v>64.25</v>
      </c>
      <c r="Q133" s="32">
        <v>64.05</v>
      </c>
      <c r="R133" s="32">
        <v>64.28</v>
      </c>
      <c r="S133" s="32">
        <v>9.11</v>
      </c>
      <c r="T133" s="42">
        <f t="shared" si="8"/>
        <v>0.89101695706285</v>
      </c>
      <c r="W133" s="32">
        <v>166</v>
      </c>
      <c r="X133" s="32">
        <v>96</v>
      </c>
      <c r="Y133" s="32">
        <v>49</v>
      </c>
      <c r="Z133" s="32">
        <v>20</v>
      </c>
    </row>
    <row r="134" spans="1:26" ht="14.4">
      <c r="A134" s="27">
        <v>144</v>
      </c>
      <c r="B134" s="27">
        <v>107.8</v>
      </c>
      <c r="C134" s="27">
        <v>43.95</v>
      </c>
      <c r="D134" s="27">
        <v>60.3</v>
      </c>
      <c r="E134" s="30" t="s">
        <v>83</v>
      </c>
      <c r="F134" s="305"/>
      <c r="G134" s="30" t="s">
        <v>320</v>
      </c>
      <c r="H134" s="31" t="s">
        <v>299</v>
      </c>
      <c r="I134" s="47">
        <f t="shared" si="9"/>
        <v>4.5041279130525647</v>
      </c>
      <c r="J134" s="32">
        <v>4.3099999999999996</v>
      </c>
      <c r="K134" s="33">
        <v>1185.2</v>
      </c>
      <c r="L134" s="33">
        <v>695.9</v>
      </c>
      <c r="M134" s="33">
        <v>1189.2</v>
      </c>
      <c r="N134" s="32">
        <v>64.09</v>
      </c>
      <c r="O134" s="32">
        <v>64.06</v>
      </c>
      <c r="P134" s="32">
        <v>63.87</v>
      </c>
      <c r="Q134" s="32">
        <v>64.14</v>
      </c>
      <c r="R134" s="32">
        <v>64.040000000000006</v>
      </c>
      <c r="S134" s="32">
        <v>10.19</v>
      </c>
      <c r="T134" s="42">
        <f t="shared" si="8"/>
        <v>1.0003830418488442</v>
      </c>
      <c r="W134" s="32">
        <v>167</v>
      </c>
      <c r="X134" s="32">
        <v>97</v>
      </c>
      <c r="Y134" s="32">
        <v>50</v>
      </c>
      <c r="Z134" s="32">
        <v>21</v>
      </c>
    </row>
    <row r="135" spans="1:26" ht="14.4">
      <c r="A135" s="27">
        <v>144</v>
      </c>
      <c r="B135" s="27">
        <v>107.8</v>
      </c>
      <c r="C135" s="27">
        <v>43.95</v>
      </c>
      <c r="D135" s="27">
        <v>60.3</v>
      </c>
      <c r="E135" s="30" t="s">
        <v>83</v>
      </c>
      <c r="F135" s="305"/>
      <c r="G135" s="30" t="s">
        <v>321</v>
      </c>
      <c r="H135" s="31" t="s">
        <v>397</v>
      </c>
      <c r="I135" s="47">
        <f t="shared" si="9"/>
        <v>4.5041279130525647</v>
      </c>
      <c r="J135" s="32">
        <v>4.3099999999999996</v>
      </c>
      <c r="K135" s="33">
        <v>1191.0999999999999</v>
      </c>
      <c r="L135" s="33">
        <v>697.8</v>
      </c>
      <c r="M135" s="33">
        <v>1193.5999999999999</v>
      </c>
      <c r="N135" s="32">
        <v>63.9</v>
      </c>
      <c r="O135" s="32">
        <v>64.12</v>
      </c>
      <c r="P135" s="32">
        <v>64.44</v>
      </c>
      <c r="Q135" s="32">
        <v>64.12</v>
      </c>
      <c r="R135" s="32">
        <v>64.144999999999996</v>
      </c>
      <c r="S135" s="32">
        <v>9.49</v>
      </c>
      <c r="T135" s="42">
        <f t="shared" si="8"/>
        <v>0.93013687738716977</v>
      </c>
      <c r="U135" s="34">
        <f>V135/V136</f>
        <v>0.89481029441236859</v>
      </c>
      <c r="V135" s="32">
        <f>AVERAGE(T135,T137,T139)</f>
        <v>0.92790365352636295</v>
      </c>
      <c r="W135" s="32">
        <v>168</v>
      </c>
      <c r="X135" s="32">
        <v>98</v>
      </c>
      <c r="Y135" s="32">
        <v>51</v>
      </c>
      <c r="Z135" s="32">
        <v>22</v>
      </c>
    </row>
    <row r="136" spans="1:26" ht="14.4">
      <c r="A136" s="27">
        <v>144</v>
      </c>
      <c r="B136" s="27">
        <v>107.8</v>
      </c>
      <c r="C136" s="27">
        <v>43.95</v>
      </c>
      <c r="D136" s="27">
        <v>60.3</v>
      </c>
      <c r="E136" s="30" t="s">
        <v>83</v>
      </c>
      <c r="F136" s="305"/>
      <c r="G136" s="30" t="s">
        <v>321</v>
      </c>
      <c r="H136" s="31" t="s">
        <v>295</v>
      </c>
      <c r="I136" s="47">
        <f t="shared" si="9"/>
        <v>4.5041279130525647</v>
      </c>
      <c r="J136" s="32">
        <v>4.3099999999999996</v>
      </c>
      <c r="K136" s="33">
        <v>1189.0999999999999</v>
      </c>
      <c r="L136" s="33">
        <v>695.7</v>
      </c>
      <c r="M136" s="33">
        <v>1191.2</v>
      </c>
      <c r="N136" s="32">
        <v>64.650000000000006</v>
      </c>
      <c r="O136" s="32">
        <v>64.52</v>
      </c>
      <c r="P136" s="32">
        <v>64.05</v>
      </c>
      <c r="Q136" s="32">
        <v>64.069999999999993</v>
      </c>
      <c r="R136" s="32">
        <v>64.322500000000005</v>
      </c>
      <c r="S136" s="32">
        <v>10.91</v>
      </c>
      <c r="T136" s="42">
        <f t="shared" si="8"/>
        <v>1.0663635586303393</v>
      </c>
      <c r="V136" s="32">
        <f>AVERAGE(T136,T138,T140)</f>
        <v>1.0369836593528767</v>
      </c>
      <c r="W136" s="32">
        <v>169</v>
      </c>
      <c r="X136" s="32">
        <v>99</v>
      </c>
      <c r="Y136" s="32">
        <v>52</v>
      </c>
      <c r="Z136" s="32">
        <v>23</v>
      </c>
    </row>
    <row r="137" spans="1:26" ht="14.4">
      <c r="A137" s="27">
        <v>111</v>
      </c>
      <c r="B137" s="27">
        <v>124</v>
      </c>
      <c r="C137" s="27">
        <v>41.5</v>
      </c>
      <c r="D137" s="27">
        <v>56</v>
      </c>
      <c r="E137" s="30" t="s">
        <v>83</v>
      </c>
      <c r="F137" s="305"/>
      <c r="G137" s="30" t="s">
        <v>321</v>
      </c>
      <c r="H137" s="31" t="s">
        <v>399</v>
      </c>
      <c r="I137" s="47">
        <f t="shared" si="9"/>
        <v>4.5041279130525647</v>
      </c>
      <c r="J137" s="32">
        <v>4.3099999999999996</v>
      </c>
      <c r="K137" s="33">
        <v>1193.2</v>
      </c>
      <c r="L137" s="33">
        <v>701.5</v>
      </c>
      <c r="M137" s="33">
        <v>1195.5</v>
      </c>
      <c r="N137" s="32">
        <v>63.87</v>
      </c>
      <c r="O137" s="32">
        <v>63.78</v>
      </c>
      <c r="P137" s="32">
        <v>64.03</v>
      </c>
      <c r="Q137" s="32">
        <v>64.03</v>
      </c>
      <c r="R137" s="32">
        <v>63.927500000000002</v>
      </c>
      <c r="S137" s="32">
        <v>9.33</v>
      </c>
      <c r="T137" s="42">
        <f t="shared" si="8"/>
        <v>0.91756614915333778</v>
      </c>
      <c r="W137" s="32">
        <v>170</v>
      </c>
      <c r="X137" s="32">
        <v>100</v>
      </c>
      <c r="Y137" s="32">
        <v>53</v>
      </c>
      <c r="Z137" s="32">
        <v>24</v>
      </c>
    </row>
    <row r="138" spans="1:26" ht="14.4">
      <c r="A138" s="27">
        <v>111</v>
      </c>
      <c r="B138" s="27">
        <v>124</v>
      </c>
      <c r="C138" s="27">
        <v>41.5</v>
      </c>
      <c r="D138" s="27">
        <v>56</v>
      </c>
      <c r="E138" s="30" t="s">
        <v>83</v>
      </c>
      <c r="F138" s="305"/>
      <c r="G138" s="30" t="s">
        <v>321</v>
      </c>
      <c r="H138" s="31" t="s">
        <v>297</v>
      </c>
      <c r="I138" s="47">
        <f t="shared" si="9"/>
        <v>4.5041279130525647</v>
      </c>
      <c r="J138" s="32">
        <v>4.3099999999999996</v>
      </c>
      <c r="K138" s="33">
        <v>1185.7</v>
      </c>
      <c r="L138" s="33">
        <v>694.8</v>
      </c>
      <c r="M138" s="33">
        <v>1187.7</v>
      </c>
      <c r="N138" s="32">
        <v>64.55</v>
      </c>
      <c r="O138" s="32">
        <v>64.36</v>
      </c>
      <c r="P138" s="32">
        <v>64.38</v>
      </c>
      <c r="Q138" s="32">
        <v>64.45</v>
      </c>
      <c r="R138" s="32">
        <v>64.435000000000002</v>
      </c>
      <c r="S138" s="32">
        <v>10.38</v>
      </c>
      <c r="T138" s="42">
        <f t="shared" si="8"/>
        <v>1.01278901218282</v>
      </c>
      <c r="W138" s="32">
        <v>171</v>
      </c>
      <c r="X138" s="32">
        <v>101</v>
      </c>
      <c r="Y138" s="32">
        <v>54</v>
      </c>
      <c r="Z138" s="32">
        <v>25</v>
      </c>
    </row>
    <row r="139" spans="1:26" ht="14.4">
      <c r="A139" s="27">
        <v>111</v>
      </c>
      <c r="B139" s="27">
        <v>124</v>
      </c>
      <c r="C139" s="27">
        <v>41.5</v>
      </c>
      <c r="D139" s="27">
        <v>56</v>
      </c>
      <c r="E139" s="30" t="s">
        <v>83</v>
      </c>
      <c r="F139" s="305"/>
      <c r="G139" s="30" t="s">
        <v>321</v>
      </c>
      <c r="H139" s="31" t="s">
        <v>401</v>
      </c>
      <c r="I139" s="47">
        <f t="shared" si="9"/>
        <v>4.5041279130525647</v>
      </c>
      <c r="J139" s="32">
        <v>4.3099999999999996</v>
      </c>
      <c r="K139" s="33">
        <v>1191.5</v>
      </c>
      <c r="L139" s="33">
        <v>699.7</v>
      </c>
      <c r="M139" s="33">
        <v>1194.4000000000001</v>
      </c>
      <c r="N139" s="32">
        <v>64.819999999999993</v>
      </c>
      <c r="O139" s="32">
        <v>64</v>
      </c>
      <c r="P139" s="32">
        <v>64.25</v>
      </c>
      <c r="Q139" s="32">
        <v>64.05</v>
      </c>
      <c r="R139" s="32">
        <v>64.28</v>
      </c>
      <c r="S139" s="32">
        <v>9.57</v>
      </c>
      <c r="T139" s="42">
        <f t="shared" si="8"/>
        <v>0.93600793403858118</v>
      </c>
      <c r="W139" s="32">
        <v>172</v>
      </c>
      <c r="X139" s="32">
        <v>102</v>
      </c>
      <c r="Y139" s="32">
        <v>55</v>
      </c>
      <c r="Z139" s="32">
        <v>26</v>
      </c>
    </row>
    <row r="140" spans="1:26" ht="14.4">
      <c r="A140" s="27">
        <v>111</v>
      </c>
      <c r="B140" s="27">
        <v>124</v>
      </c>
      <c r="C140" s="27">
        <v>41.5</v>
      </c>
      <c r="D140" s="27">
        <v>56</v>
      </c>
      <c r="E140" s="30" t="s">
        <v>83</v>
      </c>
      <c r="F140" s="306"/>
      <c r="G140" s="30" t="s">
        <v>321</v>
      </c>
      <c r="H140" s="31" t="s">
        <v>299</v>
      </c>
      <c r="I140" s="47">
        <f t="shared" si="9"/>
        <v>4.5041279130525647</v>
      </c>
      <c r="J140" s="32">
        <v>4.3099999999999996</v>
      </c>
      <c r="K140" s="33">
        <v>1183.5</v>
      </c>
      <c r="L140" s="33">
        <v>694.4</v>
      </c>
      <c r="M140" s="33">
        <v>1186</v>
      </c>
      <c r="N140" s="32">
        <v>64.09</v>
      </c>
      <c r="O140" s="32">
        <v>64.06</v>
      </c>
      <c r="P140" s="32">
        <v>63.87</v>
      </c>
      <c r="Q140" s="32">
        <v>64.14</v>
      </c>
      <c r="R140" s="32">
        <v>64.040000000000006</v>
      </c>
      <c r="S140" s="32">
        <v>10.51</v>
      </c>
      <c r="T140" s="42">
        <f t="shared" si="8"/>
        <v>1.0317984072454713</v>
      </c>
      <c r="W140" s="32">
        <v>173</v>
      </c>
      <c r="X140" s="32">
        <v>103</v>
      </c>
      <c r="Y140" s="32">
        <v>56</v>
      </c>
      <c r="Z140" s="32">
        <v>27</v>
      </c>
    </row>
    <row r="141" spans="1:26" ht="14.4">
      <c r="A141" s="27">
        <v>111</v>
      </c>
      <c r="B141" s="27">
        <v>124</v>
      </c>
      <c r="C141" s="27">
        <v>41.5</v>
      </c>
      <c r="D141" s="27">
        <v>56</v>
      </c>
      <c r="E141" s="30" t="s">
        <v>84</v>
      </c>
      <c r="F141" s="304" t="s">
        <v>245</v>
      </c>
      <c r="G141" s="30" t="s">
        <v>324</v>
      </c>
      <c r="H141" s="31" t="s">
        <v>397</v>
      </c>
      <c r="I141" s="47">
        <f t="shared" si="9"/>
        <v>4.0000000000000044</v>
      </c>
      <c r="J141" s="32">
        <v>3.8461538461538498</v>
      </c>
      <c r="K141" s="33">
        <v>1214.9000000000001</v>
      </c>
      <c r="L141" s="33">
        <v>728.1</v>
      </c>
      <c r="M141" s="33">
        <v>1216.8</v>
      </c>
      <c r="N141" s="32">
        <v>63.89</v>
      </c>
      <c r="O141" s="32">
        <v>63.55</v>
      </c>
      <c r="P141" s="32">
        <v>63.72</v>
      </c>
      <c r="Q141" s="32">
        <v>63.94</v>
      </c>
      <c r="R141" s="32">
        <v>63.774999999999999</v>
      </c>
      <c r="S141" s="32">
        <v>14</v>
      </c>
      <c r="T141" s="42">
        <f t="shared" si="8"/>
        <v>1.3801332810662486</v>
      </c>
      <c r="U141" s="34">
        <f>V141/V142</f>
        <v>0.8838466513572204</v>
      </c>
      <c r="V141" s="32">
        <f>AVERAGE(T141,T143,T145)</f>
        <v>1.4357950503272736</v>
      </c>
      <c r="W141" s="32">
        <v>161</v>
      </c>
      <c r="X141" s="32">
        <v>91</v>
      </c>
      <c r="Y141" s="32">
        <v>44</v>
      </c>
      <c r="Z141" s="32">
        <v>15</v>
      </c>
    </row>
    <row r="142" spans="1:26" ht="14.4">
      <c r="A142" s="27">
        <v>144</v>
      </c>
      <c r="B142" s="27">
        <v>107.8</v>
      </c>
      <c r="C142" s="27">
        <v>43.95</v>
      </c>
      <c r="D142" s="27">
        <v>60.3</v>
      </c>
      <c r="E142" s="30" t="s">
        <v>84</v>
      </c>
      <c r="F142" s="305"/>
      <c r="G142" s="30" t="s">
        <v>324</v>
      </c>
      <c r="H142" s="31" t="s">
        <v>295</v>
      </c>
      <c r="I142" s="47">
        <f t="shared" si="9"/>
        <v>4.0000000000000044</v>
      </c>
      <c r="J142" s="32">
        <v>3.8461538461538498</v>
      </c>
      <c r="K142" s="33">
        <v>1218.0999999999999</v>
      </c>
      <c r="L142" s="33">
        <v>729.2</v>
      </c>
      <c r="M142" s="33">
        <v>1220.2</v>
      </c>
      <c r="N142" s="32">
        <v>63.56</v>
      </c>
      <c r="O142" s="32">
        <v>63.41</v>
      </c>
      <c r="P142" s="32">
        <v>63.02</v>
      </c>
      <c r="Q142" s="32">
        <v>63.03</v>
      </c>
      <c r="R142" s="32">
        <v>63.255000000000003</v>
      </c>
      <c r="S142" s="32">
        <v>16.309999999999999</v>
      </c>
      <c r="T142" s="42">
        <f t="shared" si="8"/>
        <v>1.6210729586593942</v>
      </c>
      <c r="V142" s="32">
        <f>AVERAGE(T142,T144,T146)</f>
        <v>1.6244843470555557</v>
      </c>
      <c r="W142" s="32">
        <v>161</v>
      </c>
      <c r="X142" s="32">
        <v>91</v>
      </c>
      <c r="Y142" s="32">
        <v>44</v>
      </c>
      <c r="Z142" s="32">
        <v>15</v>
      </c>
    </row>
    <row r="143" spans="1:26" ht="14.4">
      <c r="A143" s="27">
        <v>144</v>
      </c>
      <c r="B143" s="27">
        <v>107.8</v>
      </c>
      <c r="C143" s="27">
        <v>43.95</v>
      </c>
      <c r="D143" s="27">
        <v>60.3</v>
      </c>
      <c r="E143" s="30" t="s">
        <v>84</v>
      </c>
      <c r="F143" s="305"/>
      <c r="G143" s="30" t="s">
        <v>324</v>
      </c>
      <c r="H143" s="31" t="s">
        <v>399</v>
      </c>
      <c r="I143" s="47">
        <f t="shared" si="9"/>
        <v>4.0000000000000044</v>
      </c>
      <c r="J143" s="32">
        <v>3.8461538461538498</v>
      </c>
      <c r="K143" s="33">
        <v>1217.0999999999999</v>
      </c>
      <c r="L143" s="33">
        <v>729.4</v>
      </c>
      <c r="M143" s="33">
        <v>1218.9000000000001</v>
      </c>
      <c r="N143" s="32">
        <v>62.77</v>
      </c>
      <c r="O143" s="32">
        <v>62.6</v>
      </c>
      <c r="P143" s="32">
        <v>62.93</v>
      </c>
      <c r="Q143" s="32">
        <v>63.01</v>
      </c>
      <c r="R143" s="32">
        <v>62.827500000000001</v>
      </c>
      <c r="S143" s="32">
        <v>14.6</v>
      </c>
      <c r="T143" s="42">
        <f t="shared" si="8"/>
        <v>1.460987624845808</v>
      </c>
      <c r="W143" s="32">
        <v>161</v>
      </c>
      <c r="X143" s="32">
        <v>91</v>
      </c>
      <c r="Y143" s="32">
        <v>44</v>
      </c>
      <c r="Z143" s="32">
        <v>15</v>
      </c>
    </row>
    <row r="144" spans="1:26" ht="14.4">
      <c r="A144" s="27">
        <v>144</v>
      </c>
      <c r="B144" s="27">
        <v>107.8</v>
      </c>
      <c r="C144" s="27">
        <v>43.95</v>
      </c>
      <c r="D144" s="27">
        <v>60.3</v>
      </c>
      <c r="E144" s="30" t="s">
        <v>84</v>
      </c>
      <c r="F144" s="305"/>
      <c r="G144" s="30" t="s">
        <v>324</v>
      </c>
      <c r="H144" s="31" t="s">
        <v>297</v>
      </c>
      <c r="I144" s="47">
        <f t="shared" si="9"/>
        <v>4.0000000000000044</v>
      </c>
      <c r="J144" s="32">
        <v>3.8461538461538498</v>
      </c>
      <c r="K144" s="33">
        <v>1217.5999999999999</v>
      </c>
      <c r="L144" s="33">
        <v>729.8</v>
      </c>
      <c r="M144" s="33">
        <v>1219.4000000000001</v>
      </c>
      <c r="N144" s="32">
        <v>64.28</v>
      </c>
      <c r="O144" s="32">
        <v>64.41</v>
      </c>
      <c r="P144" s="32">
        <v>64.599999999999994</v>
      </c>
      <c r="Q144" s="32">
        <v>64.38</v>
      </c>
      <c r="R144" s="32">
        <v>64.417500000000004</v>
      </c>
      <c r="S144" s="32">
        <v>16.95</v>
      </c>
      <c r="T144" s="42">
        <f t="shared" si="8"/>
        <v>1.6542810571661426</v>
      </c>
      <c r="W144" s="32">
        <v>161</v>
      </c>
      <c r="X144" s="32">
        <v>91</v>
      </c>
      <c r="Y144" s="32">
        <v>44</v>
      </c>
      <c r="Z144" s="32">
        <v>15</v>
      </c>
    </row>
    <row r="145" spans="1:26" ht="14.4">
      <c r="A145" s="27">
        <v>144</v>
      </c>
      <c r="B145" s="27">
        <v>107.8</v>
      </c>
      <c r="C145" s="27">
        <v>43.95</v>
      </c>
      <c r="D145" s="27">
        <v>60.3</v>
      </c>
      <c r="E145" s="30" t="s">
        <v>84</v>
      </c>
      <c r="F145" s="305"/>
      <c r="G145" s="30" t="s">
        <v>324</v>
      </c>
      <c r="H145" s="31" t="s">
        <v>401</v>
      </c>
      <c r="I145" s="47">
        <f t="shared" si="9"/>
        <v>4.0000000000000044</v>
      </c>
      <c r="J145" s="32">
        <v>3.8461538461538498</v>
      </c>
      <c r="K145" s="33">
        <v>1216</v>
      </c>
      <c r="L145" s="33">
        <v>728.9</v>
      </c>
      <c r="M145" s="33">
        <v>1217.5</v>
      </c>
      <c r="N145" s="32">
        <v>64.33</v>
      </c>
      <c r="O145" s="32">
        <v>63.98</v>
      </c>
      <c r="P145" s="32">
        <v>64.03</v>
      </c>
      <c r="Q145" s="32">
        <v>64.239999999999995</v>
      </c>
      <c r="R145" s="32">
        <v>64.144999999999996</v>
      </c>
      <c r="S145" s="32">
        <v>14.96</v>
      </c>
      <c r="T145" s="42">
        <f t="shared" si="8"/>
        <v>1.466264245069764</v>
      </c>
      <c r="W145" s="32">
        <v>161</v>
      </c>
      <c r="X145" s="32">
        <v>91</v>
      </c>
      <c r="Y145" s="32">
        <v>44</v>
      </c>
      <c r="Z145" s="32">
        <v>15</v>
      </c>
    </row>
    <row r="146" spans="1:26" ht="14.4">
      <c r="A146" s="27">
        <v>144</v>
      </c>
      <c r="B146" s="27">
        <v>107.8</v>
      </c>
      <c r="C146" s="27">
        <v>43.95</v>
      </c>
      <c r="D146" s="27">
        <v>60.3</v>
      </c>
      <c r="E146" s="30" t="s">
        <v>84</v>
      </c>
      <c r="F146" s="306"/>
      <c r="G146" s="30" t="s">
        <v>324</v>
      </c>
      <c r="H146" s="31" t="s">
        <v>299</v>
      </c>
      <c r="I146" s="47">
        <f t="shared" si="9"/>
        <v>4.0000000000000044</v>
      </c>
      <c r="J146" s="32">
        <v>3.8461538461538498</v>
      </c>
      <c r="K146" s="33">
        <v>1217.3</v>
      </c>
      <c r="L146" s="33">
        <v>728.2</v>
      </c>
      <c r="M146" s="33">
        <v>1218.7</v>
      </c>
      <c r="N146" s="32">
        <v>64.040000000000006</v>
      </c>
      <c r="O146" s="32">
        <v>64.09</v>
      </c>
      <c r="P146" s="32">
        <v>64.180000000000007</v>
      </c>
      <c r="Q146" s="32">
        <v>64.19</v>
      </c>
      <c r="R146" s="32">
        <v>64.125</v>
      </c>
      <c r="S146" s="32">
        <v>16.3</v>
      </c>
      <c r="T146" s="42">
        <f t="shared" si="8"/>
        <v>1.5980990253411305</v>
      </c>
      <c r="W146" s="32">
        <v>161</v>
      </c>
      <c r="X146" s="32">
        <v>91</v>
      </c>
      <c r="Y146" s="32">
        <v>44</v>
      </c>
      <c r="Z146" s="32">
        <v>15</v>
      </c>
    </row>
    <row r="147" spans="1:26" ht="14.4">
      <c r="A147" s="27">
        <v>144</v>
      </c>
      <c r="B147" s="27">
        <v>107.8</v>
      </c>
      <c r="C147" s="27">
        <v>43.95</v>
      </c>
      <c r="D147" s="27">
        <v>60.3</v>
      </c>
      <c r="E147" s="30" t="s">
        <v>84</v>
      </c>
      <c r="F147" s="304" t="s">
        <v>246</v>
      </c>
      <c r="G147" s="30" t="s">
        <v>304</v>
      </c>
      <c r="H147" s="31" t="s">
        <v>397</v>
      </c>
      <c r="I147" s="47">
        <f t="shared" si="9"/>
        <v>4.1999999999999984</v>
      </c>
      <c r="J147" s="32">
        <v>4.0307101727447199</v>
      </c>
      <c r="K147" s="33">
        <v>1219.5</v>
      </c>
      <c r="L147" s="33">
        <v>731.7</v>
      </c>
      <c r="M147" s="33">
        <v>1220.0999999999999</v>
      </c>
      <c r="N147" s="32">
        <v>63.3</v>
      </c>
      <c r="O147" s="32">
        <v>63.06</v>
      </c>
      <c r="P147" s="32">
        <v>62.95</v>
      </c>
      <c r="Q147" s="32">
        <v>62.92</v>
      </c>
      <c r="R147" s="32">
        <v>63.057499999999997</v>
      </c>
      <c r="S147" s="32">
        <v>13.08</v>
      </c>
      <c r="T147" s="42">
        <f t="shared" si="8"/>
        <v>1.3041106926218133</v>
      </c>
      <c r="U147" s="34">
        <f>V147/V148</f>
        <v>0.8867909324661053</v>
      </c>
      <c r="V147" s="32">
        <f>AVERAGE(T147,T149,T151)</f>
        <v>1.2899796856520827</v>
      </c>
      <c r="W147" s="32">
        <v>144</v>
      </c>
      <c r="X147" s="32">
        <v>107.8</v>
      </c>
      <c r="Y147" s="32">
        <v>43.95</v>
      </c>
      <c r="Z147" s="32">
        <v>60.3</v>
      </c>
    </row>
    <row r="148" spans="1:26" ht="14.4">
      <c r="A148" s="27">
        <v>144</v>
      </c>
      <c r="B148" s="27">
        <v>107.8</v>
      </c>
      <c r="C148" s="27">
        <v>43.95</v>
      </c>
      <c r="D148" s="27">
        <v>60.3</v>
      </c>
      <c r="E148" s="30" t="s">
        <v>84</v>
      </c>
      <c r="F148" s="310"/>
      <c r="G148" s="30" t="s">
        <v>304</v>
      </c>
      <c r="H148" s="31" t="s">
        <v>295</v>
      </c>
      <c r="I148" s="47">
        <f t="shared" si="9"/>
        <v>4.1999999999999984</v>
      </c>
      <c r="J148" s="32">
        <v>4.0307101727447199</v>
      </c>
      <c r="K148" s="33">
        <v>1219</v>
      </c>
      <c r="L148" s="33">
        <v>731.6</v>
      </c>
      <c r="M148" s="33">
        <v>1221.8</v>
      </c>
      <c r="N148" s="32">
        <v>63.62</v>
      </c>
      <c r="O148" s="32">
        <v>63.71</v>
      </c>
      <c r="P148" s="32">
        <v>63.43</v>
      </c>
      <c r="Q148" s="32">
        <v>63.26</v>
      </c>
      <c r="R148" s="32">
        <v>63.505000000000003</v>
      </c>
      <c r="S148" s="32">
        <v>14.84</v>
      </c>
      <c r="T148" s="42">
        <f t="shared" si="8"/>
        <v>1.4691611684119361</v>
      </c>
      <c r="V148" s="32">
        <f>AVERAGE(T148,T150,T152)</f>
        <v>1.4546604373420202</v>
      </c>
      <c r="W148" s="32">
        <v>144</v>
      </c>
      <c r="X148" s="32">
        <v>107.8</v>
      </c>
      <c r="Y148" s="32">
        <v>43.95</v>
      </c>
      <c r="Z148" s="32">
        <v>60.3</v>
      </c>
    </row>
    <row r="149" spans="1:26" ht="14.4">
      <c r="A149" s="27">
        <v>144</v>
      </c>
      <c r="B149" s="27">
        <v>107.8</v>
      </c>
      <c r="C149" s="27">
        <v>43.95</v>
      </c>
      <c r="D149" s="27">
        <v>60.3</v>
      </c>
      <c r="E149" s="30" t="s">
        <v>84</v>
      </c>
      <c r="F149" s="310"/>
      <c r="G149" s="30" t="s">
        <v>304</v>
      </c>
      <c r="H149" s="31" t="s">
        <v>399</v>
      </c>
      <c r="I149" s="47">
        <f t="shared" si="9"/>
        <v>4.1999999999999984</v>
      </c>
      <c r="J149" s="32">
        <v>4.0307101727447199</v>
      </c>
      <c r="K149" s="33">
        <v>1218.5999999999999</v>
      </c>
      <c r="L149" s="33">
        <v>730.3</v>
      </c>
      <c r="M149" s="33">
        <v>1220.2</v>
      </c>
      <c r="N149" s="32">
        <v>63.38</v>
      </c>
      <c r="O149" s="32">
        <v>63.35</v>
      </c>
      <c r="P149" s="32">
        <v>63.64</v>
      </c>
      <c r="Q149" s="32">
        <v>63.62</v>
      </c>
      <c r="R149" s="32">
        <v>63.497500000000002</v>
      </c>
      <c r="S149" s="32">
        <v>12.33</v>
      </c>
      <c r="T149" s="42">
        <f t="shared" si="8"/>
        <v>1.2208151502027638</v>
      </c>
      <c r="W149" s="32">
        <v>144</v>
      </c>
      <c r="X149" s="32">
        <v>107.8</v>
      </c>
      <c r="Y149" s="32">
        <v>43.95</v>
      </c>
      <c r="Z149" s="32">
        <v>60.3</v>
      </c>
    </row>
    <row r="150" spans="1:26" ht="14.4">
      <c r="A150" s="27">
        <v>144</v>
      </c>
      <c r="B150" s="27">
        <v>107.8</v>
      </c>
      <c r="C150" s="27">
        <v>43.95</v>
      </c>
      <c r="D150" s="27">
        <v>60.3</v>
      </c>
      <c r="E150" s="30" t="s">
        <v>84</v>
      </c>
      <c r="F150" s="310"/>
      <c r="G150" s="30" t="s">
        <v>304</v>
      </c>
      <c r="H150" s="31" t="s">
        <v>297</v>
      </c>
      <c r="I150" s="47">
        <f t="shared" si="9"/>
        <v>4.1999999999999984</v>
      </c>
      <c r="J150" s="32">
        <v>4.0307101727447199</v>
      </c>
      <c r="K150" s="33">
        <v>1216.8</v>
      </c>
      <c r="L150" s="33">
        <v>729.7</v>
      </c>
      <c r="M150" s="33">
        <v>1218.8</v>
      </c>
      <c r="N150" s="32">
        <v>64.25</v>
      </c>
      <c r="O150" s="32">
        <v>64.19</v>
      </c>
      <c r="P150" s="32">
        <v>64.19</v>
      </c>
      <c r="Q150" s="32">
        <v>64.260000000000005</v>
      </c>
      <c r="R150" s="32">
        <v>64.222499999999997</v>
      </c>
      <c r="S150" s="32">
        <v>14.7</v>
      </c>
      <c r="T150" s="42">
        <f t="shared" si="8"/>
        <v>1.4390423916851571</v>
      </c>
      <c r="W150" s="32">
        <v>144</v>
      </c>
      <c r="X150" s="32">
        <v>107.8</v>
      </c>
      <c r="Y150" s="32">
        <v>43.95</v>
      </c>
      <c r="Z150" s="32">
        <v>60.3</v>
      </c>
    </row>
    <row r="151" spans="1:26" ht="14.4">
      <c r="A151" s="27">
        <v>144</v>
      </c>
      <c r="B151" s="27">
        <v>107.8</v>
      </c>
      <c r="C151" s="27">
        <v>43.95</v>
      </c>
      <c r="D151" s="27">
        <v>60.3</v>
      </c>
      <c r="E151" s="30" t="s">
        <v>84</v>
      </c>
      <c r="F151" s="310"/>
      <c r="G151" s="30" t="s">
        <v>304</v>
      </c>
      <c r="H151" s="31" t="s">
        <v>401</v>
      </c>
      <c r="I151" s="47">
        <f t="shared" si="9"/>
        <v>4.1999999999999984</v>
      </c>
      <c r="J151" s="32">
        <v>4.0307101727447199</v>
      </c>
      <c r="K151" s="33">
        <v>1218.9000000000001</v>
      </c>
      <c r="L151" s="33">
        <v>728.9</v>
      </c>
      <c r="M151" s="33">
        <v>1220.5999999999999</v>
      </c>
      <c r="N151" s="32">
        <v>63.7</v>
      </c>
      <c r="O151" s="32">
        <v>63.81</v>
      </c>
      <c r="P151" s="32">
        <v>63.81</v>
      </c>
      <c r="Q151" s="32">
        <v>63.71</v>
      </c>
      <c r="R151" s="32">
        <v>63.7575</v>
      </c>
      <c r="S151" s="32">
        <v>13.64</v>
      </c>
      <c r="T151" s="42">
        <f t="shared" si="8"/>
        <v>1.3450132141316709</v>
      </c>
      <c r="W151" s="32">
        <v>144</v>
      </c>
      <c r="X151" s="32">
        <v>107.8</v>
      </c>
      <c r="Y151" s="32">
        <v>43.95</v>
      </c>
      <c r="Z151" s="32">
        <v>60.3</v>
      </c>
    </row>
    <row r="152" spans="1:26" ht="14.4">
      <c r="A152" s="27">
        <v>144</v>
      </c>
      <c r="B152" s="27">
        <v>107.8</v>
      </c>
      <c r="C152" s="27">
        <v>43.95</v>
      </c>
      <c r="D152" s="27">
        <v>60.3</v>
      </c>
      <c r="E152" s="30" t="s">
        <v>84</v>
      </c>
      <c r="F152" s="311"/>
      <c r="G152" s="30" t="s">
        <v>304</v>
      </c>
      <c r="H152" s="31" t="s">
        <v>299</v>
      </c>
      <c r="I152" s="47">
        <f t="shared" si="9"/>
        <v>4.1999999999999984</v>
      </c>
      <c r="J152" s="32">
        <v>4.0307101727447199</v>
      </c>
      <c r="K152" s="33">
        <v>1219</v>
      </c>
      <c r="L152" s="33">
        <v>731.4</v>
      </c>
      <c r="M152" s="33">
        <v>1221.5999999999999</v>
      </c>
      <c r="N152" s="32">
        <v>63.8</v>
      </c>
      <c r="O152" s="32">
        <v>64.680000000000007</v>
      </c>
      <c r="P152" s="32">
        <v>64.63</v>
      </c>
      <c r="Q152" s="32">
        <v>64.8</v>
      </c>
      <c r="R152" s="32">
        <v>64.477500000000006</v>
      </c>
      <c r="S152" s="32">
        <v>14.93</v>
      </c>
      <c r="T152" s="42">
        <f t="shared" si="8"/>
        <v>1.4557777519289672</v>
      </c>
      <c r="W152" s="32">
        <v>144</v>
      </c>
      <c r="X152" s="32">
        <v>107.8</v>
      </c>
      <c r="Y152" s="32">
        <v>43.95</v>
      </c>
      <c r="Z152" s="32">
        <v>60.3</v>
      </c>
    </row>
    <row r="153" spans="1:26" ht="14.4">
      <c r="A153" s="27">
        <v>144</v>
      </c>
      <c r="B153" s="27">
        <v>107.8</v>
      </c>
      <c r="C153" s="27">
        <v>43.95</v>
      </c>
      <c r="D153" s="27">
        <v>60.3</v>
      </c>
      <c r="E153" s="30" t="s">
        <v>84</v>
      </c>
      <c r="F153" s="304" t="s">
        <v>247</v>
      </c>
      <c r="G153" s="30" t="s">
        <v>305</v>
      </c>
      <c r="H153" s="31" t="s">
        <v>397</v>
      </c>
      <c r="I153" s="47">
        <f t="shared" si="9"/>
        <v>4.1999999999999984</v>
      </c>
      <c r="J153" s="32">
        <v>4.0307101727447199</v>
      </c>
      <c r="K153" s="33">
        <v>1208.9000000000001</v>
      </c>
      <c r="L153" s="33">
        <v>726.2</v>
      </c>
      <c r="M153" s="33">
        <v>1212.5999999999999</v>
      </c>
      <c r="N153" s="32">
        <v>64.8</v>
      </c>
      <c r="O153" s="32">
        <v>65.03</v>
      </c>
      <c r="P153" s="32">
        <v>64.77</v>
      </c>
      <c r="Q153" s="32">
        <v>64.75</v>
      </c>
      <c r="R153" s="32">
        <v>64.837500000000006</v>
      </c>
      <c r="S153" s="32">
        <v>11.27</v>
      </c>
      <c r="T153" s="42">
        <f t="shared" si="8"/>
        <v>1.0928010796221321</v>
      </c>
      <c r="U153" s="34">
        <f>V153/V154</f>
        <v>0.88959114617889046</v>
      </c>
      <c r="V153" s="32">
        <f>AVERAGE(T153,T155,T157)</f>
        <v>1.1845190598489885</v>
      </c>
      <c r="W153" s="32">
        <v>111</v>
      </c>
      <c r="X153" s="32">
        <v>124</v>
      </c>
      <c r="Y153" s="32">
        <v>41.5</v>
      </c>
      <c r="Z153" s="32">
        <v>56</v>
      </c>
    </row>
    <row r="154" spans="1:26" ht="14.4">
      <c r="A154" s="27">
        <v>144</v>
      </c>
      <c r="B154" s="27">
        <v>107.8</v>
      </c>
      <c r="C154" s="27">
        <v>43.95</v>
      </c>
      <c r="D154" s="27">
        <v>60.3</v>
      </c>
      <c r="E154" s="30" t="s">
        <v>84</v>
      </c>
      <c r="F154" s="305"/>
      <c r="G154" s="30" t="s">
        <v>305</v>
      </c>
      <c r="H154" s="31" t="s">
        <v>295</v>
      </c>
      <c r="I154" s="47">
        <f t="shared" si="9"/>
        <v>4.1999999999999984</v>
      </c>
      <c r="J154" s="32">
        <v>4.0307101727447199</v>
      </c>
      <c r="K154" s="33">
        <v>1218.3</v>
      </c>
      <c r="L154" s="33">
        <v>730.8</v>
      </c>
      <c r="M154" s="33">
        <v>1222.8</v>
      </c>
      <c r="N154" s="32">
        <v>64.08</v>
      </c>
      <c r="O154" s="32">
        <v>64.569999999999993</v>
      </c>
      <c r="P154" s="32">
        <v>64.540000000000006</v>
      </c>
      <c r="Q154" s="32">
        <v>64.41</v>
      </c>
      <c r="R154" s="32">
        <v>64.400000000000006</v>
      </c>
      <c r="S154" s="32">
        <v>13.08</v>
      </c>
      <c r="T154" s="42">
        <f t="shared" si="8"/>
        <v>1.2769248447204968</v>
      </c>
      <c r="V154" s="32">
        <f>AVERAGE(T154,T156,T158)</f>
        <v>1.3315319795356755</v>
      </c>
      <c r="W154" s="32">
        <v>111</v>
      </c>
      <c r="X154" s="32">
        <v>124</v>
      </c>
      <c r="Y154" s="32">
        <v>41.5</v>
      </c>
      <c r="Z154" s="32">
        <v>56</v>
      </c>
    </row>
    <row r="155" spans="1:26" ht="14.4">
      <c r="A155" s="27">
        <v>144</v>
      </c>
      <c r="B155" s="27">
        <v>107.8</v>
      </c>
      <c r="C155" s="27">
        <v>43.95</v>
      </c>
      <c r="D155" s="27">
        <v>60.3</v>
      </c>
      <c r="E155" s="30" t="s">
        <v>84</v>
      </c>
      <c r="F155" s="305"/>
      <c r="G155" s="30" t="s">
        <v>305</v>
      </c>
      <c r="H155" s="31" t="s">
        <v>399</v>
      </c>
      <c r="I155" s="47">
        <f t="shared" si="9"/>
        <v>4.1999999999999984</v>
      </c>
      <c r="J155" s="32">
        <v>4.0307101727447199</v>
      </c>
      <c r="K155" s="33">
        <v>1219.3</v>
      </c>
      <c r="L155" s="33">
        <v>731.9</v>
      </c>
      <c r="M155" s="33">
        <v>1223.8</v>
      </c>
      <c r="N155" s="32">
        <v>64.55</v>
      </c>
      <c r="O155" s="32">
        <v>64.67</v>
      </c>
      <c r="P155" s="32">
        <v>64.58</v>
      </c>
      <c r="Q155" s="32">
        <v>64.39</v>
      </c>
      <c r="R155" s="32">
        <v>64.547499999999999</v>
      </c>
      <c r="S155" s="32">
        <v>12.16</v>
      </c>
      <c r="T155" s="42">
        <f t="shared" si="8"/>
        <v>1.1843978465471166</v>
      </c>
      <c r="W155" s="32">
        <v>111</v>
      </c>
      <c r="X155" s="32">
        <v>124</v>
      </c>
      <c r="Y155" s="32">
        <v>41.5</v>
      </c>
      <c r="Z155" s="32">
        <v>56</v>
      </c>
    </row>
    <row r="156" spans="1:26" ht="14.4">
      <c r="A156" s="27">
        <v>144</v>
      </c>
      <c r="B156" s="27">
        <v>107.8</v>
      </c>
      <c r="C156" s="27">
        <v>43.95</v>
      </c>
      <c r="D156" s="27">
        <v>60.3</v>
      </c>
      <c r="E156" s="30" t="s">
        <v>84</v>
      </c>
      <c r="F156" s="305"/>
      <c r="G156" s="30" t="s">
        <v>305</v>
      </c>
      <c r="H156" s="31" t="s">
        <v>297</v>
      </c>
      <c r="I156" s="47">
        <f t="shared" si="9"/>
        <v>4.1999999999999984</v>
      </c>
      <c r="J156" s="32">
        <v>4.0307101727447199</v>
      </c>
      <c r="K156" s="33">
        <v>1219.0999999999999</v>
      </c>
      <c r="L156" s="33">
        <v>731.3</v>
      </c>
      <c r="M156" s="33">
        <v>1222.5999999999999</v>
      </c>
      <c r="N156" s="32">
        <v>63.91</v>
      </c>
      <c r="O156" s="32">
        <v>64.03</v>
      </c>
      <c r="P156" s="32">
        <v>64.17</v>
      </c>
      <c r="Q156" s="32">
        <v>64.08</v>
      </c>
      <c r="R156" s="32">
        <v>64.047499999999999</v>
      </c>
      <c r="S156" s="32">
        <v>13.81</v>
      </c>
      <c r="T156" s="42">
        <f t="shared" ref="T156:T219" si="10">6.287*S156/R156</f>
        <v>1.3556106015066942</v>
      </c>
      <c r="W156" s="32">
        <v>111</v>
      </c>
      <c r="X156" s="32">
        <v>124</v>
      </c>
      <c r="Y156" s="32">
        <v>41.5</v>
      </c>
      <c r="Z156" s="32">
        <v>56</v>
      </c>
    </row>
    <row r="157" spans="1:26" ht="14.4">
      <c r="A157" s="27">
        <v>161</v>
      </c>
      <c r="B157" s="27">
        <v>91</v>
      </c>
      <c r="C157" s="27">
        <v>44</v>
      </c>
      <c r="D157" s="27">
        <v>15</v>
      </c>
      <c r="E157" s="30" t="s">
        <v>84</v>
      </c>
      <c r="F157" s="305"/>
      <c r="G157" s="30" t="s">
        <v>305</v>
      </c>
      <c r="H157" s="31" t="s">
        <v>401</v>
      </c>
      <c r="I157" s="47">
        <f t="shared" si="9"/>
        <v>4.1999999999999984</v>
      </c>
      <c r="J157" s="32">
        <v>4.0307101727447199</v>
      </c>
      <c r="K157" s="33">
        <v>1216.9000000000001</v>
      </c>
      <c r="L157" s="33">
        <v>728.5</v>
      </c>
      <c r="M157" s="33">
        <v>1220.5999999999999</v>
      </c>
      <c r="N157" s="32">
        <v>63.86</v>
      </c>
      <c r="O157" s="32">
        <v>63.75</v>
      </c>
      <c r="P157" s="32">
        <v>63.7</v>
      </c>
      <c r="Q157" s="32">
        <v>64.040000000000006</v>
      </c>
      <c r="R157" s="32">
        <v>63.837499999999999</v>
      </c>
      <c r="S157" s="32">
        <v>12.96</v>
      </c>
      <c r="T157" s="42">
        <f t="shared" si="10"/>
        <v>1.2763582533777169</v>
      </c>
      <c r="W157" s="32">
        <v>111</v>
      </c>
      <c r="X157" s="32">
        <v>124</v>
      </c>
      <c r="Y157" s="32">
        <v>41.5</v>
      </c>
      <c r="Z157" s="32">
        <v>56</v>
      </c>
    </row>
    <row r="158" spans="1:26" ht="14.4">
      <c r="A158" s="27">
        <v>161</v>
      </c>
      <c r="B158" s="27">
        <v>91</v>
      </c>
      <c r="C158" s="27">
        <v>44</v>
      </c>
      <c r="D158" s="27">
        <v>15</v>
      </c>
      <c r="E158" s="30" t="s">
        <v>84</v>
      </c>
      <c r="F158" s="306"/>
      <c r="G158" s="30" t="s">
        <v>305</v>
      </c>
      <c r="H158" s="31" t="s">
        <v>299</v>
      </c>
      <c r="I158" s="47">
        <f t="shared" si="9"/>
        <v>4.1999999999999984</v>
      </c>
      <c r="J158" s="32">
        <v>4.0307101727447199</v>
      </c>
      <c r="K158" s="33">
        <v>1221.0999999999999</v>
      </c>
      <c r="L158" s="33">
        <v>732.2</v>
      </c>
      <c r="M158" s="33">
        <v>1223.5</v>
      </c>
      <c r="N158" s="32">
        <v>63.61</v>
      </c>
      <c r="O158" s="32">
        <v>63.5</v>
      </c>
      <c r="P158" s="32">
        <v>64.34</v>
      </c>
      <c r="Q158" s="32">
        <v>64.45</v>
      </c>
      <c r="R158" s="32">
        <v>63.975000000000001</v>
      </c>
      <c r="S158" s="32">
        <v>13.86</v>
      </c>
      <c r="T158" s="42">
        <f t="shared" si="10"/>
        <v>1.3620604923798356</v>
      </c>
      <c r="W158" s="32">
        <v>111</v>
      </c>
      <c r="X158" s="32">
        <v>124</v>
      </c>
      <c r="Y158" s="32">
        <v>41.5</v>
      </c>
      <c r="Z158" s="32">
        <v>56</v>
      </c>
    </row>
    <row r="159" spans="1:26" ht="14.4">
      <c r="A159" s="27">
        <v>161</v>
      </c>
      <c r="B159" s="27">
        <v>91</v>
      </c>
      <c r="C159" s="27">
        <v>44</v>
      </c>
      <c r="D159" s="27">
        <v>15</v>
      </c>
      <c r="E159" s="30" t="s">
        <v>92</v>
      </c>
      <c r="F159" s="304" t="s">
        <v>248</v>
      </c>
      <c r="G159" s="30" t="s">
        <v>322</v>
      </c>
      <c r="H159" s="31" t="s">
        <v>397</v>
      </c>
      <c r="I159" s="47">
        <f t="shared" si="9"/>
        <v>4.1999999999999984</v>
      </c>
      <c r="J159" s="32">
        <v>4.0307101727447199</v>
      </c>
      <c r="K159" s="33">
        <v>1217.0999999999999</v>
      </c>
      <c r="L159" s="33">
        <v>732.3</v>
      </c>
      <c r="M159" s="33">
        <v>1220.5</v>
      </c>
      <c r="N159" s="32">
        <v>63.04</v>
      </c>
      <c r="O159" s="32">
        <v>63.09</v>
      </c>
      <c r="P159" s="32">
        <v>63.38</v>
      </c>
      <c r="Q159" s="32">
        <v>63.11</v>
      </c>
      <c r="R159" s="32">
        <v>63.155000000000001</v>
      </c>
      <c r="S159" s="32">
        <v>10.25</v>
      </c>
      <c r="T159" s="42">
        <f t="shared" si="10"/>
        <v>1.0203744754967936</v>
      </c>
      <c r="U159" s="34">
        <f>V159/V160</f>
        <v>0.78964273582940248</v>
      </c>
      <c r="V159" s="32">
        <f>AVERAGE(T159,T161,T163)</f>
        <v>0.9477881536331827</v>
      </c>
      <c r="W159" s="32">
        <v>161</v>
      </c>
      <c r="X159" s="32">
        <v>91</v>
      </c>
      <c r="Y159" s="32">
        <v>44</v>
      </c>
      <c r="Z159" s="32">
        <v>15</v>
      </c>
    </row>
    <row r="160" spans="1:26" ht="14.4">
      <c r="A160" s="27">
        <v>161</v>
      </c>
      <c r="B160" s="27">
        <v>91</v>
      </c>
      <c r="C160" s="27">
        <v>44</v>
      </c>
      <c r="D160" s="27">
        <v>15</v>
      </c>
      <c r="E160" s="30" t="s">
        <v>92</v>
      </c>
      <c r="F160" s="305"/>
      <c r="G160" s="30" t="s">
        <v>322</v>
      </c>
      <c r="H160" s="31" t="s">
        <v>295</v>
      </c>
      <c r="I160" s="47">
        <f t="shared" si="9"/>
        <v>4.1999999999999984</v>
      </c>
      <c r="J160" s="32">
        <v>4.0307101727447199</v>
      </c>
      <c r="K160" s="33">
        <v>1217.4000000000001</v>
      </c>
      <c r="L160" s="33">
        <v>732.2</v>
      </c>
      <c r="M160" s="33">
        <v>1220.7</v>
      </c>
      <c r="N160" s="32">
        <v>63.31</v>
      </c>
      <c r="O160" s="32">
        <v>63.46</v>
      </c>
      <c r="P160" s="32">
        <v>63.37</v>
      </c>
      <c r="Q160" s="32">
        <v>63.24</v>
      </c>
      <c r="R160" s="32">
        <v>63.344999999999999</v>
      </c>
      <c r="S160" s="32">
        <v>14.11</v>
      </c>
      <c r="T160" s="42">
        <f t="shared" si="10"/>
        <v>1.4004194490488595</v>
      </c>
      <c r="V160" s="32">
        <f>AVERAGE(T160,T162,T164)</f>
        <v>1.2002746439979239</v>
      </c>
      <c r="W160" s="32">
        <v>161</v>
      </c>
      <c r="X160" s="32">
        <v>91</v>
      </c>
      <c r="Y160" s="32">
        <v>44</v>
      </c>
      <c r="Z160" s="32">
        <v>15</v>
      </c>
    </row>
    <row r="161" spans="1:26" ht="14.4">
      <c r="A161" s="27">
        <v>161</v>
      </c>
      <c r="B161" s="27">
        <v>91</v>
      </c>
      <c r="C161" s="27">
        <v>44</v>
      </c>
      <c r="D161" s="27">
        <v>15</v>
      </c>
      <c r="E161" s="30" t="s">
        <v>92</v>
      </c>
      <c r="F161" s="305"/>
      <c r="G161" s="30" t="s">
        <v>322</v>
      </c>
      <c r="H161" s="31" t="s">
        <v>399</v>
      </c>
      <c r="I161" s="47">
        <f t="shared" si="9"/>
        <v>4.1999999999999984</v>
      </c>
      <c r="J161" s="32">
        <v>4.0307101727447199</v>
      </c>
      <c r="K161" s="33">
        <v>1219.5</v>
      </c>
      <c r="L161" s="33">
        <v>733.9</v>
      </c>
      <c r="M161" s="33">
        <v>1224.0999999999999</v>
      </c>
      <c r="N161" s="32">
        <v>63.72</v>
      </c>
      <c r="O161" s="32">
        <v>63.9</v>
      </c>
      <c r="P161" s="32">
        <v>63.7</v>
      </c>
      <c r="Q161" s="32">
        <v>63.89</v>
      </c>
      <c r="R161" s="32">
        <v>63.802500000000002</v>
      </c>
      <c r="S161" s="32">
        <v>9.2899999999999991</v>
      </c>
      <c r="T161" s="42">
        <f t="shared" si="10"/>
        <v>0.91542227969123457</v>
      </c>
      <c r="W161" s="32">
        <v>161</v>
      </c>
      <c r="X161" s="32">
        <v>91</v>
      </c>
      <c r="Y161" s="32">
        <v>44</v>
      </c>
      <c r="Z161" s="32">
        <v>15</v>
      </c>
    </row>
    <row r="162" spans="1:26" ht="14.4">
      <c r="A162" s="27">
        <v>161</v>
      </c>
      <c r="B162" s="27">
        <v>91</v>
      </c>
      <c r="C162" s="27">
        <v>44</v>
      </c>
      <c r="D162" s="27">
        <v>15</v>
      </c>
      <c r="E162" s="30" t="s">
        <v>92</v>
      </c>
      <c r="F162" s="305"/>
      <c r="G162" s="30" t="s">
        <v>322</v>
      </c>
      <c r="H162" s="31" t="s">
        <v>297</v>
      </c>
      <c r="I162" s="47">
        <f t="shared" si="9"/>
        <v>4.1999999999999984</v>
      </c>
      <c r="J162" s="32">
        <v>4.0307101727447199</v>
      </c>
      <c r="K162" s="33">
        <v>1214.5</v>
      </c>
      <c r="L162" s="33">
        <v>726.6</v>
      </c>
      <c r="M162" s="33">
        <v>1221</v>
      </c>
      <c r="N162" s="32">
        <v>65.569999999999993</v>
      </c>
      <c r="O162" s="32">
        <v>65.56</v>
      </c>
      <c r="P162" s="32">
        <v>65.760000000000005</v>
      </c>
      <c r="Q162" s="32">
        <v>65.53</v>
      </c>
      <c r="R162" s="32">
        <v>65.605000000000004</v>
      </c>
      <c r="S162" s="32">
        <v>10.54</v>
      </c>
      <c r="T162" s="42">
        <f t="shared" si="10"/>
        <v>1.0100599039707339</v>
      </c>
      <c r="W162" s="32">
        <v>161</v>
      </c>
      <c r="X162" s="32">
        <v>91</v>
      </c>
      <c r="Y162" s="32">
        <v>44</v>
      </c>
      <c r="Z162" s="32">
        <v>15</v>
      </c>
    </row>
    <row r="163" spans="1:26" ht="14.4">
      <c r="A163" s="27">
        <v>161</v>
      </c>
      <c r="B163" s="27">
        <v>91</v>
      </c>
      <c r="C163" s="27">
        <v>44</v>
      </c>
      <c r="D163" s="27">
        <v>15</v>
      </c>
      <c r="E163" s="30" t="s">
        <v>92</v>
      </c>
      <c r="F163" s="305"/>
      <c r="G163" s="30" t="s">
        <v>322</v>
      </c>
      <c r="H163" s="31" t="s">
        <v>401</v>
      </c>
      <c r="I163" s="47">
        <f t="shared" si="9"/>
        <v>4.1999999999999984</v>
      </c>
      <c r="J163" s="32">
        <v>4.0307101727447199</v>
      </c>
      <c r="K163" s="33">
        <v>1217.5999999999999</v>
      </c>
      <c r="L163" s="33">
        <v>728.8</v>
      </c>
      <c r="M163" s="33">
        <v>1222.0999999999999</v>
      </c>
      <c r="N163" s="32">
        <v>64.55</v>
      </c>
      <c r="O163" s="32">
        <v>64.650000000000006</v>
      </c>
      <c r="P163" s="32">
        <v>64.47</v>
      </c>
      <c r="Q163" s="32">
        <v>64.58</v>
      </c>
      <c r="R163" s="32">
        <v>64.5625</v>
      </c>
      <c r="S163" s="32">
        <v>9.32</v>
      </c>
      <c r="T163" s="42">
        <f t="shared" si="10"/>
        <v>0.90756770571151979</v>
      </c>
      <c r="W163" s="32">
        <v>161</v>
      </c>
      <c r="X163" s="32">
        <v>91</v>
      </c>
      <c r="Y163" s="32">
        <v>44</v>
      </c>
      <c r="Z163" s="32">
        <v>15</v>
      </c>
    </row>
    <row r="164" spans="1:26" ht="14.4">
      <c r="A164" s="27">
        <v>161</v>
      </c>
      <c r="B164" s="27">
        <v>91</v>
      </c>
      <c r="C164" s="27">
        <v>44</v>
      </c>
      <c r="D164" s="27">
        <v>15</v>
      </c>
      <c r="E164" s="30" t="s">
        <v>92</v>
      </c>
      <c r="F164" s="306"/>
      <c r="G164" s="30" t="s">
        <v>322</v>
      </c>
      <c r="H164" s="31" t="s">
        <v>299</v>
      </c>
      <c r="I164" s="47">
        <f t="shared" si="9"/>
        <v>4.1999999999999984</v>
      </c>
      <c r="J164" s="32">
        <v>4.0307101727447199</v>
      </c>
      <c r="K164" s="33">
        <v>1208.5999999999999</v>
      </c>
      <c r="L164" s="33">
        <v>726.5</v>
      </c>
      <c r="M164" s="33">
        <v>1213.8</v>
      </c>
      <c r="N164" s="32">
        <v>63.74</v>
      </c>
      <c r="O164" s="32">
        <v>63.83</v>
      </c>
      <c r="P164" s="32">
        <v>63.83</v>
      </c>
      <c r="Q164" s="32">
        <v>63.81</v>
      </c>
      <c r="R164" s="32">
        <v>63.802500000000002</v>
      </c>
      <c r="S164" s="32">
        <v>12.08</v>
      </c>
      <c r="T164" s="42">
        <f t="shared" si="10"/>
        <v>1.1903445789741782</v>
      </c>
      <c r="W164" s="32">
        <v>161</v>
      </c>
      <c r="X164" s="32">
        <v>91</v>
      </c>
      <c r="Y164" s="32">
        <v>44</v>
      </c>
      <c r="Z164" s="32">
        <v>15</v>
      </c>
    </row>
    <row r="165" spans="1:26" ht="14.4">
      <c r="A165" s="27">
        <v>161</v>
      </c>
      <c r="B165" s="27">
        <v>91</v>
      </c>
      <c r="C165" s="27">
        <v>44</v>
      </c>
      <c r="D165" s="27">
        <v>15</v>
      </c>
      <c r="E165" s="30" t="s">
        <v>92</v>
      </c>
      <c r="F165" s="304" t="s">
        <v>249</v>
      </c>
      <c r="G165" s="30" t="s">
        <v>323</v>
      </c>
      <c r="H165" s="31" t="s">
        <v>397</v>
      </c>
      <c r="I165" s="47">
        <f t="shared" si="9"/>
        <v>4.1999999999999984</v>
      </c>
      <c r="J165" s="32">
        <v>4.0307101727447199</v>
      </c>
      <c r="K165" s="33">
        <v>1200.9000000000001</v>
      </c>
      <c r="L165" s="33">
        <v>715.9</v>
      </c>
      <c r="M165" s="33">
        <v>1205.0999999999999</v>
      </c>
      <c r="N165" s="32">
        <v>63.62</v>
      </c>
      <c r="O165" s="32">
        <v>63.93</v>
      </c>
      <c r="P165" s="32">
        <v>63.65</v>
      </c>
      <c r="Q165" s="32">
        <v>63.69</v>
      </c>
      <c r="R165" s="32">
        <v>63.722499999999997</v>
      </c>
      <c r="S165" s="32">
        <v>10.76</v>
      </c>
      <c r="T165" s="42">
        <f t="shared" si="10"/>
        <v>1.0616049276158341</v>
      </c>
      <c r="U165" s="34">
        <f>V165/V166</f>
        <v>0.83740639416602591</v>
      </c>
      <c r="V165" s="32">
        <f>AVERAGE(T165,T167,T169)</f>
        <v>1.0478557740360905</v>
      </c>
      <c r="W165" s="32">
        <v>161</v>
      </c>
      <c r="X165" s="32">
        <v>91</v>
      </c>
      <c r="Y165" s="32">
        <v>44</v>
      </c>
      <c r="Z165" s="32">
        <v>15</v>
      </c>
    </row>
    <row r="166" spans="1:26" ht="14.4">
      <c r="A166" s="27">
        <v>161</v>
      </c>
      <c r="B166" s="27">
        <v>91</v>
      </c>
      <c r="C166" s="27">
        <v>44</v>
      </c>
      <c r="D166" s="27">
        <v>15</v>
      </c>
      <c r="E166" s="30" t="s">
        <v>92</v>
      </c>
      <c r="F166" s="305"/>
      <c r="G166" s="30" t="s">
        <v>323</v>
      </c>
      <c r="H166" s="31" t="s">
        <v>295</v>
      </c>
      <c r="I166" s="47">
        <f t="shared" si="9"/>
        <v>4.1999999999999984</v>
      </c>
      <c r="J166" s="32">
        <v>4.0307101727447199</v>
      </c>
      <c r="K166" s="33">
        <v>1199.9000000000001</v>
      </c>
      <c r="L166" s="33">
        <v>712.9</v>
      </c>
      <c r="M166" s="33">
        <v>1202.9000000000001</v>
      </c>
      <c r="N166" s="32">
        <v>64.25</v>
      </c>
      <c r="O166" s="32">
        <v>64.3</v>
      </c>
      <c r="P166" s="32">
        <v>64.09</v>
      </c>
      <c r="Q166" s="32">
        <v>64.17</v>
      </c>
      <c r="R166" s="32">
        <v>64.202500000000001</v>
      </c>
      <c r="S166" s="32">
        <v>12.75</v>
      </c>
      <c r="T166" s="42">
        <f t="shared" si="10"/>
        <v>1.2485378295237723</v>
      </c>
      <c r="V166" s="32">
        <f>AVERAGE(T166,T168,T170)</f>
        <v>1.2513109301961463</v>
      </c>
      <c r="W166" s="32">
        <v>161</v>
      </c>
      <c r="X166" s="32">
        <v>91</v>
      </c>
      <c r="Y166" s="32">
        <v>44</v>
      </c>
      <c r="Z166" s="32">
        <v>15</v>
      </c>
    </row>
    <row r="167" spans="1:26" ht="14.4">
      <c r="A167" s="27">
        <v>161</v>
      </c>
      <c r="B167" s="27">
        <v>91</v>
      </c>
      <c r="C167" s="27">
        <v>44</v>
      </c>
      <c r="D167" s="27">
        <v>15</v>
      </c>
      <c r="E167" s="30" t="s">
        <v>92</v>
      </c>
      <c r="F167" s="305"/>
      <c r="G167" s="30" t="s">
        <v>323</v>
      </c>
      <c r="H167" s="31" t="s">
        <v>399</v>
      </c>
      <c r="I167" s="47">
        <f t="shared" si="9"/>
        <v>4.1999999999999984</v>
      </c>
      <c r="J167" s="32">
        <v>4.0307101727447199</v>
      </c>
      <c r="K167" s="33">
        <v>1199.2</v>
      </c>
      <c r="L167" s="33">
        <v>715.7</v>
      </c>
      <c r="M167" s="33">
        <v>1202.2</v>
      </c>
      <c r="N167" s="32">
        <v>62.84</v>
      </c>
      <c r="O167" s="32">
        <v>62.92</v>
      </c>
      <c r="P167" s="32">
        <v>63</v>
      </c>
      <c r="Q167" s="32">
        <v>62.8</v>
      </c>
      <c r="R167" s="32">
        <v>62.89</v>
      </c>
      <c r="S167" s="32">
        <v>10.45</v>
      </c>
      <c r="T167" s="42">
        <f t="shared" si="10"/>
        <v>1.0446676737160119</v>
      </c>
      <c r="W167" s="32">
        <v>161</v>
      </c>
      <c r="X167" s="32">
        <v>91</v>
      </c>
      <c r="Y167" s="32">
        <v>44</v>
      </c>
      <c r="Z167" s="32">
        <v>15</v>
      </c>
    </row>
    <row r="168" spans="1:26" ht="14.4">
      <c r="A168" s="27">
        <v>161</v>
      </c>
      <c r="B168" s="27">
        <v>91</v>
      </c>
      <c r="C168" s="27">
        <v>44</v>
      </c>
      <c r="D168" s="27">
        <v>15</v>
      </c>
      <c r="E168" s="30" t="s">
        <v>92</v>
      </c>
      <c r="F168" s="305"/>
      <c r="G168" s="30" t="s">
        <v>323</v>
      </c>
      <c r="H168" s="31" t="s">
        <v>297</v>
      </c>
      <c r="I168" s="47">
        <f t="shared" si="9"/>
        <v>4.1999999999999984</v>
      </c>
      <c r="J168" s="32">
        <v>4.0307101727447199</v>
      </c>
      <c r="K168" s="33">
        <v>1203.0999999999999</v>
      </c>
      <c r="L168" s="33">
        <v>712.1</v>
      </c>
      <c r="M168" s="33">
        <v>1207.2</v>
      </c>
      <c r="N168" s="32">
        <v>64.06</v>
      </c>
      <c r="O168" s="32">
        <v>63.75</v>
      </c>
      <c r="P168" s="32">
        <v>64.08</v>
      </c>
      <c r="Q168" s="32">
        <v>64.09</v>
      </c>
      <c r="R168" s="32">
        <v>63.994999999999997</v>
      </c>
      <c r="S168" s="32">
        <v>11.85</v>
      </c>
      <c r="T168" s="42">
        <f t="shared" si="10"/>
        <v>1.1641682943979998</v>
      </c>
      <c r="W168" s="32">
        <v>161</v>
      </c>
      <c r="X168" s="32">
        <v>91</v>
      </c>
      <c r="Y168" s="32">
        <v>44</v>
      </c>
      <c r="Z168" s="32">
        <v>15</v>
      </c>
    </row>
    <row r="169" spans="1:26" ht="14.4">
      <c r="A169" s="27">
        <v>161</v>
      </c>
      <c r="B169" s="27">
        <v>91</v>
      </c>
      <c r="C169" s="27">
        <v>44</v>
      </c>
      <c r="D169" s="27">
        <v>15</v>
      </c>
      <c r="E169" s="30" t="s">
        <v>92</v>
      </c>
      <c r="F169" s="305"/>
      <c r="G169" s="30" t="s">
        <v>323</v>
      </c>
      <c r="H169" s="31" t="s">
        <v>401</v>
      </c>
      <c r="I169" s="47">
        <f t="shared" si="9"/>
        <v>4.1999999999999984</v>
      </c>
      <c r="J169" s="32">
        <v>4.0307101727447199</v>
      </c>
      <c r="K169" s="33">
        <v>1201.5999999999999</v>
      </c>
      <c r="L169" s="33">
        <v>715.3</v>
      </c>
      <c r="M169" s="33">
        <v>1205.9000000000001</v>
      </c>
      <c r="N169" s="32">
        <v>64.08</v>
      </c>
      <c r="O169" s="32">
        <v>63.75</v>
      </c>
      <c r="P169" s="32">
        <v>63.7</v>
      </c>
      <c r="Q169" s="32">
        <v>64</v>
      </c>
      <c r="R169" s="32">
        <v>63.8825</v>
      </c>
      <c r="S169" s="32">
        <v>10.54</v>
      </c>
      <c r="T169" s="42">
        <f t="shared" si="10"/>
        <v>1.0372947207764254</v>
      </c>
      <c r="W169" s="32">
        <v>161</v>
      </c>
      <c r="X169" s="32">
        <v>91</v>
      </c>
      <c r="Y169" s="32">
        <v>44</v>
      </c>
      <c r="Z169" s="32">
        <v>15</v>
      </c>
    </row>
    <row r="170" spans="1:26" ht="14.4">
      <c r="A170" s="27">
        <v>161</v>
      </c>
      <c r="B170" s="27">
        <v>91</v>
      </c>
      <c r="C170" s="27">
        <v>44</v>
      </c>
      <c r="D170" s="27">
        <v>15</v>
      </c>
      <c r="E170" s="30" t="s">
        <v>92</v>
      </c>
      <c r="F170" s="306"/>
      <c r="G170" s="30" t="s">
        <v>323</v>
      </c>
      <c r="H170" s="31" t="s">
        <v>299</v>
      </c>
      <c r="I170" s="47">
        <f t="shared" si="9"/>
        <v>4.1999999999999984</v>
      </c>
      <c r="J170" s="32">
        <v>4.0307101727447199</v>
      </c>
      <c r="K170" s="33">
        <v>1196.3</v>
      </c>
      <c r="L170" s="33">
        <v>715.9</v>
      </c>
      <c r="M170" s="33">
        <v>1199.9000000000001</v>
      </c>
      <c r="N170" s="32">
        <v>62.59</v>
      </c>
      <c r="O170" s="32">
        <v>62.41</v>
      </c>
      <c r="P170" s="32">
        <v>62.32</v>
      </c>
      <c r="Q170" s="32">
        <v>62.43</v>
      </c>
      <c r="R170" s="32">
        <v>62.4375</v>
      </c>
      <c r="S170" s="32">
        <v>13.32</v>
      </c>
      <c r="T170" s="42">
        <f t="shared" si="10"/>
        <v>1.3412266666666668</v>
      </c>
      <c r="W170" s="32">
        <v>161</v>
      </c>
      <c r="X170" s="32">
        <v>91</v>
      </c>
      <c r="Y170" s="32">
        <v>44</v>
      </c>
      <c r="Z170" s="32">
        <v>15</v>
      </c>
    </row>
    <row r="171" spans="1:26" ht="14.4">
      <c r="A171" s="27">
        <v>161</v>
      </c>
      <c r="B171" s="27">
        <v>91</v>
      </c>
      <c r="C171" s="27">
        <v>44</v>
      </c>
      <c r="D171" s="27">
        <v>15</v>
      </c>
      <c r="E171" s="30" t="s">
        <v>69</v>
      </c>
      <c r="F171" s="309" t="s">
        <v>436</v>
      </c>
      <c r="G171" s="91" t="s">
        <v>324</v>
      </c>
      <c r="H171" s="31" t="s">
        <v>397</v>
      </c>
      <c r="I171" s="47">
        <f t="shared" si="9"/>
        <v>6.255771770843694</v>
      </c>
      <c r="J171" s="32">
        <v>5.8874653739612297</v>
      </c>
      <c r="K171" s="33">
        <v>1203.4000000000001</v>
      </c>
      <c r="L171" s="33">
        <v>703.6</v>
      </c>
      <c r="M171" s="33">
        <v>1205.0999999999999</v>
      </c>
      <c r="N171" s="32">
        <v>63.84</v>
      </c>
      <c r="O171" s="32">
        <v>63.87</v>
      </c>
      <c r="P171" s="32">
        <v>64.02</v>
      </c>
      <c r="Q171" s="32">
        <v>64.83</v>
      </c>
      <c r="R171" s="32">
        <v>64.14</v>
      </c>
      <c r="S171" s="32">
        <v>15.41</v>
      </c>
      <c r="T171" s="42">
        <f t="shared" si="10"/>
        <v>1.5104875272840661</v>
      </c>
      <c r="U171" s="34">
        <f>V171/V172</f>
        <v>0.85583278218153858</v>
      </c>
      <c r="V171" s="32">
        <f>AVERAGE(T171,T173,T175)</f>
        <v>1.5030362639508079</v>
      </c>
      <c r="W171" s="32">
        <v>161</v>
      </c>
      <c r="X171" s="32">
        <v>91</v>
      </c>
      <c r="Y171" s="32">
        <v>44</v>
      </c>
      <c r="Z171" s="32">
        <v>15</v>
      </c>
    </row>
    <row r="172" spans="1:26" ht="14.4">
      <c r="A172" s="27">
        <v>161</v>
      </c>
      <c r="B172" s="27">
        <v>91</v>
      </c>
      <c r="C172" s="27">
        <v>44</v>
      </c>
      <c r="D172" s="27">
        <v>15</v>
      </c>
      <c r="E172" s="30" t="s">
        <v>69</v>
      </c>
      <c r="F172" s="305"/>
      <c r="G172" s="91" t="s">
        <v>324</v>
      </c>
      <c r="H172" s="31" t="s">
        <v>295</v>
      </c>
      <c r="I172" s="47">
        <f t="shared" si="9"/>
        <v>6.255771770843694</v>
      </c>
      <c r="J172" s="32">
        <v>5.8874653739612297</v>
      </c>
      <c r="K172" s="33">
        <v>1203.2</v>
      </c>
      <c r="L172" s="33">
        <v>702.4</v>
      </c>
      <c r="M172" s="33">
        <v>1205.4000000000001</v>
      </c>
      <c r="N172" s="32">
        <v>63.93</v>
      </c>
      <c r="O172" s="32">
        <v>64.03</v>
      </c>
      <c r="P172" s="32">
        <v>64.05</v>
      </c>
      <c r="Q172" s="32">
        <v>64.099999999999994</v>
      </c>
      <c r="R172" s="32">
        <v>64.027500000000003</v>
      </c>
      <c r="S172" s="32">
        <v>19.989999999999998</v>
      </c>
      <c r="T172" s="42">
        <f t="shared" si="10"/>
        <v>1.9628617390964818</v>
      </c>
      <c r="V172" s="32">
        <f>AVERAGE(T172,T174,T176)</f>
        <v>1.7562265611274341</v>
      </c>
      <c r="W172" s="32">
        <v>161</v>
      </c>
      <c r="X172" s="32">
        <v>91</v>
      </c>
      <c r="Y172" s="32">
        <v>44</v>
      </c>
      <c r="Z172" s="32">
        <v>15</v>
      </c>
    </row>
    <row r="173" spans="1:26" ht="14.4">
      <c r="A173" s="27">
        <v>161</v>
      </c>
      <c r="B173" s="27">
        <v>91</v>
      </c>
      <c r="C173" s="27">
        <v>44</v>
      </c>
      <c r="D173" s="27">
        <v>15</v>
      </c>
      <c r="E173" s="30" t="s">
        <v>69</v>
      </c>
      <c r="F173" s="305"/>
      <c r="G173" s="91" t="s">
        <v>324</v>
      </c>
      <c r="H173" s="31" t="s">
        <v>399</v>
      </c>
      <c r="I173" s="47">
        <f t="shared" si="9"/>
        <v>6.255771770843694</v>
      </c>
      <c r="J173" s="32">
        <v>5.8874653739612297</v>
      </c>
      <c r="K173" s="33">
        <v>1202.2</v>
      </c>
      <c r="L173" s="33">
        <v>701.1</v>
      </c>
      <c r="M173" s="33">
        <v>1204.2</v>
      </c>
      <c r="N173" s="32">
        <v>64.260000000000005</v>
      </c>
      <c r="O173" s="32">
        <v>64</v>
      </c>
      <c r="P173" s="32">
        <v>64.099999999999994</v>
      </c>
      <c r="Q173" s="32">
        <v>63.96</v>
      </c>
      <c r="R173" s="32">
        <v>64.08</v>
      </c>
      <c r="S173" s="32">
        <v>15.21</v>
      </c>
      <c r="T173" s="42">
        <f t="shared" si="10"/>
        <v>1.4922794943820226</v>
      </c>
      <c r="W173" s="32">
        <v>161</v>
      </c>
      <c r="X173" s="32">
        <v>91</v>
      </c>
      <c r="Y173" s="32">
        <v>44</v>
      </c>
      <c r="Z173" s="32">
        <v>15</v>
      </c>
    </row>
    <row r="174" spans="1:26" ht="14.4">
      <c r="A174" s="27">
        <v>161</v>
      </c>
      <c r="B174" s="27">
        <v>91</v>
      </c>
      <c r="C174" s="27">
        <v>44</v>
      </c>
      <c r="D174" s="27">
        <v>15</v>
      </c>
      <c r="E174" s="30" t="s">
        <v>69</v>
      </c>
      <c r="F174" s="305"/>
      <c r="G174" s="91" t="s">
        <v>324</v>
      </c>
      <c r="H174" s="31" t="s">
        <v>297</v>
      </c>
      <c r="I174" s="47">
        <f t="shared" si="9"/>
        <v>6.255771770843694</v>
      </c>
      <c r="J174" s="32">
        <v>5.8874653739612297</v>
      </c>
      <c r="K174" s="33">
        <v>1200.9000000000001</v>
      </c>
      <c r="L174" s="33">
        <v>702.7</v>
      </c>
      <c r="M174" s="33">
        <v>1202.5999999999999</v>
      </c>
      <c r="N174" s="32">
        <v>64.040000000000006</v>
      </c>
      <c r="O174" s="32">
        <v>64.040000000000006</v>
      </c>
      <c r="P174" s="32">
        <v>64.12</v>
      </c>
      <c r="Q174" s="32">
        <v>63.91</v>
      </c>
      <c r="R174" s="32">
        <v>64.027500000000003</v>
      </c>
      <c r="S174" s="32">
        <v>17.03</v>
      </c>
      <c r="T174" s="42">
        <f t="shared" si="10"/>
        <v>1.6722128772792939</v>
      </c>
      <c r="W174" s="32">
        <v>161</v>
      </c>
      <c r="X174" s="32">
        <v>91</v>
      </c>
      <c r="Y174" s="32">
        <v>44</v>
      </c>
      <c r="Z174" s="32">
        <v>15</v>
      </c>
    </row>
    <row r="175" spans="1:26" ht="14.4">
      <c r="A175" s="27">
        <v>161</v>
      </c>
      <c r="B175" s="27">
        <v>91</v>
      </c>
      <c r="C175" s="27">
        <v>44</v>
      </c>
      <c r="D175" s="27">
        <v>15</v>
      </c>
      <c r="E175" s="30" t="s">
        <v>69</v>
      </c>
      <c r="F175" s="305"/>
      <c r="G175" s="91" t="s">
        <v>324</v>
      </c>
      <c r="H175" s="31" t="s">
        <v>401</v>
      </c>
      <c r="I175" s="47">
        <f t="shared" si="9"/>
        <v>6.255771770843694</v>
      </c>
      <c r="J175" s="32">
        <v>5.8874653739612297</v>
      </c>
      <c r="K175" s="33">
        <v>1201.2</v>
      </c>
      <c r="L175" s="33">
        <v>700.8</v>
      </c>
      <c r="M175" s="33">
        <v>1203.4000000000001</v>
      </c>
      <c r="N175" s="32">
        <v>64.400000000000006</v>
      </c>
      <c r="O175" s="32">
        <v>64.58</v>
      </c>
      <c r="P175" s="32">
        <v>64.23</v>
      </c>
      <c r="Q175" s="32">
        <v>64.39</v>
      </c>
      <c r="R175" s="32">
        <v>64.400000000000006</v>
      </c>
      <c r="S175" s="32">
        <v>15.43</v>
      </c>
      <c r="T175" s="42">
        <f t="shared" si="10"/>
        <v>1.5063417701863353</v>
      </c>
      <c r="W175" s="32">
        <v>161</v>
      </c>
      <c r="X175" s="32">
        <v>91</v>
      </c>
      <c r="Y175" s="32">
        <v>44</v>
      </c>
      <c r="Z175" s="32">
        <v>15</v>
      </c>
    </row>
    <row r="176" spans="1:26" ht="14.4">
      <c r="A176" s="27">
        <v>161</v>
      </c>
      <c r="B176" s="27">
        <v>91</v>
      </c>
      <c r="C176" s="27">
        <v>44</v>
      </c>
      <c r="D176" s="27">
        <v>15</v>
      </c>
      <c r="E176" s="30" t="s">
        <v>69</v>
      </c>
      <c r="F176" s="306"/>
      <c r="G176" s="91" t="s">
        <v>324</v>
      </c>
      <c r="H176" s="31" t="s">
        <v>299</v>
      </c>
      <c r="I176" s="47">
        <f t="shared" si="9"/>
        <v>6.255771770843694</v>
      </c>
      <c r="J176" s="32">
        <v>5.8874653739612297</v>
      </c>
      <c r="K176" s="33">
        <v>1202.8</v>
      </c>
      <c r="L176" s="33">
        <v>699.8</v>
      </c>
      <c r="M176" s="33">
        <v>1205.5</v>
      </c>
      <c r="N176" s="32">
        <v>64.150000000000006</v>
      </c>
      <c r="O176" s="32">
        <v>64.8</v>
      </c>
      <c r="P176" s="32">
        <v>65.08</v>
      </c>
      <c r="Q176" s="32">
        <v>64.900000000000006</v>
      </c>
      <c r="R176" s="32">
        <v>64.732500000000002</v>
      </c>
      <c r="S176" s="32">
        <v>16.82</v>
      </c>
      <c r="T176" s="42">
        <f t="shared" si="10"/>
        <v>1.6336050670065267</v>
      </c>
      <c r="W176" s="32">
        <v>161</v>
      </c>
      <c r="X176" s="32">
        <v>91</v>
      </c>
      <c r="Y176" s="32">
        <v>44</v>
      </c>
      <c r="Z176" s="32">
        <v>15</v>
      </c>
    </row>
    <row r="177" spans="1:26" ht="14.4">
      <c r="A177" s="27">
        <v>161</v>
      </c>
      <c r="B177" s="27">
        <v>91</v>
      </c>
      <c r="C177" s="27">
        <v>44</v>
      </c>
      <c r="D177" s="27">
        <v>15</v>
      </c>
      <c r="E177" s="30" t="s">
        <v>95</v>
      </c>
      <c r="F177" s="304" t="s">
        <v>250</v>
      </c>
      <c r="G177" s="30" t="s">
        <v>324</v>
      </c>
      <c r="H177" s="31" t="s">
        <v>397</v>
      </c>
      <c r="I177" s="61">
        <f t="shared" si="9"/>
        <v>4.8000000000000052</v>
      </c>
      <c r="J177" s="61">
        <v>4.5801526717557302</v>
      </c>
      <c r="K177" s="33">
        <v>1183.4000000000001</v>
      </c>
      <c r="L177" s="33">
        <v>710.4</v>
      </c>
      <c r="M177" s="33">
        <v>1186.5</v>
      </c>
      <c r="N177" s="32">
        <v>61.15</v>
      </c>
      <c r="O177" s="32">
        <v>61.16</v>
      </c>
      <c r="P177" s="32">
        <v>61.29</v>
      </c>
      <c r="Q177" s="32">
        <v>60.88</v>
      </c>
      <c r="R177" s="32">
        <v>61.12</v>
      </c>
      <c r="S177" s="32">
        <v>11.69</v>
      </c>
      <c r="T177" s="42">
        <f t="shared" si="10"/>
        <v>1.2024710405759163</v>
      </c>
      <c r="U177" s="34">
        <f>V177/V178</f>
        <v>0.81981286416464128</v>
      </c>
      <c r="V177" s="32">
        <f>AVERAGE(T177,T183,T179,T181)</f>
        <v>1.1689643992859293</v>
      </c>
      <c r="W177" s="32">
        <v>161</v>
      </c>
      <c r="X177" s="32">
        <v>91</v>
      </c>
      <c r="Y177" s="32">
        <v>44</v>
      </c>
      <c r="Z177" s="32">
        <v>15</v>
      </c>
    </row>
    <row r="178" spans="1:26" ht="14.4">
      <c r="A178" s="27">
        <v>161</v>
      </c>
      <c r="B178" s="27">
        <v>91</v>
      </c>
      <c r="C178" s="27">
        <v>44</v>
      </c>
      <c r="D178" s="27">
        <v>15</v>
      </c>
      <c r="E178" s="30" t="s">
        <v>95</v>
      </c>
      <c r="F178" s="305"/>
      <c r="G178" s="30" t="s">
        <v>324</v>
      </c>
      <c r="H178" s="31" t="s">
        <v>295</v>
      </c>
      <c r="I178" s="61">
        <f t="shared" si="9"/>
        <v>4.8000000000000052</v>
      </c>
      <c r="J178" s="61">
        <v>4.5801526717557302</v>
      </c>
      <c r="K178" s="33">
        <v>1202.0999999999999</v>
      </c>
      <c r="L178" s="33">
        <v>721.4</v>
      </c>
      <c r="M178" s="33">
        <v>1205.4000000000001</v>
      </c>
      <c r="N178" s="32">
        <v>62.03</v>
      </c>
      <c r="O178" s="32">
        <v>62.03</v>
      </c>
      <c r="P178" s="32">
        <v>62.16</v>
      </c>
      <c r="Q178" s="32">
        <v>61.83</v>
      </c>
      <c r="R178" s="32">
        <v>62.012500000000003</v>
      </c>
      <c r="S178" s="32">
        <v>14.64</v>
      </c>
      <c r="T178" s="42">
        <f t="shared" si="10"/>
        <v>1.4842439830679297</v>
      </c>
      <c r="V178" s="32">
        <f>AVERAGE(T178,T180,T182)</f>
        <v>1.4258917496702865</v>
      </c>
      <c r="W178" s="32">
        <v>161</v>
      </c>
      <c r="X178" s="32">
        <v>91</v>
      </c>
      <c r="Y178" s="32">
        <v>44</v>
      </c>
      <c r="Z178" s="32">
        <v>15</v>
      </c>
    </row>
    <row r="179" spans="1:26" ht="14.4">
      <c r="A179" s="27">
        <v>161</v>
      </c>
      <c r="B179" s="27">
        <v>91</v>
      </c>
      <c r="C179" s="27">
        <v>44</v>
      </c>
      <c r="D179" s="27">
        <v>15</v>
      </c>
      <c r="E179" s="30" t="s">
        <v>95</v>
      </c>
      <c r="F179" s="305"/>
      <c r="G179" s="30" t="s">
        <v>324</v>
      </c>
      <c r="H179" s="31" t="s">
        <v>399</v>
      </c>
      <c r="I179" s="61">
        <f t="shared" si="9"/>
        <v>4.8000000000000052</v>
      </c>
      <c r="J179" s="61">
        <v>4.5801526717557302</v>
      </c>
      <c r="K179" s="33">
        <v>1216.9000000000001</v>
      </c>
      <c r="L179" s="33">
        <v>729.6</v>
      </c>
      <c r="M179" s="33">
        <v>1220.4000000000001</v>
      </c>
      <c r="N179" s="32">
        <v>62.69</v>
      </c>
      <c r="O179" s="32">
        <v>62.59</v>
      </c>
      <c r="P179" s="32">
        <v>62.69</v>
      </c>
      <c r="Q179" s="32">
        <v>62.87</v>
      </c>
      <c r="R179" s="32">
        <v>62.71</v>
      </c>
      <c r="S179" s="32">
        <v>11.29</v>
      </c>
      <c r="T179" s="42">
        <f t="shared" si="10"/>
        <v>1.1318805613139848</v>
      </c>
      <c r="W179" s="32">
        <v>161</v>
      </c>
      <c r="X179" s="32">
        <v>91</v>
      </c>
      <c r="Y179" s="32">
        <v>44</v>
      </c>
      <c r="Z179" s="32">
        <v>15</v>
      </c>
    </row>
    <row r="180" spans="1:26" ht="14.4">
      <c r="A180" s="27">
        <v>161</v>
      </c>
      <c r="B180" s="27">
        <v>91</v>
      </c>
      <c r="C180" s="27">
        <v>44</v>
      </c>
      <c r="D180" s="27">
        <v>15</v>
      </c>
      <c r="E180" s="30" t="s">
        <v>95</v>
      </c>
      <c r="F180" s="305"/>
      <c r="G180" s="30" t="s">
        <v>324</v>
      </c>
      <c r="H180" s="31" t="s">
        <v>297</v>
      </c>
      <c r="I180" s="61">
        <f t="shared" si="9"/>
        <v>4.8000000000000052</v>
      </c>
      <c r="J180" s="61">
        <v>4.5801526717557302</v>
      </c>
      <c r="K180" s="33">
        <v>1225.2</v>
      </c>
      <c r="L180" s="33">
        <v>734.5</v>
      </c>
      <c r="M180" s="33">
        <v>1228.2</v>
      </c>
      <c r="N180" s="32">
        <v>63.5</v>
      </c>
      <c r="O180" s="32">
        <v>63.27</v>
      </c>
      <c r="P180" s="32">
        <v>63.53</v>
      </c>
      <c r="Q180" s="32">
        <v>63.59</v>
      </c>
      <c r="R180" s="32">
        <v>63.472499999999997</v>
      </c>
      <c r="S180" s="32">
        <v>13.89</v>
      </c>
      <c r="T180" s="42">
        <f t="shared" si="10"/>
        <v>1.3758151955571312</v>
      </c>
      <c r="W180" s="32">
        <v>161</v>
      </c>
      <c r="X180" s="32">
        <v>91</v>
      </c>
      <c r="Y180" s="32">
        <v>44</v>
      </c>
      <c r="Z180" s="32">
        <v>15</v>
      </c>
    </row>
    <row r="181" spans="1:26" ht="14.4">
      <c r="A181" s="27">
        <v>161</v>
      </c>
      <c r="B181" s="27">
        <v>91</v>
      </c>
      <c r="C181" s="27">
        <v>44</v>
      </c>
      <c r="D181" s="27">
        <v>15</v>
      </c>
      <c r="E181" s="30" t="s">
        <v>95</v>
      </c>
      <c r="F181" s="305"/>
      <c r="G181" s="30" t="s">
        <v>324</v>
      </c>
      <c r="H181" s="31" t="s">
        <v>401</v>
      </c>
      <c r="I181" s="61">
        <f t="shared" si="9"/>
        <v>4.8000000000000052</v>
      </c>
      <c r="J181" s="61">
        <v>4.5801526717557302</v>
      </c>
      <c r="K181" s="33">
        <v>1224.5</v>
      </c>
      <c r="L181" s="33">
        <v>733.5</v>
      </c>
      <c r="M181" s="33">
        <v>1227.5</v>
      </c>
      <c r="N181" s="32">
        <v>63.58</v>
      </c>
      <c r="O181" s="32">
        <v>63.64</v>
      </c>
      <c r="P181" s="32">
        <v>63.84</v>
      </c>
      <c r="Q181" s="32">
        <v>63.54</v>
      </c>
      <c r="R181" s="32">
        <v>63.65</v>
      </c>
      <c r="S181" s="32">
        <v>11.02</v>
      </c>
      <c r="T181" s="42">
        <f t="shared" si="10"/>
        <v>1.0884955223880595</v>
      </c>
      <c r="W181" s="32">
        <v>161</v>
      </c>
      <c r="X181" s="32">
        <v>91</v>
      </c>
      <c r="Y181" s="32">
        <v>44</v>
      </c>
      <c r="Z181" s="32">
        <v>15</v>
      </c>
    </row>
    <row r="182" spans="1:26" ht="14.4">
      <c r="A182" s="27">
        <v>161</v>
      </c>
      <c r="B182" s="27">
        <v>91</v>
      </c>
      <c r="C182" s="27">
        <v>44</v>
      </c>
      <c r="D182" s="27">
        <v>15</v>
      </c>
      <c r="E182" s="30" t="s">
        <v>95</v>
      </c>
      <c r="F182" s="305"/>
      <c r="G182" s="30" t="s">
        <v>324</v>
      </c>
      <c r="H182" s="31" t="s">
        <v>299</v>
      </c>
      <c r="I182" s="61">
        <f t="shared" si="9"/>
        <v>4.8000000000000052</v>
      </c>
      <c r="J182" s="61">
        <v>4.5801526717557302</v>
      </c>
      <c r="K182" s="33">
        <v>1226.0999999999999</v>
      </c>
      <c r="L182" s="33">
        <v>736.7</v>
      </c>
      <c r="M182" s="33">
        <v>1229.9000000000001</v>
      </c>
      <c r="N182" s="32">
        <v>63.98</v>
      </c>
      <c r="O182" s="32">
        <v>64.16</v>
      </c>
      <c r="P182" s="32">
        <v>64.45</v>
      </c>
      <c r="Q182" s="32">
        <v>64.28</v>
      </c>
      <c r="R182" s="32">
        <v>64.217500000000001</v>
      </c>
      <c r="S182" s="32">
        <v>14.48</v>
      </c>
      <c r="T182" s="42">
        <f t="shared" si="10"/>
        <v>1.4176160703857983</v>
      </c>
      <c r="W182" s="32">
        <v>161</v>
      </c>
      <c r="X182" s="32">
        <v>91</v>
      </c>
      <c r="Y182" s="32">
        <v>44</v>
      </c>
      <c r="Z182" s="32">
        <v>15</v>
      </c>
    </row>
    <row r="183" spans="1:26" ht="14.4">
      <c r="A183" s="27">
        <v>161</v>
      </c>
      <c r="B183" s="27">
        <v>91</v>
      </c>
      <c r="C183" s="27">
        <v>44</v>
      </c>
      <c r="D183" s="27">
        <v>15</v>
      </c>
      <c r="E183" s="30" t="s">
        <v>95</v>
      </c>
      <c r="F183" s="306"/>
      <c r="G183" s="30" t="s">
        <v>324</v>
      </c>
      <c r="H183" s="31" t="s">
        <v>409</v>
      </c>
      <c r="I183" s="61">
        <f t="shared" si="9"/>
        <v>4.8000000000000052</v>
      </c>
      <c r="J183" s="61">
        <v>4.5801526717557302</v>
      </c>
      <c r="K183" s="33">
        <v>1222.7</v>
      </c>
      <c r="L183" s="33">
        <v>734.8</v>
      </c>
      <c r="M183" s="33">
        <v>1225.3</v>
      </c>
      <c r="N183" s="32">
        <v>62.76</v>
      </c>
      <c r="O183" s="32">
        <v>63</v>
      </c>
      <c r="P183" s="32">
        <v>63.1</v>
      </c>
      <c r="Q183" s="32">
        <v>63.22</v>
      </c>
      <c r="R183" s="32">
        <v>63.02</v>
      </c>
      <c r="S183" s="32">
        <v>12.56</v>
      </c>
      <c r="T183" s="42">
        <f t="shared" si="10"/>
        <v>1.2530104728657567</v>
      </c>
      <c r="W183" s="32">
        <v>161</v>
      </c>
      <c r="X183" s="32">
        <v>91</v>
      </c>
      <c r="Y183" s="32">
        <v>44</v>
      </c>
      <c r="Z183" s="32">
        <v>15</v>
      </c>
    </row>
    <row r="184" spans="1:26" ht="14.4">
      <c r="A184" s="27">
        <v>161</v>
      </c>
      <c r="B184" s="27">
        <v>91</v>
      </c>
      <c r="C184" s="27">
        <v>44</v>
      </c>
      <c r="D184" s="27">
        <v>15</v>
      </c>
      <c r="E184" s="30" t="s">
        <v>95</v>
      </c>
      <c r="F184" s="304" t="s">
        <v>251</v>
      </c>
      <c r="G184" s="30" t="s">
        <v>304</v>
      </c>
      <c r="H184" s="31" t="s">
        <v>397</v>
      </c>
      <c r="I184" s="61">
        <f t="shared" si="9"/>
        <v>4.8000000000000052</v>
      </c>
      <c r="J184" s="61">
        <v>4.5801526717557302</v>
      </c>
      <c r="K184" s="33">
        <v>1183.4000000000001</v>
      </c>
      <c r="L184" s="33">
        <v>710.4</v>
      </c>
      <c r="M184" s="33">
        <v>1186.5</v>
      </c>
      <c r="N184" s="32">
        <v>62.82</v>
      </c>
      <c r="O184" s="32">
        <v>62.86</v>
      </c>
      <c r="P184" s="32">
        <v>62.38</v>
      </c>
      <c r="Q184" s="32">
        <v>62.75</v>
      </c>
      <c r="R184" s="32">
        <v>62.702500000000001</v>
      </c>
      <c r="S184" s="32">
        <v>11.4</v>
      </c>
      <c r="T184" s="42">
        <f t="shared" si="10"/>
        <v>1.1430453331206891</v>
      </c>
      <c r="U184" s="34">
        <f>V184/V185</f>
        <v>0.80567606327777908</v>
      </c>
      <c r="V184" s="32">
        <f>AVERAGE(T184,T190,T186,T188)</f>
        <v>1.2289621742304473</v>
      </c>
      <c r="W184" s="32">
        <v>144</v>
      </c>
      <c r="X184" s="32">
        <v>107.8</v>
      </c>
      <c r="Y184" s="32">
        <v>43.95</v>
      </c>
      <c r="Z184" s="32">
        <v>60.3</v>
      </c>
    </row>
    <row r="185" spans="1:26" ht="14.4">
      <c r="A185" s="27">
        <v>161</v>
      </c>
      <c r="B185" s="27">
        <v>91</v>
      </c>
      <c r="C185" s="27">
        <v>44</v>
      </c>
      <c r="D185" s="27">
        <v>15</v>
      </c>
      <c r="E185" s="30" t="s">
        <v>95</v>
      </c>
      <c r="F185" s="305"/>
      <c r="G185" s="30" t="s">
        <v>304</v>
      </c>
      <c r="H185" s="31" t="s">
        <v>295</v>
      </c>
      <c r="I185" s="61">
        <f t="shared" si="9"/>
        <v>4.8000000000000052</v>
      </c>
      <c r="J185" s="61">
        <v>4.5801526717557302</v>
      </c>
      <c r="K185" s="33">
        <v>1202.0999999999999</v>
      </c>
      <c r="L185" s="33">
        <v>721.4</v>
      </c>
      <c r="M185" s="33">
        <v>1205.4000000000001</v>
      </c>
      <c r="N185" s="32">
        <v>63.58</v>
      </c>
      <c r="O185" s="32">
        <v>63.25</v>
      </c>
      <c r="P185" s="32">
        <v>63.08</v>
      </c>
      <c r="Q185" s="32">
        <v>63.33</v>
      </c>
      <c r="R185" s="32">
        <v>63.31</v>
      </c>
      <c r="S185" s="32">
        <v>16.66</v>
      </c>
      <c r="T185" s="42">
        <f t="shared" si="10"/>
        <v>1.6544214184173116</v>
      </c>
      <c r="V185" s="32">
        <f>AVERAGE(T185,T187,T189)</f>
        <v>1.5253800258513186</v>
      </c>
      <c r="W185" s="32">
        <v>144</v>
      </c>
      <c r="X185" s="32">
        <v>107.8</v>
      </c>
      <c r="Y185" s="32">
        <v>43.95</v>
      </c>
      <c r="Z185" s="32">
        <v>60.3</v>
      </c>
    </row>
    <row r="186" spans="1:26" ht="14.4">
      <c r="A186" s="27">
        <v>161</v>
      </c>
      <c r="B186" s="27">
        <v>91</v>
      </c>
      <c r="C186" s="27">
        <v>44</v>
      </c>
      <c r="D186" s="27">
        <v>15</v>
      </c>
      <c r="E186" s="30" t="s">
        <v>95</v>
      </c>
      <c r="F186" s="305"/>
      <c r="G186" s="30" t="s">
        <v>304</v>
      </c>
      <c r="H186" s="31" t="s">
        <v>399</v>
      </c>
      <c r="I186" s="61">
        <f t="shared" si="9"/>
        <v>4.8000000000000052</v>
      </c>
      <c r="J186" s="61">
        <v>4.5801526717557302</v>
      </c>
      <c r="K186" s="33">
        <v>1216.9000000000001</v>
      </c>
      <c r="L186" s="33">
        <v>729.6</v>
      </c>
      <c r="M186" s="33">
        <v>1220.4000000000001</v>
      </c>
      <c r="N186" s="32">
        <v>62.75</v>
      </c>
      <c r="O186" s="32">
        <v>62.51</v>
      </c>
      <c r="P186" s="32">
        <v>62.55</v>
      </c>
      <c r="Q186" s="32">
        <v>62.87</v>
      </c>
      <c r="R186" s="32">
        <v>62.67</v>
      </c>
      <c r="S186" s="32">
        <v>13.73</v>
      </c>
      <c r="T186" s="42">
        <f t="shared" si="10"/>
        <v>1.3773816818254347</v>
      </c>
      <c r="W186" s="32">
        <v>144</v>
      </c>
      <c r="X186" s="32">
        <v>107.8</v>
      </c>
      <c r="Y186" s="32">
        <v>43.95</v>
      </c>
      <c r="Z186" s="32">
        <v>60.3</v>
      </c>
    </row>
    <row r="187" spans="1:26" ht="14.4">
      <c r="A187" s="27">
        <v>161</v>
      </c>
      <c r="B187" s="27">
        <v>91</v>
      </c>
      <c r="C187" s="27">
        <v>44</v>
      </c>
      <c r="D187" s="27">
        <v>15</v>
      </c>
      <c r="E187" s="30" t="s">
        <v>95</v>
      </c>
      <c r="F187" s="305"/>
      <c r="G187" s="30" t="s">
        <v>304</v>
      </c>
      <c r="H187" s="31" t="s">
        <v>297</v>
      </c>
      <c r="I187" s="61">
        <f t="shared" si="9"/>
        <v>4.8000000000000052</v>
      </c>
      <c r="J187" s="61">
        <v>4.5801526717557302</v>
      </c>
      <c r="K187" s="33">
        <v>1225.2</v>
      </c>
      <c r="L187" s="33">
        <v>734.5</v>
      </c>
      <c r="M187" s="33">
        <v>1228.4000000000001</v>
      </c>
      <c r="N187" s="32">
        <v>62.97</v>
      </c>
      <c r="O187" s="32">
        <v>62.74</v>
      </c>
      <c r="P187" s="32">
        <v>62.96</v>
      </c>
      <c r="Q187" s="32">
        <v>62.83</v>
      </c>
      <c r="R187" s="32">
        <v>62.875</v>
      </c>
      <c r="S187" s="32">
        <v>15.76</v>
      </c>
      <c r="T187" s="42">
        <f t="shared" si="10"/>
        <v>1.5758746719681909</v>
      </c>
      <c r="W187" s="32">
        <v>144</v>
      </c>
      <c r="X187" s="32">
        <v>107.8</v>
      </c>
      <c r="Y187" s="32">
        <v>43.95</v>
      </c>
      <c r="Z187" s="32">
        <v>60.3</v>
      </c>
    </row>
    <row r="188" spans="1:26" ht="14.4">
      <c r="A188" s="27">
        <v>161</v>
      </c>
      <c r="B188" s="27">
        <v>91</v>
      </c>
      <c r="C188" s="27">
        <v>44</v>
      </c>
      <c r="D188" s="27">
        <v>15</v>
      </c>
      <c r="E188" s="30" t="s">
        <v>95</v>
      </c>
      <c r="F188" s="305"/>
      <c r="G188" s="30" t="s">
        <v>304</v>
      </c>
      <c r="H188" s="31" t="s">
        <v>401</v>
      </c>
      <c r="I188" s="61">
        <f t="shared" si="9"/>
        <v>4.8000000000000052</v>
      </c>
      <c r="J188" s="61">
        <v>4.5801526717557302</v>
      </c>
      <c r="K188" s="33">
        <v>1224.5</v>
      </c>
      <c r="L188" s="33">
        <v>733.5</v>
      </c>
      <c r="M188" s="33">
        <v>1227.5</v>
      </c>
      <c r="N188" s="32">
        <v>62.7</v>
      </c>
      <c r="O188" s="32">
        <v>62.88</v>
      </c>
      <c r="P188" s="32">
        <v>62.94</v>
      </c>
      <c r="Q188" s="32">
        <v>62.85</v>
      </c>
      <c r="R188" s="32">
        <v>62.842500000000001</v>
      </c>
      <c r="S188" s="32">
        <v>12.41</v>
      </c>
      <c r="T188" s="42">
        <f t="shared" si="10"/>
        <v>1.2415430640092293</v>
      </c>
      <c r="W188" s="32">
        <v>144</v>
      </c>
      <c r="X188" s="32">
        <v>107.8</v>
      </c>
      <c r="Y188" s="32">
        <v>43.95</v>
      </c>
      <c r="Z188" s="32">
        <v>60.3</v>
      </c>
    </row>
    <row r="189" spans="1:26" ht="14.4">
      <c r="A189" s="27">
        <v>161</v>
      </c>
      <c r="B189" s="27">
        <v>91</v>
      </c>
      <c r="C189" s="27">
        <v>44</v>
      </c>
      <c r="D189" s="27">
        <v>15</v>
      </c>
      <c r="E189" s="30" t="s">
        <v>95</v>
      </c>
      <c r="F189" s="305"/>
      <c r="G189" s="30" t="s">
        <v>304</v>
      </c>
      <c r="H189" s="31" t="s">
        <v>299</v>
      </c>
      <c r="I189" s="61">
        <f t="shared" si="9"/>
        <v>4.8000000000000052</v>
      </c>
      <c r="J189" s="61">
        <v>4.5801526717557302</v>
      </c>
      <c r="K189" s="33">
        <v>1226.0999999999999</v>
      </c>
      <c r="L189" s="33">
        <v>732.7</v>
      </c>
      <c r="M189" s="33">
        <v>1229.9000000000001</v>
      </c>
      <c r="N189" s="32">
        <v>63.91</v>
      </c>
      <c r="O189" s="32">
        <v>63.86</v>
      </c>
      <c r="P189" s="32">
        <v>64.05</v>
      </c>
      <c r="Q189" s="32">
        <v>63.8</v>
      </c>
      <c r="R189" s="32">
        <v>63.905000000000001</v>
      </c>
      <c r="S189" s="32">
        <v>13.68</v>
      </c>
      <c r="T189" s="42">
        <f t="shared" si="10"/>
        <v>1.3458439871684531</v>
      </c>
      <c r="W189" s="32">
        <v>144</v>
      </c>
      <c r="X189" s="32">
        <v>107.8</v>
      </c>
      <c r="Y189" s="32">
        <v>43.95</v>
      </c>
      <c r="Z189" s="32">
        <v>60.3</v>
      </c>
    </row>
    <row r="190" spans="1:26" ht="14.4">
      <c r="A190" s="27">
        <v>161</v>
      </c>
      <c r="B190" s="27">
        <v>91</v>
      </c>
      <c r="C190" s="27">
        <v>44</v>
      </c>
      <c r="D190" s="27">
        <v>15</v>
      </c>
      <c r="E190" s="30" t="s">
        <v>95</v>
      </c>
      <c r="F190" s="306"/>
      <c r="G190" s="30" t="s">
        <v>304</v>
      </c>
      <c r="H190" s="31" t="s">
        <v>409</v>
      </c>
      <c r="I190" s="61">
        <f t="shared" si="9"/>
        <v>4.8000000000000052</v>
      </c>
      <c r="J190" s="61">
        <v>4.5801526717557302</v>
      </c>
      <c r="K190" s="33">
        <v>1222.7</v>
      </c>
      <c r="L190" s="33">
        <v>734.8</v>
      </c>
      <c r="M190" s="33">
        <v>1225.3</v>
      </c>
      <c r="N190" s="32">
        <v>63.31</v>
      </c>
      <c r="O190" s="32">
        <v>63.18</v>
      </c>
      <c r="P190" s="32">
        <v>63.43</v>
      </c>
      <c r="Q190" s="32">
        <v>63.33</v>
      </c>
      <c r="R190" s="32">
        <v>63.3125</v>
      </c>
      <c r="S190" s="32">
        <v>11.62</v>
      </c>
      <c r="T190" s="42">
        <f t="shared" si="10"/>
        <v>1.1538786179664362</v>
      </c>
      <c r="W190" s="32">
        <v>144</v>
      </c>
      <c r="X190" s="32">
        <v>107.8</v>
      </c>
      <c r="Y190" s="32">
        <v>43.95</v>
      </c>
      <c r="Z190" s="32">
        <v>60.3</v>
      </c>
    </row>
    <row r="191" spans="1:26" ht="14.4">
      <c r="A191" s="27">
        <v>161</v>
      </c>
      <c r="B191" s="27">
        <v>91</v>
      </c>
      <c r="C191" s="27">
        <v>44</v>
      </c>
      <c r="D191" s="27">
        <v>15</v>
      </c>
      <c r="E191" s="30" t="s">
        <v>95</v>
      </c>
      <c r="F191" s="304" t="s">
        <v>252</v>
      </c>
      <c r="G191" s="30" t="s">
        <v>305</v>
      </c>
      <c r="H191" s="31" t="s">
        <v>397</v>
      </c>
      <c r="I191" s="61">
        <f t="shared" si="9"/>
        <v>4.8000000000000052</v>
      </c>
      <c r="J191" s="61">
        <v>4.5801526717557302</v>
      </c>
      <c r="K191" s="33">
        <v>1209.5</v>
      </c>
      <c r="L191" s="33">
        <v>719.8</v>
      </c>
      <c r="M191" s="33">
        <v>1211.4000000000001</v>
      </c>
      <c r="N191" s="32">
        <v>63.23</v>
      </c>
      <c r="O191" s="32">
        <v>62.99</v>
      </c>
      <c r="P191" s="32">
        <v>62.98</v>
      </c>
      <c r="Q191" s="32">
        <v>63.14</v>
      </c>
      <c r="R191" s="32">
        <v>63.085000000000001</v>
      </c>
      <c r="S191" s="32">
        <v>11.97</v>
      </c>
      <c r="T191" s="42">
        <f t="shared" si="10"/>
        <v>1.1929205040817945</v>
      </c>
      <c r="U191" s="34">
        <f>V191/V192</f>
        <v>0.92449957867700772</v>
      </c>
      <c r="V191" s="32">
        <f>AVERAGE(T191,T197,T193,T195)</f>
        <v>1.1339041351487855</v>
      </c>
      <c r="W191" s="32">
        <v>111</v>
      </c>
      <c r="X191" s="32">
        <v>124</v>
      </c>
      <c r="Y191" s="32">
        <v>41.5</v>
      </c>
      <c r="Z191" s="32">
        <v>56</v>
      </c>
    </row>
    <row r="192" spans="1:26" ht="14.4">
      <c r="A192" s="27">
        <v>161</v>
      </c>
      <c r="B192" s="27">
        <v>91</v>
      </c>
      <c r="C192" s="27">
        <v>44</v>
      </c>
      <c r="D192" s="27">
        <v>15</v>
      </c>
      <c r="E192" s="30" t="s">
        <v>95</v>
      </c>
      <c r="F192" s="305"/>
      <c r="G192" s="30" t="s">
        <v>305</v>
      </c>
      <c r="H192" s="31" t="s">
        <v>295</v>
      </c>
      <c r="I192" s="61">
        <f t="shared" si="9"/>
        <v>4.8000000000000052</v>
      </c>
      <c r="J192" s="61">
        <v>4.5801526717557302</v>
      </c>
      <c r="K192" s="33">
        <v>1210.2</v>
      </c>
      <c r="L192" s="33">
        <v>720.7</v>
      </c>
      <c r="M192" s="33">
        <v>1212.5999999999999</v>
      </c>
      <c r="N192" s="32">
        <v>63.65</v>
      </c>
      <c r="O192" s="32">
        <v>63.57</v>
      </c>
      <c r="P192" s="32">
        <v>63.29</v>
      </c>
      <c r="Q192" s="32">
        <v>63.44</v>
      </c>
      <c r="R192" s="32">
        <v>63.487499999999997</v>
      </c>
      <c r="S192" s="32">
        <v>12.41</v>
      </c>
      <c r="T192" s="42">
        <f t="shared" si="10"/>
        <v>1.2289296318172869</v>
      </c>
      <c r="V192" s="32">
        <f>AVERAGE(T192,T194,T196)</f>
        <v>1.226505843054513</v>
      </c>
      <c r="W192" s="32">
        <v>111</v>
      </c>
      <c r="X192" s="32">
        <v>124</v>
      </c>
      <c r="Y192" s="32">
        <v>41.5</v>
      </c>
      <c r="Z192" s="32">
        <v>56</v>
      </c>
    </row>
    <row r="193" spans="1:26" ht="14.4">
      <c r="A193" s="27">
        <v>161</v>
      </c>
      <c r="B193" s="27">
        <v>91</v>
      </c>
      <c r="C193" s="27">
        <v>44</v>
      </c>
      <c r="D193" s="27">
        <v>15</v>
      </c>
      <c r="E193" s="30" t="s">
        <v>95</v>
      </c>
      <c r="F193" s="305"/>
      <c r="G193" s="30" t="s">
        <v>305</v>
      </c>
      <c r="H193" s="31" t="s">
        <v>399</v>
      </c>
      <c r="I193" s="61">
        <f t="shared" si="9"/>
        <v>4.8000000000000052</v>
      </c>
      <c r="J193" s="61">
        <v>4.5801526717557302</v>
      </c>
      <c r="K193" s="33">
        <v>1209.9000000000001</v>
      </c>
      <c r="L193" s="33">
        <v>718.7</v>
      </c>
      <c r="M193" s="33">
        <v>1211.5999999999999</v>
      </c>
      <c r="N193" s="32">
        <v>63.89</v>
      </c>
      <c r="O193" s="32">
        <v>64</v>
      </c>
      <c r="P193" s="32">
        <v>63.89</v>
      </c>
      <c r="Q193" s="32">
        <v>63.9</v>
      </c>
      <c r="R193" s="32">
        <v>63.92</v>
      </c>
      <c r="S193" s="32">
        <v>11.13</v>
      </c>
      <c r="T193" s="42">
        <f t="shared" si="10"/>
        <v>1.0947169899874845</v>
      </c>
      <c r="W193" s="32">
        <v>111</v>
      </c>
      <c r="X193" s="32">
        <v>124</v>
      </c>
      <c r="Y193" s="32">
        <v>41.5</v>
      </c>
      <c r="Z193" s="32">
        <v>56</v>
      </c>
    </row>
    <row r="194" spans="1:26" ht="14.4">
      <c r="A194" s="27">
        <v>161</v>
      </c>
      <c r="B194" s="27">
        <v>91</v>
      </c>
      <c r="C194" s="27">
        <v>44</v>
      </c>
      <c r="D194" s="27">
        <v>15</v>
      </c>
      <c r="E194" s="30" t="s">
        <v>95</v>
      </c>
      <c r="F194" s="305"/>
      <c r="G194" s="30" t="s">
        <v>305</v>
      </c>
      <c r="H194" s="31" t="s">
        <v>297</v>
      </c>
      <c r="I194" s="61">
        <f t="shared" si="9"/>
        <v>4.8000000000000052</v>
      </c>
      <c r="J194" s="61">
        <v>4.5801526717557302</v>
      </c>
      <c r="K194" s="33">
        <v>1211.2</v>
      </c>
      <c r="L194" s="33">
        <v>721.9</v>
      </c>
      <c r="M194" s="33">
        <v>1213.3</v>
      </c>
      <c r="N194" s="32">
        <v>63.91</v>
      </c>
      <c r="O194" s="32">
        <v>64.099999999999994</v>
      </c>
      <c r="P194" s="32">
        <v>63.94</v>
      </c>
      <c r="Q194" s="32">
        <v>64.010000000000005</v>
      </c>
      <c r="R194" s="32">
        <v>63.99</v>
      </c>
      <c r="S194" s="32">
        <v>11.55</v>
      </c>
      <c r="T194" s="42">
        <f t="shared" si="10"/>
        <v>1.1347843413033287</v>
      </c>
      <c r="W194" s="32">
        <v>111</v>
      </c>
      <c r="X194" s="32">
        <v>124</v>
      </c>
      <c r="Y194" s="32">
        <v>41.5</v>
      </c>
      <c r="Z194" s="32">
        <v>56</v>
      </c>
    </row>
    <row r="195" spans="1:26" ht="14.4">
      <c r="A195" s="27">
        <v>161</v>
      </c>
      <c r="B195" s="27">
        <v>91</v>
      </c>
      <c r="C195" s="27">
        <v>44</v>
      </c>
      <c r="D195" s="27">
        <v>15</v>
      </c>
      <c r="E195" s="30" t="s">
        <v>95</v>
      </c>
      <c r="F195" s="305"/>
      <c r="G195" s="30" t="s">
        <v>305</v>
      </c>
      <c r="H195" s="31" t="s">
        <v>401</v>
      </c>
      <c r="I195" s="61">
        <f t="shared" si="9"/>
        <v>4.8000000000000052</v>
      </c>
      <c r="J195" s="61">
        <v>4.5801526717557302</v>
      </c>
      <c r="K195" s="33">
        <v>1210.9000000000001</v>
      </c>
      <c r="L195" s="33">
        <v>720.1</v>
      </c>
      <c r="M195" s="33">
        <v>1213.8</v>
      </c>
      <c r="N195" s="32">
        <v>64.17</v>
      </c>
      <c r="O195" s="32">
        <v>64.400000000000006</v>
      </c>
      <c r="P195" s="32">
        <v>64.47</v>
      </c>
      <c r="Q195" s="32">
        <v>64.290000000000006</v>
      </c>
      <c r="R195" s="32">
        <v>64.332499999999996</v>
      </c>
      <c r="S195" s="32">
        <v>10.24</v>
      </c>
      <c r="T195" s="42">
        <f t="shared" si="10"/>
        <v>1.0007209419811138</v>
      </c>
      <c r="W195" s="32">
        <v>111</v>
      </c>
      <c r="X195" s="32">
        <v>124</v>
      </c>
      <c r="Y195" s="32">
        <v>41.5</v>
      </c>
      <c r="Z195" s="32">
        <v>56</v>
      </c>
    </row>
    <row r="196" spans="1:26" ht="14.4">
      <c r="A196" s="27">
        <v>161</v>
      </c>
      <c r="B196" s="27">
        <v>91</v>
      </c>
      <c r="C196" s="27">
        <v>44</v>
      </c>
      <c r="D196" s="27">
        <v>15</v>
      </c>
      <c r="E196" s="30" t="s">
        <v>95</v>
      </c>
      <c r="F196" s="305"/>
      <c r="G196" s="30" t="s">
        <v>305</v>
      </c>
      <c r="H196" s="31" t="s">
        <v>299</v>
      </c>
      <c r="I196" s="61">
        <f t="shared" si="9"/>
        <v>4.8000000000000052</v>
      </c>
      <c r="J196" s="61">
        <v>4.5801526717557302</v>
      </c>
      <c r="K196" s="33">
        <v>1208.3</v>
      </c>
      <c r="L196" s="33">
        <v>718.5</v>
      </c>
      <c r="M196" s="33">
        <v>1211.5</v>
      </c>
      <c r="N196" s="32">
        <v>63.78</v>
      </c>
      <c r="O196" s="32">
        <v>63.9</v>
      </c>
      <c r="P196" s="32">
        <v>63.96</v>
      </c>
      <c r="Q196" s="32">
        <v>63.7</v>
      </c>
      <c r="R196" s="32">
        <v>63.835000000000001</v>
      </c>
      <c r="S196" s="32">
        <v>13.36</v>
      </c>
      <c r="T196" s="42">
        <f t="shared" si="10"/>
        <v>1.3158035560429231</v>
      </c>
      <c r="W196" s="32">
        <v>111</v>
      </c>
      <c r="X196" s="32">
        <v>124</v>
      </c>
      <c r="Y196" s="32">
        <v>41.5</v>
      </c>
      <c r="Z196" s="32">
        <v>56</v>
      </c>
    </row>
    <row r="197" spans="1:26" ht="14.4">
      <c r="A197" s="27">
        <v>161</v>
      </c>
      <c r="B197" s="27">
        <v>91</v>
      </c>
      <c r="C197" s="27">
        <v>44</v>
      </c>
      <c r="D197" s="27">
        <v>15</v>
      </c>
      <c r="E197" s="30" t="s">
        <v>95</v>
      </c>
      <c r="F197" s="306"/>
      <c r="G197" s="30" t="s">
        <v>305</v>
      </c>
      <c r="H197" s="31" t="s">
        <v>409</v>
      </c>
      <c r="I197" s="61">
        <f t="shared" ref="I197:I217" si="11">100*J197/(100-J197)</f>
        <v>4.8000000000000052</v>
      </c>
      <c r="J197" s="61">
        <v>4.5801526717557302</v>
      </c>
      <c r="K197" s="33">
        <v>1212.3</v>
      </c>
      <c r="L197" s="33">
        <v>722.1</v>
      </c>
      <c r="M197" s="33">
        <v>1216.0999999999999</v>
      </c>
      <c r="N197" s="32">
        <v>64.58</v>
      </c>
      <c r="O197" s="32">
        <v>64.59</v>
      </c>
      <c r="P197" s="32">
        <v>64.33</v>
      </c>
      <c r="Q197" s="32">
        <v>64.38</v>
      </c>
      <c r="R197" s="32">
        <v>64.47</v>
      </c>
      <c r="S197" s="32">
        <v>12.79</v>
      </c>
      <c r="T197" s="42">
        <f t="shared" si="10"/>
        <v>1.2472581045447493</v>
      </c>
      <c r="W197" s="32">
        <v>111</v>
      </c>
      <c r="X197" s="32">
        <v>124</v>
      </c>
      <c r="Y197" s="32">
        <v>41.5</v>
      </c>
      <c r="Z197" s="32">
        <v>56</v>
      </c>
    </row>
    <row r="198" spans="1:26" ht="14.4">
      <c r="A198" s="27">
        <v>161</v>
      </c>
      <c r="B198" s="27">
        <v>91</v>
      </c>
      <c r="C198" s="27">
        <v>44</v>
      </c>
      <c r="D198" s="27">
        <v>15</v>
      </c>
      <c r="E198" s="30" t="s">
        <v>98</v>
      </c>
      <c r="F198" s="304" t="s">
        <v>246</v>
      </c>
      <c r="G198" s="30" t="s">
        <v>304</v>
      </c>
      <c r="H198" s="31" t="s">
        <v>397</v>
      </c>
      <c r="I198" s="47">
        <f t="shared" si="11"/>
        <v>4.1999999999999984</v>
      </c>
      <c r="J198" s="32">
        <v>4.0307101727447199</v>
      </c>
      <c r="K198" s="33">
        <v>1169.4000000000001</v>
      </c>
      <c r="L198" s="33">
        <v>693</v>
      </c>
      <c r="M198" s="33">
        <v>1175</v>
      </c>
      <c r="N198" s="32">
        <v>63.89</v>
      </c>
      <c r="O198" s="32">
        <v>63.64</v>
      </c>
      <c r="P198" s="32">
        <v>63.97</v>
      </c>
      <c r="Q198" s="32">
        <v>63.82</v>
      </c>
      <c r="R198" s="32">
        <v>63.83</v>
      </c>
      <c r="S198" s="32">
        <v>10.48</v>
      </c>
      <c r="T198" s="42">
        <f t="shared" si="10"/>
        <v>1.0322381325395582</v>
      </c>
      <c r="U198" s="34">
        <f>V198/V199</f>
        <v>0.82157648928733717</v>
      </c>
      <c r="V198" s="32">
        <f>AVERAGE(T198,T200,T202,T204)</f>
        <v>1.0746826164596743</v>
      </c>
      <c r="W198" s="32">
        <v>144</v>
      </c>
      <c r="X198" s="32">
        <v>107.8</v>
      </c>
      <c r="Y198" s="32">
        <v>43.95</v>
      </c>
      <c r="Z198" s="32">
        <v>60.3</v>
      </c>
    </row>
    <row r="199" spans="1:26" ht="14.4">
      <c r="A199" s="27">
        <v>161</v>
      </c>
      <c r="B199" s="27">
        <v>91</v>
      </c>
      <c r="C199" s="27">
        <v>44</v>
      </c>
      <c r="D199" s="27">
        <v>15</v>
      </c>
      <c r="E199" s="30" t="s">
        <v>98</v>
      </c>
      <c r="F199" s="305"/>
      <c r="G199" s="30" t="s">
        <v>304</v>
      </c>
      <c r="H199" s="31" t="s">
        <v>295</v>
      </c>
      <c r="I199" s="47">
        <f t="shared" si="11"/>
        <v>4.1999999999999984</v>
      </c>
      <c r="J199" s="32">
        <v>4.0307101727447199</v>
      </c>
      <c r="K199" s="33">
        <v>1169.9000000000001</v>
      </c>
      <c r="L199" s="33">
        <v>691.8</v>
      </c>
      <c r="M199" s="33">
        <v>1176</v>
      </c>
      <c r="N199" s="32">
        <v>63.87</v>
      </c>
      <c r="O199" s="32">
        <v>64.16</v>
      </c>
      <c r="P199" s="32">
        <v>64.099999999999994</v>
      </c>
      <c r="Q199" s="32">
        <v>64.099999999999994</v>
      </c>
      <c r="R199" s="32">
        <v>64.057500000000005</v>
      </c>
      <c r="S199" s="32">
        <v>14.1</v>
      </c>
      <c r="T199" s="42">
        <f t="shared" si="10"/>
        <v>1.383861374546306</v>
      </c>
      <c r="V199" s="32">
        <f>AVERAGE(T199,T201,T203)</f>
        <v>1.3080737222554772</v>
      </c>
      <c r="W199" s="32">
        <v>144</v>
      </c>
      <c r="X199" s="32">
        <v>107.8</v>
      </c>
      <c r="Y199" s="32">
        <v>43.95</v>
      </c>
      <c r="Z199" s="32">
        <v>60.3</v>
      </c>
    </row>
    <row r="200" spans="1:26" ht="14.4">
      <c r="A200" s="27">
        <v>161</v>
      </c>
      <c r="B200" s="27">
        <v>91</v>
      </c>
      <c r="C200" s="27">
        <v>44</v>
      </c>
      <c r="D200" s="27">
        <v>15</v>
      </c>
      <c r="E200" s="30" t="s">
        <v>98</v>
      </c>
      <c r="F200" s="305"/>
      <c r="G200" s="30" t="s">
        <v>304</v>
      </c>
      <c r="H200" s="31" t="s">
        <v>399</v>
      </c>
      <c r="I200" s="47">
        <f t="shared" si="11"/>
        <v>4.1999999999999984</v>
      </c>
      <c r="J200" s="32">
        <v>4.0307101727447199</v>
      </c>
      <c r="K200" s="33">
        <v>1170.7</v>
      </c>
      <c r="L200" s="33">
        <v>691.2</v>
      </c>
      <c r="M200" s="33">
        <v>1174.3</v>
      </c>
      <c r="N200" s="32">
        <v>63.67</v>
      </c>
      <c r="O200" s="32">
        <v>63.38</v>
      </c>
      <c r="P200" s="32">
        <v>63.67</v>
      </c>
      <c r="Q200" s="32">
        <v>63.54</v>
      </c>
      <c r="R200" s="32">
        <v>63.564999999999998</v>
      </c>
      <c r="S200" s="32">
        <v>10.97</v>
      </c>
      <c r="T200" s="42">
        <f t="shared" si="10"/>
        <v>1.0850057421537009</v>
      </c>
      <c r="W200" s="32">
        <v>144</v>
      </c>
      <c r="X200" s="32">
        <v>107.8</v>
      </c>
      <c r="Y200" s="32">
        <v>43.95</v>
      </c>
      <c r="Z200" s="32">
        <v>60.3</v>
      </c>
    </row>
    <row r="201" spans="1:26" ht="14.4">
      <c r="A201" s="27">
        <v>161</v>
      </c>
      <c r="B201" s="27">
        <v>91</v>
      </c>
      <c r="C201" s="27">
        <v>44</v>
      </c>
      <c r="D201" s="27">
        <v>15</v>
      </c>
      <c r="E201" s="30" t="s">
        <v>98</v>
      </c>
      <c r="F201" s="305"/>
      <c r="G201" s="30" t="s">
        <v>304</v>
      </c>
      <c r="H201" s="31" t="s">
        <v>297</v>
      </c>
      <c r="I201" s="47">
        <f t="shared" si="11"/>
        <v>4.1999999999999984</v>
      </c>
      <c r="J201" s="32">
        <v>4.0307101727447199</v>
      </c>
      <c r="K201" s="33">
        <v>1169.4000000000001</v>
      </c>
      <c r="L201" s="33">
        <v>692.5</v>
      </c>
      <c r="M201" s="33">
        <v>1175.8</v>
      </c>
      <c r="N201" s="32">
        <v>64.05</v>
      </c>
      <c r="O201" s="32">
        <v>64.48</v>
      </c>
      <c r="P201" s="32">
        <v>64.08</v>
      </c>
      <c r="Q201" s="32">
        <v>64.040000000000006</v>
      </c>
      <c r="R201" s="32">
        <v>64.162499999999994</v>
      </c>
      <c r="S201" s="32">
        <v>13.88</v>
      </c>
      <c r="T201" s="42">
        <f t="shared" si="10"/>
        <v>1.3600398986947206</v>
      </c>
      <c r="W201" s="32">
        <v>144</v>
      </c>
      <c r="X201" s="32">
        <v>107.8</v>
      </c>
      <c r="Y201" s="32">
        <v>43.95</v>
      </c>
      <c r="Z201" s="32">
        <v>60.3</v>
      </c>
    </row>
    <row r="202" spans="1:26" ht="14.4">
      <c r="A202" s="27">
        <v>161</v>
      </c>
      <c r="B202" s="27">
        <v>91</v>
      </c>
      <c r="C202" s="27">
        <v>44</v>
      </c>
      <c r="D202" s="27">
        <v>15</v>
      </c>
      <c r="E202" s="30" t="s">
        <v>98</v>
      </c>
      <c r="F202" s="305"/>
      <c r="G202" s="30" t="s">
        <v>304</v>
      </c>
      <c r="H202" s="31" t="s">
        <v>401</v>
      </c>
      <c r="I202" s="47">
        <f t="shared" si="11"/>
        <v>4.1999999999999984</v>
      </c>
      <c r="J202" s="32">
        <v>4.0307101727447199</v>
      </c>
      <c r="K202" s="33">
        <v>1172</v>
      </c>
      <c r="L202" s="33">
        <v>696.6</v>
      </c>
      <c r="M202" s="33">
        <v>1177.4000000000001</v>
      </c>
      <c r="N202" s="32">
        <v>64.02</v>
      </c>
      <c r="O202" s="32">
        <v>63.74</v>
      </c>
      <c r="P202" s="32">
        <v>63.78</v>
      </c>
      <c r="Q202" s="32">
        <v>63.83</v>
      </c>
      <c r="R202" s="32">
        <v>63.842500000000001</v>
      </c>
      <c r="S202" s="32">
        <v>10.66</v>
      </c>
      <c r="T202" s="42">
        <f t="shared" si="10"/>
        <v>1.0497618357677094</v>
      </c>
      <c r="W202" s="32">
        <v>144</v>
      </c>
      <c r="X202" s="32">
        <v>107.8</v>
      </c>
      <c r="Y202" s="32">
        <v>43.95</v>
      </c>
      <c r="Z202" s="32">
        <v>60.3</v>
      </c>
    </row>
    <row r="203" spans="1:26" ht="14.4">
      <c r="A203" s="27">
        <v>161</v>
      </c>
      <c r="B203" s="27">
        <v>91</v>
      </c>
      <c r="C203" s="27">
        <v>44</v>
      </c>
      <c r="D203" s="27">
        <v>15</v>
      </c>
      <c r="E203" s="30" t="s">
        <v>98</v>
      </c>
      <c r="F203" s="305"/>
      <c r="G203" s="30" t="s">
        <v>304</v>
      </c>
      <c r="H203" s="31" t="s">
        <v>299</v>
      </c>
      <c r="I203" s="47">
        <f t="shared" si="11"/>
        <v>4.1999999999999984</v>
      </c>
      <c r="J203" s="32">
        <v>4.0307101727447199</v>
      </c>
      <c r="K203" s="33">
        <v>1171.5</v>
      </c>
      <c r="L203" s="33">
        <v>696.6</v>
      </c>
      <c r="M203" s="33">
        <v>1177.3</v>
      </c>
      <c r="N203" s="32">
        <v>63.76</v>
      </c>
      <c r="O203" s="32">
        <v>64.06</v>
      </c>
      <c r="P203" s="32">
        <v>63.58</v>
      </c>
      <c r="Q203" s="32">
        <v>64.06</v>
      </c>
      <c r="R203" s="32">
        <v>63.865000000000002</v>
      </c>
      <c r="S203" s="32">
        <v>11.99</v>
      </c>
      <c r="T203" s="42">
        <f t="shared" si="10"/>
        <v>1.1803198935254051</v>
      </c>
      <c r="W203" s="32">
        <v>144</v>
      </c>
      <c r="X203" s="32">
        <v>107.8</v>
      </c>
      <c r="Y203" s="32">
        <v>43.95</v>
      </c>
      <c r="Z203" s="32">
        <v>60.3</v>
      </c>
    </row>
    <row r="204" spans="1:26" ht="14.4">
      <c r="A204" s="27">
        <v>161</v>
      </c>
      <c r="B204" s="27">
        <v>91</v>
      </c>
      <c r="C204" s="27">
        <v>44</v>
      </c>
      <c r="D204" s="27">
        <v>15</v>
      </c>
      <c r="E204" s="30" t="s">
        <v>98</v>
      </c>
      <c r="F204" s="305"/>
      <c r="G204" s="30" t="s">
        <v>304</v>
      </c>
      <c r="H204" s="31" t="s">
        <v>409</v>
      </c>
      <c r="I204" s="47">
        <f t="shared" si="11"/>
        <v>4.1999999999999984</v>
      </c>
      <c r="J204" s="32">
        <v>4.0307101727447199</v>
      </c>
      <c r="K204" s="33">
        <v>1169.7</v>
      </c>
      <c r="L204" s="33">
        <v>695.3</v>
      </c>
      <c r="M204" s="33">
        <v>1176.8</v>
      </c>
      <c r="N204" s="32">
        <v>63.06</v>
      </c>
      <c r="O204" s="32">
        <v>62.97</v>
      </c>
      <c r="P204" s="32">
        <v>63.28</v>
      </c>
      <c r="Q204" s="32">
        <v>63.12</v>
      </c>
      <c r="R204" s="32">
        <v>63.107500000000002</v>
      </c>
      <c r="S204" s="32">
        <v>11.36</v>
      </c>
      <c r="T204" s="42">
        <f t="shared" si="10"/>
        <v>1.1317247553777283</v>
      </c>
      <c r="W204" s="32">
        <v>144</v>
      </c>
      <c r="X204" s="32">
        <v>107.8</v>
      </c>
      <c r="Y204" s="32">
        <v>43.95</v>
      </c>
      <c r="Z204" s="32">
        <v>60.3</v>
      </c>
    </row>
    <row r="205" spans="1:26" ht="14.4">
      <c r="A205" s="27">
        <v>161</v>
      </c>
      <c r="B205" s="27">
        <v>91</v>
      </c>
      <c r="C205" s="27">
        <v>44</v>
      </c>
      <c r="D205" s="27">
        <v>15</v>
      </c>
      <c r="E205" s="30" t="s">
        <v>98</v>
      </c>
      <c r="F205" s="305"/>
      <c r="G205" s="30" t="s">
        <v>332</v>
      </c>
      <c r="H205" s="31" t="s">
        <v>397</v>
      </c>
      <c r="I205" s="47">
        <f t="shared" si="11"/>
        <v>4.1999999999999984</v>
      </c>
      <c r="J205" s="32">
        <v>4.0307101727447199</v>
      </c>
      <c r="K205" s="33">
        <v>1169.0999999999999</v>
      </c>
      <c r="L205" s="33">
        <v>693.3</v>
      </c>
      <c r="M205" s="33">
        <v>1173.4000000000001</v>
      </c>
      <c r="N205" s="32">
        <v>63.35</v>
      </c>
      <c r="O205" s="32">
        <v>63.66</v>
      </c>
      <c r="P205" s="32">
        <v>63.43</v>
      </c>
      <c r="Q205" s="32">
        <v>63.36</v>
      </c>
      <c r="R205" s="32">
        <v>63.45</v>
      </c>
      <c r="S205" s="32">
        <v>10.35</v>
      </c>
      <c r="T205" s="42">
        <f t="shared" si="10"/>
        <v>1.0255390070921984</v>
      </c>
      <c r="U205" s="34">
        <f>V205/V206</f>
        <v>0.87410660800139661</v>
      </c>
      <c r="V205" s="32">
        <f>AVERAGE(T205,T207,T209,T211)</f>
        <v>1.0362435274484942</v>
      </c>
      <c r="W205" s="32">
        <v>144</v>
      </c>
      <c r="X205" s="32">
        <v>107.8</v>
      </c>
      <c r="Y205" s="32">
        <v>43.95</v>
      </c>
      <c r="Z205" s="32">
        <v>60.3</v>
      </c>
    </row>
    <row r="206" spans="1:26" ht="14.4">
      <c r="A206" s="27">
        <v>161</v>
      </c>
      <c r="B206" s="27">
        <v>91</v>
      </c>
      <c r="C206" s="27">
        <v>44</v>
      </c>
      <c r="D206" s="27">
        <v>15</v>
      </c>
      <c r="E206" s="30" t="s">
        <v>98</v>
      </c>
      <c r="F206" s="305"/>
      <c r="G206" s="30" t="s">
        <v>332</v>
      </c>
      <c r="H206" s="31" t="s">
        <v>295</v>
      </c>
      <c r="I206" s="47">
        <f t="shared" si="11"/>
        <v>4.1999999999999984</v>
      </c>
      <c r="J206" s="32">
        <v>4.0307101727447199</v>
      </c>
      <c r="K206" s="33">
        <v>1172.3</v>
      </c>
      <c r="L206" s="33">
        <v>695.4</v>
      </c>
      <c r="M206" s="33">
        <v>1176.3</v>
      </c>
      <c r="N206" s="32">
        <v>63.16</v>
      </c>
      <c r="O206" s="32">
        <v>63.44</v>
      </c>
      <c r="P206" s="32">
        <v>63.26</v>
      </c>
      <c r="Q206" s="32">
        <v>63.2</v>
      </c>
      <c r="R206" s="32">
        <v>63.265000000000001</v>
      </c>
      <c r="S206" s="32">
        <v>12.39</v>
      </c>
      <c r="T206" s="42">
        <f t="shared" si="10"/>
        <v>1.2312642061171264</v>
      </c>
      <c r="V206" s="32">
        <f>AVERAGE(T206,T208,T210)</f>
        <v>1.1854887241017615</v>
      </c>
      <c r="W206" s="32">
        <v>144</v>
      </c>
      <c r="X206" s="32">
        <v>107.8</v>
      </c>
      <c r="Y206" s="32">
        <v>43.95</v>
      </c>
      <c r="Z206" s="32">
        <v>60.3</v>
      </c>
    </row>
    <row r="207" spans="1:26" ht="14.4">
      <c r="A207" s="27">
        <v>161</v>
      </c>
      <c r="B207" s="27">
        <v>91</v>
      </c>
      <c r="C207" s="27">
        <v>44</v>
      </c>
      <c r="D207" s="27">
        <v>15</v>
      </c>
      <c r="E207" s="30" t="s">
        <v>98</v>
      </c>
      <c r="F207" s="305"/>
      <c r="G207" s="30" t="s">
        <v>332</v>
      </c>
      <c r="H207" s="31" t="s">
        <v>399</v>
      </c>
      <c r="I207" s="47">
        <f t="shared" si="11"/>
        <v>4.1999999999999984</v>
      </c>
      <c r="J207" s="32">
        <v>4.0307101727447199</v>
      </c>
      <c r="K207" s="33">
        <v>1183.3</v>
      </c>
      <c r="L207" s="33">
        <v>702.8</v>
      </c>
      <c r="M207" s="33">
        <v>1186.8</v>
      </c>
      <c r="N207" s="32">
        <v>63.89</v>
      </c>
      <c r="O207" s="32">
        <v>64.52</v>
      </c>
      <c r="P207" s="32">
        <v>64.36</v>
      </c>
      <c r="Q207" s="32">
        <v>64.06</v>
      </c>
      <c r="R207" s="32">
        <v>64.207499999999996</v>
      </c>
      <c r="S207" s="32">
        <v>11.09</v>
      </c>
      <c r="T207" s="42">
        <f t="shared" si="10"/>
        <v>1.0858985321029475</v>
      </c>
      <c r="W207" s="32">
        <v>144</v>
      </c>
      <c r="X207" s="32">
        <v>107.8</v>
      </c>
      <c r="Y207" s="32">
        <v>43.95</v>
      </c>
      <c r="Z207" s="32">
        <v>60.3</v>
      </c>
    </row>
    <row r="208" spans="1:26" ht="14.4">
      <c r="A208" s="27">
        <v>161</v>
      </c>
      <c r="B208" s="27">
        <v>91</v>
      </c>
      <c r="C208" s="27">
        <v>44</v>
      </c>
      <c r="D208" s="27">
        <v>15</v>
      </c>
      <c r="E208" s="30" t="s">
        <v>98</v>
      </c>
      <c r="F208" s="305"/>
      <c r="G208" s="30" t="s">
        <v>332</v>
      </c>
      <c r="H208" s="31" t="s">
        <v>297</v>
      </c>
      <c r="I208" s="47">
        <f t="shared" si="11"/>
        <v>4.1999999999999984</v>
      </c>
      <c r="J208" s="32">
        <v>4.0307101727447199</v>
      </c>
      <c r="K208" s="33">
        <v>1172.0999999999999</v>
      </c>
      <c r="L208" s="33">
        <v>695.8</v>
      </c>
      <c r="M208" s="33">
        <v>1176.5999999999999</v>
      </c>
      <c r="N208" s="32">
        <v>63.59</v>
      </c>
      <c r="O208" s="32">
        <v>63.88</v>
      </c>
      <c r="P208" s="32">
        <v>63.79</v>
      </c>
      <c r="Q208" s="32">
        <v>63.85</v>
      </c>
      <c r="R208" s="32">
        <v>63.777500000000003</v>
      </c>
      <c r="S208" s="32">
        <v>11.26</v>
      </c>
      <c r="T208" s="42">
        <f t="shared" si="10"/>
        <v>1.1099779702873269</v>
      </c>
      <c r="W208" s="32">
        <v>144</v>
      </c>
      <c r="X208" s="32">
        <v>107.8</v>
      </c>
      <c r="Y208" s="32">
        <v>43.95</v>
      </c>
      <c r="Z208" s="32">
        <v>60.3</v>
      </c>
    </row>
    <row r="209" spans="1:26" ht="14.4">
      <c r="A209" s="27">
        <v>161</v>
      </c>
      <c r="B209" s="27">
        <v>91</v>
      </c>
      <c r="C209" s="27">
        <v>44</v>
      </c>
      <c r="D209" s="27">
        <v>15</v>
      </c>
      <c r="E209" s="30" t="s">
        <v>98</v>
      </c>
      <c r="F209" s="305"/>
      <c r="G209" s="30" t="s">
        <v>332</v>
      </c>
      <c r="H209" s="31" t="s">
        <v>401</v>
      </c>
      <c r="I209" s="47">
        <f t="shared" si="11"/>
        <v>4.1999999999999984</v>
      </c>
      <c r="J209" s="32">
        <v>4.0307101727447199</v>
      </c>
      <c r="K209" s="33">
        <v>1172.4000000000001</v>
      </c>
      <c r="L209" s="33">
        <v>695.1</v>
      </c>
      <c r="M209" s="33">
        <v>1176.5999999999999</v>
      </c>
      <c r="N209" s="32">
        <v>63.12</v>
      </c>
      <c r="O209" s="32">
        <v>63.31</v>
      </c>
      <c r="P209" s="32">
        <v>63.17</v>
      </c>
      <c r="Q209" s="32">
        <v>63.15</v>
      </c>
      <c r="R209" s="32">
        <v>63.1875</v>
      </c>
      <c r="S209" s="32">
        <v>10.34</v>
      </c>
      <c r="T209" s="42">
        <f t="shared" si="10"/>
        <v>1.0288044312561822</v>
      </c>
      <c r="W209" s="32">
        <v>144</v>
      </c>
      <c r="X209" s="32">
        <v>107.8</v>
      </c>
      <c r="Y209" s="32">
        <v>43.95</v>
      </c>
      <c r="Z209" s="32">
        <v>60.3</v>
      </c>
    </row>
    <row r="210" spans="1:26" ht="14.4">
      <c r="A210" s="27">
        <v>161</v>
      </c>
      <c r="B210" s="27">
        <v>91</v>
      </c>
      <c r="C210" s="27">
        <v>44</v>
      </c>
      <c r="D210" s="27">
        <v>15</v>
      </c>
      <c r="E210" s="30" t="s">
        <v>98</v>
      </c>
      <c r="F210" s="305"/>
      <c r="G210" s="30" t="s">
        <v>332</v>
      </c>
      <c r="H210" s="31" t="s">
        <v>299</v>
      </c>
      <c r="I210" s="47">
        <f t="shared" si="11"/>
        <v>4.1999999999999984</v>
      </c>
      <c r="J210" s="32">
        <v>4.0307101727447199</v>
      </c>
      <c r="K210" s="33">
        <v>1172.4000000000001</v>
      </c>
      <c r="L210" s="33">
        <v>694.9</v>
      </c>
      <c r="M210" s="33">
        <v>1176.7</v>
      </c>
      <c r="N210" s="32">
        <v>63.39</v>
      </c>
      <c r="O210" s="32">
        <v>63.37</v>
      </c>
      <c r="P210" s="32">
        <v>63.42</v>
      </c>
      <c r="Q210" s="32">
        <v>63.53</v>
      </c>
      <c r="R210" s="32">
        <v>63.427500000000002</v>
      </c>
      <c r="S210" s="32">
        <v>12.26</v>
      </c>
      <c r="T210" s="42">
        <f t="shared" si="10"/>
        <v>1.2152239959008315</v>
      </c>
      <c r="W210" s="32">
        <v>144</v>
      </c>
      <c r="X210" s="32">
        <v>107.8</v>
      </c>
      <c r="Y210" s="32">
        <v>43.95</v>
      </c>
      <c r="Z210" s="32">
        <v>60.3</v>
      </c>
    </row>
    <row r="211" spans="1:26" ht="14.4">
      <c r="A211" s="27">
        <v>161</v>
      </c>
      <c r="B211" s="27">
        <v>91</v>
      </c>
      <c r="C211" s="27">
        <v>44</v>
      </c>
      <c r="D211" s="27">
        <v>15</v>
      </c>
      <c r="E211" s="30" t="s">
        <v>98</v>
      </c>
      <c r="F211" s="305"/>
      <c r="G211" s="30" t="s">
        <v>332</v>
      </c>
      <c r="H211" s="31" t="s">
        <v>409</v>
      </c>
      <c r="I211" s="47">
        <f t="shared" si="11"/>
        <v>4.1999999999999984</v>
      </c>
      <c r="J211" s="32">
        <v>4.0307101727447199</v>
      </c>
      <c r="K211" s="33">
        <v>1173.4000000000001</v>
      </c>
      <c r="L211" s="33">
        <v>695.3</v>
      </c>
      <c r="M211" s="33">
        <v>1177.7</v>
      </c>
      <c r="N211" s="32">
        <v>63.92</v>
      </c>
      <c r="O211" s="32">
        <v>63.46</v>
      </c>
      <c r="P211" s="32">
        <v>63.22</v>
      </c>
      <c r="Q211" s="32">
        <v>63.45</v>
      </c>
      <c r="R211" s="32">
        <v>63.512500000000003</v>
      </c>
      <c r="S211" s="32">
        <v>10.15</v>
      </c>
      <c r="T211" s="42">
        <f t="shared" si="10"/>
        <v>1.0047321393426492</v>
      </c>
      <c r="W211" s="32">
        <v>144</v>
      </c>
      <c r="X211" s="32">
        <v>107.8</v>
      </c>
      <c r="Y211" s="32">
        <v>43.95</v>
      </c>
      <c r="Z211" s="32">
        <v>60.3</v>
      </c>
    </row>
    <row r="212" spans="1:26" ht="14.4">
      <c r="A212" s="27">
        <v>161</v>
      </c>
      <c r="B212" s="27">
        <v>91</v>
      </c>
      <c r="C212" s="27">
        <v>44</v>
      </c>
      <c r="D212" s="27">
        <v>15</v>
      </c>
      <c r="E212" s="30" t="s">
        <v>98</v>
      </c>
      <c r="F212" s="305"/>
      <c r="G212" s="30" t="s">
        <v>333</v>
      </c>
      <c r="H212" s="31" t="s">
        <v>397</v>
      </c>
      <c r="I212" s="47">
        <f t="shared" si="11"/>
        <v>4.1999999999999984</v>
      </c>
      <c r="J212" s="32">
        <v>4.0307101727447199</v>
      </c>
      <c r="K212" s="33">
        <v>1192.0999999999999</v>
      </c>
      <c r="L212" s="33">
        <v>711.4</v>
      </c>
      <c r="M212" s="33">
        <v>1195.5</v>
      </c>
      <c r="N212" s="32">
        <v>63.49</v>
      </c>
      <c r="O212" s="32">
        <v>63.56</v>
      </c>
      <c r="P212" s="32">
        <v>63.61</v>
      </c>
      <c r="Q212" s="32">
        <v>63.51</v>
      </c>
      <c r="R212" s="32">
        <v>63.542499999999997</v>
      </c>
      <c r="S212" s="32">
        <v>10.029999999999999</v>
      </c>
      <c r="T212" s="42">
        <f t="shared" si="10"/>
        <v>0.99238478183892664</v>
      </c>
      <c r="U212" s="34">
        <f>V212/V213</f>
        <v>0.84670517480804619</v>
      </c>
      <c r="V212" s="32">
        <f>AVERAGE(T212,T214,T216)</f>
        <v>1.0263599259344165</v>
      </c>
      <c r="W212" s="32">
        <v>144</v>
      </c>
      <c r="X212" s="32">
        <v>107.8</v>
      </c>
      <c r="Y212" s="32">
        <v>43.95</v>
      </c>
      <c r="Z212" s="32">
        <v>60.3</v>
      </c>
    </row>
    <row r="213" spans="1:26" ht="14.4">
      <c r="A213" s="27">
        <v>161</v>
      </c>
      <c r="B213" s="27">
        <v>91</v>
      </c>
      <c r="C213" s="27">
        <v>44</v>
      </c>
      <c r="D213" s="27">
        <v>15</v>
      </c>
      <c r="E213" s="30" t="s">
        <v>98</v>
      </c>
      <c r="F213" s="305"/>
      <c r="G213" s="30" t="s">
        <v>333</v>
      </c>
      <c r="H213" s="31" t="s">
        <v>295</v>
      </c>
      <c r="I213" s="47">
        <f t="shared" si="11"/>
        <v>4.1999999999999984</v>
      </c>
      <c r="J213" s="32">
        <v>4.0307101727447199</v>
      </c>
      <c r="K213" s="33">
        <v>1192.5999999999999</v>
      </c>
      <c r="L213" s="33">
        <v>709.2</v>
      </c>
      <c r="M213" s="33">
        <v>1195</v>
      </c>
      <c r="N213" s="32">
        <v>63.12</v>
      </c>
      <c r="O213" s="32">
        <v>63.29</v>
      </c>
      <c r="P213" s="32">
        <v>63.4</v>
      </c>
      <c r="Q213" s="32">
        <v>63.09</v>
      </c>
      <c r="R213" s="32">
        <v>63.225000000000001</v>
      </c>
      <c r="S213" s="32">
        <v>12.82</v>
      </c>
      <c r="T213" s="42">
        <f t="shared" si="10"/>
        <v>1.27480173981811</v>
      </c>
      <c r="V213" s="32">
        <f>AVERAGE(T213,T215,T217)</f>
        <v>1.212181000508352</v>
      </c>
      <c r="W213" s="32">
        <v>144</v>
      </c>
      <c r="X213" s="32">
        <v>107.8</v>
      </c>
      <c r="Y213" s="32">
        <v>43.95</v>
      </c>
      <c r="Z213" s="32">
        <v>60.3</v>
      </c>
    </row>
    <row r="214" spans="1:26" ht="14.4">
      <c r="A214" s="27">
        <v>161</v>
      </c>
      <c r="B214" s="27">
        <v>91</v>
      </c>
      <c r="C214" s="27">
        <v>44</v>
      </c>
      <c r="D214" s="27">
        <v>15</v>
      </c>
      <c r="E214" s="30" t="s">
        <v>98</v>
      </c>
      <c r="F214" s="305"/>
      <c r="G214" s="30" t="s">
        <v>333</v>
      </c>
      <c r="H214" s="31" t="s">
        <v>399</v>
      </c>
      <c r="I214" s="47">
        <f t="shared" si="11"/>
        <v>4.1999999999999984</v>
      </c>
      <c r="J214" s="32">
        <v>4.0307101727447199</v>
      </c>
      <c r="K214" s="33">
        <v>1192.7</v>
      </c>
      <c r="L214" s="33">
        <v>708.5</v>
      </c>
      <c r="M214" s="33">
        <v>1195.5999999999999</v>
      </c>
      <c r="N214" s="32">
        <v>63.16</v>
      </c>
      <c r="O214" s="32">
        <v>63.46</v>
      </c>
      <c r="P214" s="32">
        <v>63.4</v>
      </c>
      <c r="Q214" s="32">
        <v>63.39</v>
      </c>
      <c r="R214" s="32">
        <v>63.352499999999999</v>
      </c>
      <c r="S214" s="32">
        <v>9.9499999999999993</v>
      </c>
      <c r="T214" s="42">
        <f t="shared" si="10"/>
        <v>0.98742196440550878</v>
      </c>
      <c r="W214" s="32">
        <v>144</v>
      </c>
      <c r="X214" s="32">
        <v>107.8</v>
      </c>
      <c r="Y214" s="32">
        <v>43.95</v>
      </c>
      <c r="Z214" s="32">
        <v>60.3</v>
      </c>
    </row>
    <row r="215" spans="1:26" ht="14.4">
      <c r="A215" s="27">
        <v>161</v>
      </c>
      <c r="B215" s="27">
        <v>91</v>
      </c>
      <c r="C215" s="27">
        <v>44</v>
      </c>
      <c r="D215" s="27">
        <v>15</v>
      </c>
      <c r="E215" s="30" t="s">
        <v>98</v>
      </c>
      <c r="F215" s="305"/>
      <c r="G215" s="30" t="s">
        <v>333</v>
      </c>
      <c r="H215" s="31" t="s">
        <v>297</v>
      </c>
      <c r="I215" s="47">
        <f t="shared" si="11"/>
        <v>4.1999999999999984</v>
      </c>
      <c r="J215" s="32">
        <v>4.0307101727447199</v>
      </c>
      <c r="K215" s="33">
        <v>1177.5999999999999</v>
      </c>
      <c r="L215" s="33">
        <v>702.6</v>
      </c>
      <c r="M215" s="33">
        <v>1180.5</v>
      </c>
      <c r="N215" s="32">
        <v>63.19</v>
      </c>
      <c r="O215" s="32">
        <v>62.62</v>
      </c>
      <c r="P215" s="32">
        <v>62.46</v>
      </c>
      <c r="Q215" s="32">
        <v>62.58</v>
      </c>
      <c r="R215" s="32">
        <v>62.712499999999999</v>
      </c>
      <c r="S215" s="32">
        <v>11.23</v>
      </c>
      <c r="T215" s="42">
        <f t="shared" si="10"/>
        <v>1.1258203707394858</v>
      </c>
      <c r="W215" s="32">
        <v>144</v>
      </c>
      <c r="X215" s="32">
        <v>107.8</v>
      </c>
      <c r="Y215" s="32">
        <v>43.95</v>
      </c>
      <c r="Z215" s="32">
        <v>60.3</v>
      </c>
    </row>
    <row r="216" spans="1:26" ht="14.4">
      <c r="A216" s="27">
        <v>161</v>
      </c>
      <c r="B216" s="27">
        <v>91</v>
      </c>
      <c r="C216" s="27">
        <v>44</v>
      </c>
      <c r="D216" s="27">
        <v>15</v>
      </c>
      <c r="E216" s="30" t="s">
        <v>98</v>
      </c>
      <c r="F216" s="305"/>
      <c r="G216" s="30" t="s">
        <v>333</v>
      </c>
      <c r="H216" s="31" t="s">
        <v>401</v>
      </c>
      <c r="I216" s="47">
        <f t="shared" si="11"/>
        <v>4.1999999999999984</v>
      </c>
      <c r="J216" s="32">
        <v>4.0307101727447199</v>
      </c>
      <c r="K216" s="33">
        <v>1191.7</v>
      </c>
      <c r="L216" s="33">
        <v>710.3</v>
      </c>
      <c r="M216" s="33">
        <v>1193.3</v>
      </c>
      <c r="N216" s="32">
        <v>62.65</v>
      </c>
      <c r="O216" s="32">
        <v>62.77</v>
      </c>
      <c r="P216" s="32">
        <v>62.76</v>
      </c>
      <c r="Q216" s="32">
        <v>62.78</v>
      </c>
      <c r="R216" s="32">
        <v>62.74</v>
      </c>
      <c r="S216" s="32">
        <v>10.97</v>
      </c>
      <c r="T216" s="42">
        <f t="shared" si="10"/>
        <v>1.0992730315588142</v>
      </c>
      <c r="W216" s="32">
        <v>144</v>
      </c>
      <c r="X216" s="32">
        <v>107.8</v>
      </c>
      <c r="Y216" s="32">
        <v>43.95</v>
      </c>
      <c r="Z216" s="32">
        <v>60.3</v>
      </c>
    </row>
    <row r="217" spans="1:26" ht="14.4">
      <c r="A217" s="27">
        <v>161</v>
      </c>
      <c r="B217" s="27">
        <v>91</v>
      </c>
      <c r="C217" s="27">
        <v>44</v>
      </c>
      <c r="D217" s="27">
        <v>15</v>
      </c>
      <c r="E217" s="30" t="s">
        <v>98</v>
      </c>
      <c r="F217" s="306"/>
      <c r="G217" s="30" t="s">
        <v>333</v>
      </c>
      <c r="H217" s="31" t="s">
        <v>299</v>
      </c>
      <c r="I217" s="47">
        <f t="shared" si="11"/>
        <v>4.1999999999999984</v>
      </c>
      <c r="J217" s="32">
        <v>4.0307101727447199</v>
      </c>
      <c r="K217" s="33">
        <v>1195</v>
      </c>
      <c r="L217" s="33">
        <v>711</v>
      </c>
      <c r="M217" s="33">
        <v>1197.5</v>
      </c>
      <c r="N217" s="32">
        <v>62.99</v>
      </c>
      <c r="O217" s="32">
        <v>63.16</v>
      </c>
      <c r="P217" s="32">
        <v>63.05</v>
      </c>
      <c r="Q217" s="32">
        <v>63.11</v>
      </c>
      <c r="R217" s="32">
        <v>63.077500000000001</v>
      </c>
      <c r="S217" s="32">
        <v>12.4</v>
      </c>
      <c r="T217" s="42">
        <f t="shared" si="10"/>
        <v>1.2359208909674606</v>
      </c>
      <c r="W217" s="32">
        <v>144</v>
      </c>
      <c r="X217" s="32">
        <v>107.8</v>
      </c>
      <c r="Y217" s="32">
        <v>43.95</v>
      </c>
      <c r="Z217" s="32">
        <v>60.3</v>
      </c>
    </row>
    <row r="218" spans="1:26" ht="14.4">
      <c r="A218" s="27">
        <v>161</v>
      </c>
      <c r="B218" s="27">
        <v>91</v>
      </c>
      <c r="C218" s="27">
        <v>44</v>
      </c>
      <c r="D218" s="27">
        <v>15</v>
      </c>
      <c r="E218" s="30" t="s">
        <v>100</v>
      </c>
      <c r="F218" s="304" t="s">
        <v>218</v>
      </c>
      <c r="G218" s="30" t="s">
        <v>324</v>
      </c>
      <c r="H218" s="31" t="s">
        <v>397</v>
      </c>
      <c r="I218" s="61">
        <v>4.8</v>
      </c>
      <c r="J218" s="61">
        <v>4.5801526717557302</v>
      </c>
      <c r="K218" s="33">
        <v>1199.5</v>
      </c>
      <c r="L218" s="33">
        <v>701.6</v>
      </c>
      <c r="M218" s="33">
        <v>1215.9000000000001</v>
      </c>
      <c r="N218" s="32">
        <v>64.489999999999995</v>
      </c>
      <c r="O218" s="32">
        <v>64.400000000000006</v>
      </c>
      <c r="P218" s="32">
        <v>64.239999999999995</v>
      </c>
      <c r="Q218" s="32">
        <v>64.73</v>
      </c>
      <c r="R218" s="32">
        <v>64.465000000000003</v>
      </c>
      <c r="S218" s="32">
        <v>16.52</v>
      </c>
      <c r="T218" s="42">
        <f t="shared" si="10"/>
        <v>1.6111260373846272</v>
      </c>
      <c r="U218" s="34">
        <f>V218/V219</f>
        <v>0.90468452865371551</v>
      </c>
      <c r="V218" s="32">
        <f>AVERAGE(T218:T221)</f>
        <v>1.6369187826711236</v>
      </c>
      <c r="W218" s="32">
        <v>161</v>
      </c>
      <c r="X218" s="32">
        <v>91</v>
      </c>
      <c r="Y218" s="32">
        <v>44</v>
      </c>
      <c r="Z218" s="32">
        <v>15</v>
      </c>
    </row>
    <row r="219" spans="1:26" ht="14.4">
      <c r="A219" s="27">
        <v>161</v>
      </c>
      <c r="B219" s="27">
        <v>91</v>
      </c>
      <c r="C219" s="27">
        <v>44</v>
      </c>
      <c r="D219" s="27">
        <v>15</v>
      </c>
      <c r="E219" s="30" t="s">
        <v>100</v>
      </c>
      <c r="F219" s="305"/>
      <c r="G219" s="30" t="s">
        <v>324</v>
      </c>
      <c r="H219" s="31" t="s">
        <v>295</v>
      </c>
      <c r="I219" s="61">
        <v>4.8</v>
      </c>
      <c r="J219" s="61">
        <v>4.5801526717557302</v>
      </c>
      <c r="K219" s="33">
        <v>1183.4000000000001</v>
      </c>
      <c r="L219" s="33">
        <v>693.4</v>
      </c>
      <c r="M219" s="33">
        <v>1190.5</v>
      </c>
      <c r="N219" s="32">
        <v>63.5</v>
      </c>
      <c r="O219" s="32">
        <v>63.58</v>
      </c>
      <c r="P219" s="32">
        <v>63.75</v>
      </c>
      <c r="Q219" s="32">
        <v>63.6</v>
      </c>
      <c r="R219" s="32">
        <v>63.607500000000002</v>
      </c>
      <c r="S219" s="32">
        <v>16.899999999999999</v>
      </c>
      <c r="T219" s="42">
        <f t="shared" si="10"/>
        <v>1.6704052195102779</v>
      </c>
      <c r="V219" s="32">
        <f>AVERAGE(T222:T224)</f>
        <v>1.8093807629351912</v>
      </c>
      <c r="W219" s="32">
        <v>161</v>
      </c>
      <c r="X219" s="32">
        <v>91</v>
      </c>
      <c r="Y219" s="32">
        <v>44</v>
      </c>
      <c r="Z219" s="32">
        <v>15</v>
      </c>
    </row>
    <row r="220" spans="1:26" ht="14.4">
      <c r="A220" s="27">
        <v>161</v>
      </c>
      <c r="B220" s="27">
        <v>91</v>
      </c>
      <c r="C220" s="27">
        <v>44</v>
      </c>
      <c r="D220" s="27">
        <v>15</v>
      </c>
      <c r="E220" s="30" t="s">
        <v>100</v>
      </c>
      <c r="F220" s="305"/>
      <c r="G220" s="30" t="s">
        <v>324</v>
      </c>
      <c r="H220" s="31" t="s">
        <v>399</v>
      </c>
      <c r="I220" s="61">
        <v>4.8</v>
      </c>
      <c r="J220" s="61">
        <v>4.5801526717557302</v>
      </c>
      <c r="K220" s="33">
        <v>1182.9000000000001</v>
      </c>
      <c r="L220" s="33">
        <v>690.3</v>
      </c>
      <c r="M220" s="33">
        <v>1191.2</v>
      </c>
      <c r="N220" s="32">
        <v>64.400000000000006</v>
      </c>
      <c r="O220" s="32">
        <v>64.650000000000006</v>
      </c>
      <c r="P220" s="32">
        <v>64.8</v>
      </c>
      <c r="Q220" s="32">
        <v>64.650000000000006</v>
      </c>
      <c r="R220" s="32">
        <v>64.625</v>
      </c>
      <c r="S220" s="32">
        <v>16.66</v>
      </c>
      <c r="T220" s="42">
        <f t="shared" ref="T220:T270" si="12">6.287*S220/R220</f>
        <v>1.6207569825918764</v>
      </c>
      <c r="W220" s="32">
        <v>161</v>
      </c>
      <c r="X220" s="32">
        <v>91</v>
      </c>
      <c r="Y220" s="32">
        <v>44</v>
      </c>
      <c r="Z220" s="32">
        <v>15</v>
      </c>
    </row>
    <row r="221" spans="1:26" ht="14.4">
      <c r="A221" s="27">
        <v>161</v>
      </c>
      <c r="B221" s="27">
        <v>91</v>
      </c>
      <c r="C221" s="27">
        <v>44</v>
      </c>
      <c r="D221" s="27">
        <v>15</v>
      </c>
      <c r="E221" s="30" t="s">
        <v>100</v>
      </c>
      <c r="F221" s="305"/>
      <c r="G221" s="30" t="s">
        <v>324</v>
      </c>
      <c r="H221" s="31" t="s">
        <v>297</v>
      </c>
      <c r="I221" s="61">
        <v>4.8</v>
      </c>
      <c r="J221" s="61">
        <v>4.5801526717557302</v>
      </c>
      <c r="K221" s="33">
        <v>1182.5</v>
      </c>
      <c r="L221" s="33">
        <v>692.3</v>
      </c>
      <c r="M221" s="33">
        <v>1191.0999999999999</v>
      </c>
      <c r="N221" s="32">
        <v>64.599999999999994</v>
      </c>
      <c r="O221" s="32">
        <v>64.709999999999994</v>
      </c>
      <c r="P221" s="32">
        <v>64.8</v>
      </c>
      <c r="Q221" s="32">
        <v>64.8</v>
      </c>
      <c r="R221" s="32">
        <v>64.727500000000006</v>
      </c>
      <c r="S221" s="32">
        <v>16.940000000000001</v>
      </c>
      <c r="T221" s="42">
        <f t="shared" si="12"/>
        <v>1.6453868911977134</v>
      </c>
      <c r="W221" s="32">
        <v>161</v>
      </c>
      <c r="X221" s="32">
        <v>91</v>
      </c>
      <c r="Y221" s="32">
        <v>44</v>
      </c>
      <c r="Z221" s="32">
        <v>15</v>
      </c>
    </row>
    <row r="222" spans="1:26" ht="14.4">
      <c r="A222" s="27">
        <v>161</v>
      </c>
      <c r="B222" s="27">
        <v>91</v>
      </c>
      <c r="C222" s="27">
        <v>44</v>
      </c>
      <c r="D222" s="27">
        <v>15</v>
      </c>
      <c r="E222" s="30" t="s">
        <v>100</v>
      </c>
      <c r="F222" s="305"/>
      <c r="G222" s="30" t="s">
        <v>324</v>
      </c>
      <c r="H222" s="31" t="s">
        <v>401</v>
      </c>
      <c r="I222" s="61">
        <v>4.8</v>
      </c>
      <c r="J222" s="61">
        <v>4.5801526717557302</v>
      </c>
      <c r="K222" s="33">
        <v>1182.3</v>
      </c>
      <c r="L222" s="33">
        <v>691.6</v>
      </c>
      <c r="M222" s="33">
        <v>1191</v>
      </c>
      <c r="N222" s="32">
        <v>63.99</v>
      </c>
      <c r="O222" s="32">
        <v>63.83</v>
      </c>
      <c r="P222" s="32">
        <v>63.87</v>
      </c>
      <c r="Q222" s="32">
        <v>64.56</v>
      </c>
      <c r="R222" s="32">
        <v>64.0625</v>
      </c>
      <c r="S222" s="32">
        <v>18.09</v>
      </c>
      <c r="T222" s="42">
        <f t="shared" si="12"/>
        <v>1.7753261268292684</v>
      </c>
      <c r="W222" s="32">
        <v>161</v>
      </c>
      <c r="X222" s="32">
        <v>91</v>
      </c>
      <c r="Y222" s="32">
        <v>44</v>
      </c>
      <c r="Z222" s="32">
        <v>15</v>
      </c>
    </row>
    <row r="223" spans="1:26" ht="14.4">
      <c r="A223" s="27">
        <v>161</v>
      </c>
      <c r="B223" s="27">
        <v>91</v>
      </c>
      <c r="C223" s="27">
        <v>44</v>
      </c>
      <c r="D223" s="27">
        <v>15</v>
      </c>
      <c r="E223" s="30" t="s">
        <v>100</v>
      </c>
      <c r="F223" s="305"/>
      <c r="G223" s="30" t="s">
        <v>324</v>
      </c>
      <c r="H223" s="31" t="s">
        <v>299</v>
      </c>
      <c r="I223" s="61">
        <v>4.8</v>
      </c>
      <c r="J223" s="61">
        <v>4.5801526717557302</v>
      </c>
      <c r="K223" s="33">
        <v>1185.5999999999999</v>
      </c>
      <c r="L223" s="33">
        <v>694</v>
      </c>
      <c r="M223" s="33">
        <v>1194.0999999999999</v>
      </c>
      <c r="N223" s="32">
        <v>64.180000000000007</v>
      </c>
      <c r="O223" s="32">
        <v>64.37</v>
      </c>
      <c r="P223" s="32">
        <v>64.06</v>
      </c>
      <c r="Q223" s="32">
        <v>64.03</v>
      </c>
      <c r="R223" s="32">
        <v>64.16</v>
      </c>
      <c r="S223" s="32">
        <v>18.329999999999998</v>
      </c>
      <c r="T223" s="42">
        <f t="shared" si="12"/>
        <v>1.7961457294264338</v>
      </c>
      <c r="W223" s="32">
        <v>161</v>
      </c>
      <c r="X223" s="32">
        <v>91</v>
      </c>
      <c r="Y223" s="32">
        <v>44</v>
      </c>
      <c r="Z223" s="32">
        <v>15</v>
      </c>
    </row>
    <row r="224" spans="1:26" ht="14.4">
      <c r="A224" s="27">
        <v>161</v>
      </c>
      <c r="B224" s="27">
        <v>91</v>
      </c>
      <c r="C224" s="27">
        <v>44</v>
      </c>
      <c r="D224" s="27">
        <v>15</v>
      </c>
      <c r="E224" s="30" t="s">
        <v>100</v>
      </c>
      <c r="F224" s="306"/>
      <c r="G224" s="30" t="s">
        <v>324</v>
      </c>
      <c r="H224" s="31" t="s">
        <v>409</v>
      </c>
      <c r="I224" s="61">
        <v>4.8</v>
      </c>
      <c r="J224" s="61">
        <v>4.5801526717557302</v>
      </c>
      <c r="K224" s="33">
        <v>1181.7</v>
      </c>
      <c r="L224" s="33">
        <v>692.6</v>
      </c>
      <c r="M224" s="33">
        <v>1188.5999999999999</v>
      </c>
      <c r="N224" s="32">
        <v>63.43</v>
      </c>
      <c r="O224" s="32">
        <v>63</v>
      </c>
      <c r="P224" s="32">
        <v>63.32</v>
      </c>
      <c r="Q224" s="32">
        <v>63.4</v>
      </c>
      <c r="R224" s="32">
        <v>63.287500000000001</v>
      </c>
      <c r="S224" s="32">
        <v>18.690000000000001</v>
      </c>
      <c r="T224" s="42">
        <f t="shared" si="12"/>
        <v>1.8566704325498715</v>
      </c>
      <c r="W224" s="32">
        <v>161</v>
      </c>
      <c r="X224" s="32">
        <v>91</v>
      </c>
      <c r="Y224" s="32">
        <v>44</v>
      </c>
      <c r="Z224" s="32">
        <v>15</v>
      </c>
    </row>
    <row r="225" spans="1:26" ht="14.4">
      <c r="A225" s="27">
        <v>161</v>
      </c>
      <c r="B225" s="27">
        <v>91</v>
      </c>
      <c r="C225" s="27">
        <v>44</v>
      </c>
      <c r="D225" s="27">
        <v>15</v>
      </c>
      <c r="E225" s="30" t="s">
        <v>101</v>
      </c>
      <c r="F225" s="304" t="s">
        <v>218</v>
      </c>
      <c r="G225" s="30" t="s">
        <v>324</v>
      </c>
      <c r="H225" s="31" t="s">
        <v>397</v>
      </c>
      <c r="I225" s="61">
        <v>4.8</v>
      </c>
      <c r="J225" s="61">
        <v>4.5801526717557302</v>
      </c>
      <c r="K225" s="33">
        <v>1209.3</v>
      </c>
      <c r="L225" s="33">
        <v>722.8</v>
      </c>
      <c r="M225" s="33">
        <v>1211.0999999999999</v>
      </c>
      <c r="N225" s="32">
        <v>61.93</v>
      </c>
      <c r="O225" s="32">
        <v>62.02</v>
      </c>
      <c r="P225" s="32">
        <v>62.03</v>
      </c>
      <c r="Q225" s="32">
        <v>62.28</v>
      </c>
      <c r="R225" s="32">
        <v>62.064999999999998</v>
      </c>
      <c r="S225" s="32">
        <v>16.12</v>
      </c>
      <c r="T225" s="42">
        <f t="shared" si="12"/>
        <v>1.6329080802384597</v>
      </c>
      <c r="U225" s="34">
        <f>V225/V226</f>
        <v>0.88889200321447048</v>
      </c>
      <c r="V225" s="32">
        <f>AVERAGE(T225,T227,T229,T231)</f>
        <v>1.5187707997774957</v>
      </c>
      <c r="W225" s="32">
        <v>161</v>
      </c>
      <c r="X225" s="32">
        <v>91</v>
      </c>
      <c r="Y225" s="32">
        <v>44</v>
      </c>
      <c r="Z225" s="32">
        <v>15</v>
      </c>
    </row>
    <row r="226" spans="1:26" ht="14.4">
      <c r="A226" s="27">
        <v>161</v>
      </c>
      <c r="B226" s="27">
        <v>91</v>
      </c>
      <c r="C226" s="27">
        <v>44</v>
      </c>
      <c r="D226" s="27">
        <v>15</v>
      </c>
      <c r="E226" s="30" t="s">
        <v>101</v>
      </c>
      <c r="F226" s="305"/>
      <c r="G226" s="30" t="s">
        <v>324</v>
      </c>
      <c r="H226" s="31" t="s">
        <v>295</v>
      </c>
      <c r="I226" s="61">
        <v>4.8</v>
      </c>
      <c r="J226" s="61">
        <v>4.5801526717557302</v>
      </c>
      <c r="K226" s="33">
        <v>1213.5</v>
      </c>
      <c r="L226" s="33">
        <v>726.4</v>
      </c>
      <c r="M226" s="33">
        <v>1216.2</v>
      </c>
      <c r="N226" s="32">
        <v>62.71</v>
      </c>
      <c r="O226" s="32">
        <v>62.76</v>
      </c>
      <c r="P226" s="32">
        <v>62.9</v>
      </c>
      <c r="Q226" s="32">
        <v>62.69</v>
      </c>
      <c r="R226" s="32">
        <v>62.765000000000001</v>
      </c>
      <c r="S226" s="32">
        <v>15.59</v>
      </c>
      <c r="T226" s="42">
        <f t="shared" si="12"/>
        <v>1.5616080618178922</v>
      </c>
      <c r="V226" s="32">
        <f>AVERAGE(T226,T228,T230)</f>
        <v>1.7086111634317955</v>
      </c>
      <c r="W226" s="32">
        <v>161</v>
      </c>
      <c r="X226" s="32">
        <v>91</v>
      </c>
      <c r="Y226" s="32">
        <v>44</v>
      </c>
      <c r="Z226" s="32">
        <v>15</v>
      </c>
    </row>
    <row r="227" spans="1:26" ht="14.4">
      <c r="A227" s="27">
        <v>161</v>
      </c>
      <c r="B227" s="27">
        <v>91</v>
      </c>
      <c r="C227" s="27">
        <v>44</v>
      </c>
      <c r="D227" s="27">
        <v>15</v>
      </c>
      <c r="E227" s="30" t="s">
        <v>101</v>
      </c>
      <c r="F227" s="305"/>
      <c r="G227" s="30" t="s">
        <v>324</v>
      </c>
      <c r="H227" s="31" t="s">
        <v>399</v>
      </c>
      <c r="I227" s="61">
        <v>4.8</v>
      </c>
      <c r="J227" s="61">
        <v>4.5801526717557302</v>
      </c>
      <c r="K227" s="33">
        <v>1212.8</v>
      </c>
      <c r="L227" s="33">
        <v>723.8</v>
      </c>
      <c r="M227" s="33">
        <v>1215.5999999999999</v>
      </c>
      <c r="N227" s="32">
        <v>62.65</v>
      </c>
      <c r="O227" s="32">
        <v>62.73</v>
      </c>
      <c r="P227" s="32">
        <v>62.6</v>
      </c>
      <c r="Q227" s="32">
        <v>62.79</v>
      </c>
      <c r="R227" s="32">
        <v>62.692500000000003</v>
      </c>
      <c r="S227" s="32">
        <v>15.67</v>
      </c>
      <c r="T227" s="42">
        <f t="shared" si="12"/>
        <v>1.5714366152251067</v>
      </c>
      <c r="W227" s="32">
        <v>161</v>
      </c>
      <c r="X227" s="32">
        <v>91</v>
      </c>
      <c r="Y227" s="32">
        <v>44</v>
      </c>
      <c r="Z227" s="32">
        <v>15</v>
      </c>
    </row>
    <row r="228" spans="1:26" ht="14.4">
      <c r="A228" s="27">
        <v>161</v>
      </c>
      <c r="B228" s="27">
        <v>91</v>
      </c>
      <c r="C228" s="27">
        <v>44</v>
      </c>
      <c r="D228" s="27">
        <v>15</v>
      </c>
      <c r="E228" s="30" t="s">
        <v>101</v>
      </c>
      <c r="F228" s="305"/>
      <c r="G228" s="30" t="s">
        <v>324</v>
      </c>
      <c r="H228" s="31" t="s">
        <v>297</v>
      </c>
      <c r="I228" s="61">
        <v>4.8</v>
      </c>
      <c r="J228" s="61">
        <v>4.5801526717557302</v>
      </c>
      <c r="K228" s="33">
        <v>1214.7</v>
      </c>
      <c r="L228" s="33">
        <v>723.3</v>
      </c>
      <c r="M228" s="33">
        <v>1222.3</v>
      </c>
      <c r="N228" s="32">
        <v>63.74</v>
      </c>
      <c r="O228" s="32">
        <v>62.82</v>
      </c>
      <c r="P228" s="32">
        <v>63.89</v>
      </c>
      <c r="Q228" s="32">
        <v>63.99</v>
      </c>
      <c r="R228" s="32">
        <v>63.61</v>
      </c>
      <c r="S228" s="32">
        <v>18.86</v>
      </c>
      <c r="T228" s="42">
        <f t="shared" si="12"/>
        <v>1.8640594246187705</v>
      </c>
      <c r="W228" s="32">
        <v>161</v>
      </c>
      <c r="X228" s="32">
        <v>91</v>
      </c>
      <c r="Y228" s="32">
        <v>44</v>
      </c>
      <c r="Z228" s="32">
        <v>15</v>
      </c>
    </row>
    <row r="229" spans="1:26" ht="14.4">
      <c r="A229" s="27">
        <v>161</v>
      </c>
      <c r="B229" s="27">
        <v>91</v>
      </c>
      <c r="C229" s="27">
        <v>44</v>
      </c>
      <c r="D229" s="27">
        <v>15</v>
      </c>
      <c r="E229" s="30" t="s">
        <v>101</v>
      </c>
      <c r="F229" s="305"/>
      <c r="G229" s="30" t="s">
        <v>324</v>
      </c>
      <c r="H229" s="31" t="s">
        <v>401</v>
      </c>
      <c r="I229" s="61">
        <v>4.8</v>
      </c>
      <c r="J229" s="61">
        <v>4.5801526717557302</v>
      </c>
      <c r="K229" s="33">
        <v>1212.8</v>
      </c>
      <c r="L229" s="33">
        <v>722.5</v>
      </c>
      <c r="M229" s="33">
        <v>1215.5</v>
      </c>
      <c r="N229" s="32">
        <v>62.68</v>
      </c>
      <c r="O229" s="32">
        <v>62.55</v>
      </c>
      <c r="P229" s="32">
        <v>62.57</v>
      </c>
      <c r="Q229" s="32">
        <v>62.58</v>
      </c>
      <c r="R229" s="32">
        <v>62.594999999999999</v>
      </c>
      <c r="S229" s="32">
        <v>14.25</v>
      </c>
      <c r="T229" s="42">
        <f t="shared" si="12"/>
        <v>1.4312604840642222</v>
      </c>
      <c r="W229" s="32">
        <v>161</v>
      </c>
      <c r="X229" s="32">
        <v>91</v>
      </c>
      <c r="Y229" s="32">
        <v>44</v>
      </c>
      <c r="Z229" s="32">
        <v>15</v>
      </c>
    </row>
    <row r="230" spans="1:26" ht="14.4">
      <c r="A230" s="27">
        <v>161</v>
      </c>
      <c r="B230" s="27">
        <v>91</v>
      </c>
      <c r="C230" s="27">
        <v>44</v>
      </c>
      <c r="D230" s="27">
        <v>15</v>
      </c>
      <c r="E230" s="30" t="s">
        <v>101</v>
      </c>
      <c r="F230" s="305"/>
      <c r="G230" s="30" t="s">
        <v>324</v>
      </c>
      <c r="H230" s="31" t="s">
        <v>299</v>
      </c>
      <c r="I230" s="61">
        <v>4.8</v>
      </c>
      <c r="J230" s="61">
        <v>4.5801526717557302</v>
      </c>
      <c r="K230" s="33">
        <v>1215.3</v>
      </c>
      <c r="L230" s="33">
        <v>722.1</v>
      </c>
      <c r="M230" s="33">
        <v>1219.2</v>
      </c>
      <c r="N230" s="32">
        <v>63.43</v>
      </c>
      <c r="O230" s="32">
        <v>63.64</v>
      </c>
      <c r="P230" s="32">
        <v>63.57</v>
      </c>
      <c r="Q230" s="32">
        <v>63.33</v>
      </c>
      <c r="R230" s="32">
        <v>63.4925</v>
      </c>
      <c r="S230" s="32">
        <v>17.170000000000002</v>
      </c>
      <c r="T230" s="42">
        <f t="shared" si="12"/>
        <v>1.7001660038587236</v>
      </c>
      <c r="W230" s="32">
        <v>161</v>
      </c>
      <c r="X230" s="32">
        <v>91</v>
      </c>
      <c r="Y230" s="32">
        <v>44</v>
      </c>
      <c r="Z230" s="32">
        <v>15</v>
      </c>
    </row>
    <row r="231" spans="1:26" ht="14.4">
      <c r="A231" s="27">
        <v>161</v>
      </c>
      <c r="B231" s="27">
        <v>91</v>
      </c>
      <c r="C231" s="27">
        <v>44</v>
      </c>
      <c r="D231" s="27">
        <v>15</v>
      </c>
      <c r="E231" s="30" t="s">
        <v>101</v>
      </c>
      <c r="F231" s="306"/>
      <c r="G231" s="30" t="s">
        <v>324</v>
      </c>
      <c r="H231" s="31" t="s">
        <v>409</v>
      </c>
      <c r="I231" s="61">
        <v>4.8</v>
      </c>
      <c r="J231" s="61">
        <v>4.5801526717557302</v>
      </c>
      <c r="K231" s="33">
        <v>1210.9000000000001</v>
      </c>
      <c r="L231" s="33">
        <v>719.9</v>
      </c>
      <c r="M231" s="33">
        <v>1214</v>
      </c>
      <c r="N231" s="32">
        <v>63.03</v>
      </c>
      <c r="O231" s="32">
        <v>63.3</v>
      </c>
      <c r="P231" s="32">
        <v>63.1</v>
      </c>
      <c r="Q231" s="32">
        <v>62.84</v>
      </c>
      <c r="R231" s="32">
        <v>63.067500000000003</v>
      </c>
      <c r="S231" s="32">
        <v>14.44</v>
      </c>
      <c r="T231" s="42">
        <f t="shared" si="12"/>
        <v>1.4394780195821935</v>
      </c>
      <c r="W231" s="32">
        <v>161</v>
      </c>
      <c r="X231" s="32">
        <v>91</v>
      </c>
      <c r="Y231" s="32">
        <v>44</v>
      </c>
      <c r="Z231" s="32">
        <v>15</v>
      </c>
    </row>
    <row r="232" spans="1:26" ht="14.4">
      <c r="A232" s="27">
        <v>258</v>
      </c>
      <c r="B232" s="27">
        <v>72</v>
      </c>
      <c r="C232" s="27">
        <v>47.6</v>
      </c>
      <c r="D232" s="27">
        <v>8.1999999999999993</v>
      </c>
      <c r="E232" s="30" t="s">
        <v>102</v>
      </c>
      <c r="F232" s="304" t="s">
        <v>218</v>
      </c>
      <c r="G232" s="30" t="s">
        <v>324</v>
      </c>
      <c r="H232" s="31" t="s">
        <v>397</v>
      </c>
      <c r="I232" s="61">
        <v>4.9000000000000004</v>
      </c>
      <c r="J232" s="61">
        <v>4.6711153479504297</v>
      </c>
      <c r="K232" s="33">
        <v>1178.4000000000001</v>
      </c>
      <c r="L232" s="33">
        <v>685.9</v>
      </c>
      <c r="M232" s="33">
        <v>1182</v>
      </c>
      <c r="N232" s="32">
        <v>64.209999999999994</v>
      </c>
      <c r="O232" s="32">
        <v>63.77</v>
      </c>
      <c r="P232" s="32">
        <v>64.14</v>
      </c>
      <c r="Q232" s="32">
        <v>63.77</v>
      </c>
      <c r="R232" s="32">
        <v>63.972499999999997</v>
      </c>
      <c r="S232" s="32">
        <v>11.48</v>
      </c>
      <c r="T232" s="42">
        <f t="shared" si="12"/>
        <v>1.1282154050568605</v>
      </c>
      <c r="U232" s="34">
        <f>V232/V233</f>
        <v>0.85879904879117663</v>
      </c>
      <c r="V232" s="32">
        <f>AVERAGE(T232,T234,T236)</f>
        <v>1.1619092772123734</v>
      </c>
      <c r="W232" s="32">
        <v>161</v>
      </c>
      <c r="X232" s="32">
        <v>91</v>
      </c>
      <c r="Y232" s="32">
        <v>44</v>
      </c>
      <c r="Z232" s="32">
        <v>15</v>
      </c>
    </row>
    <row r="233" spans="1:26" ht="14.4">
      <c r="A233" s="27">
        <v>258</v>
      </c>
      <c r="B233" s="27">
        <v>72</v>
      </c>
      <c r="C233" s="27">
        <v>47.6</v>
      </c>
      <c r="D233" s="27">
        <v>8.1999999999999993</v>
      </c>
      <c r="E233" s="30" t="s">
        <v>102</v>
      </c>
      <c r="F233" s="305"/>
      <c r="G233" s="30" t="s">
        <v>324</v>
      </c>
      <c r="H233" s="31" t="s">
        <v>295</v>
      </c>
      <c r="I233" s="61">
        <v>4.9000000000000004</v>
      </c>
      <c r="J233" s="61">
        <v>4.6711153479504297</v>
      </c>
      <c r="K233" s="33">
        <v>1182.3</v>
      </c>
      <c r="L233" s="33">
        <v>689.6</v>
      </c>
      <c r="M233" s="33">
        <v>1185.9000000000001</v>
      </c>
      <c r="N233" s="32">
        <v>64.11</v>
      </c>
      <c r="O233" s="32">
        <v>64.16</v>
      </c>
      <c r="P233" s="32">
        <v>64.650000000000006</v>
      </c>
      <c r="Q233" s="32">
        <v>63.93</v>
      </c>
      <c r="R233" s="32">
        <v>64.212500000000006</v>
      </c>
      <c r="S233" s="32">
        <v>13.23</v>
      </c>
      <c r="T233" s="42">
        <f t="shared" si="12"/>
        <v>1.2953398481604048</v>
      </c>
      <c r="V233" s="32">
        <f>AVERAGE(T233,T235,T237)</f>
        <v>1.352946628024154</v>
      </c>
      <c r="W233" s="32">
        <v>161</v>
      </c>
      <c r="X233" s="32">
        <v>91</v>
      </c>
      <c r="Y233" s="32">
        <v>44</v>
      </c>
      <c r="Z233" s="32">
        <v>15</v>
      </c>
    </row>
    <row r="234" spans="1:26" ht="14.4">
      <c r="A234" s="27">
        <v>258</v>
      </c>
      <c r="B234" s="27">
        <v>72</v>
      </c>
      <c r="C234" s="27">
        <v>47.6</v>
      </c>
      <c r="D234" s="27">
        <v>8.1999999999999993</v>
      </c>
      <c r="E234" s="30" t="s">
        <v>102</v>
      </c>
      <c r="F234" s="305"/>
      <c r="G234" s="30" t="s">
        <v>324</v>
      </c>
      <c r="H234" s="31" t="s">
        <v>399</v>
      </c>
      <c r="I234" s="61">
        <v>4.9000000000000004</v>
      </c>
      <c r="J234" s="61">
        <v>4.6711153479504297</v>
      </c>
      <c r="K234" s="33">
        <v>1174.7</v>
      </c>
      <c r="L234" s="33">
        <v>689.2</v>
      </c>
      <c r="M234" s="33">
        <v>1178.5</v>
      </c>
      <c r="N234" s="32">
        <v>63.42</v>
      </c>
      <c r="O234" s="32">
        <v>63.44</v>
      </c>
      <c r="P234" s="32">
        <v>63.5</v>
      </c>
      <c r="Q234" s="32">
        <v>63.26</v>
      </c>
      <c r="R234" s="32">
        <v>63.405000000000001</v>
      </c>
      <c r="S234" s="32">
        <v>11.78</v>
      </c>
      <c r="T234" s="42">
        <f t="shared" si="12"/>
        <v>1.1680602476145412</v>
      </c>
      <c r="W234" s="32">
        <v>161</v>
      </c>
      <c r="X234" s="32">
        <v>91</v>
      </c>
      <c r="Y234" s="32">
        <v>44</v>
      </c>
      <c r="Z234" s="32">
        <v>15</v>
      </c>
    </row>
    <row r="235" spans="1:26" ht="14.4">
      <c r="A235" s="27">
        <v>258</v>
      </c>
      <c r="B235" s="27">
        <v>72</v>
      </c>
      <c r="C235" s="27">
        <v>47.6</v>
      </c>
      <c r="D235" s="27">
        <v>8.1999999999999993</v>
      </c>
      <c r="E235" s="30" t="s">
        <v>102</v>
      </c>
      <c r="F235" s="305"/>
      <c r="G235" s="30" t="s">
        <v>324</v>
      </c>
      <c r="H235" s="31" t="s">
        <v>297</v>
      </c>
      <c r="I235" s="61">
        <v>4.9000000000000004</v>
      </c>
      <c r="J235" s="61">
        <v>4.6711153479504297</v>
      </c>
      <c r="K235" s="33">
        <v>1175.8</v>
      </c>
      <c r="L235" s="33">
        <v>687.1</v>
      </c>
      <c r="M235" s="33">
        <v>1179.8</v>
      </c>
      <c r="N235" s="32">
        <v>64.209999999999994</v>
      </c>
      <c r="O235" s="32">
        <v>64.22</v>
      </c>
      <c r="P235" s="32">
        <v>64.38</v>
      </c>
      <c r="Q235" s="32">
        <v>64.5</v>
      </c>
      <c r="R235" s="32">
        <v>64.327500000000001</v>
      </c>
      <c r="S235" s="32">
        <v>14.4</v>
      </c>
      <c r="T235" s="42">
        <f t="shared" si="12"/>
        <v>1.4073732074151801</v>
      </c>
      <c r="W235" s="32">
        <v>161</v>
      </c>
      <c r="X235" s="32">
        <v>91</v>
      </c>
      <c r="Y235" s="32">
        <v>44</v>
      </c>
      <c r="Z235" s="32">
        <v>15</v>
      </c>
    </row>
    <row r="236" spans="1:26" ht="14.4">
      <c r="A236" s="27">
        <v>258</v>
      </c>
      <c r="B236" s="27">
        <v>72</v>
      </c>
      <c r="C236" s="27">
        <v>47.6</v>
      </c>
      <c r="D236" s="27">
        <v>8.1999999999999993</v>
      </c>
      <c r="E236" s="30" t="s">
        <v>102</v>
      </c>
      <c r="F236" s="305"/>
      <c r="G236" s="30" t="s">
        <v>324</v>
      </c>
      <c r="H236" s="31" t="s">
        <v>401</v>
      </c>
      <c r="I236" s="61">
        <v>4.9000000000000004</v>
      </c>
      <c r="J236" s="61">
        <v>4.6711153479504297</v>
      </c>
      <c r="K236" s="33">
        <v>1187.9000000000001</v>
      </c>
      <c r="L236" s="33">
        <v>692.5</v>
      </c>
      <c r="M236" s="33">
        <v>1191.7</v>
      </c>
      <c r="N236" s="32">
        <v>64.78</v>
      </c>
      <c r="O236" s="32">
        <v>64.66</v>
      </c>
      <c r="P236" s="32">
        <v>64.349999999999994</v>
      </c>
      <c r="Q236" s="32">
        <v>64.36</v>
      </c>
      <c r="R236" s="32">
        <v>64.537499999999994</v>
      </c>
      <c r="S236" s="32">
        <v>12.21</v>
      </c>
      <c r="T236" s="42">
        <f t="shared" si="12"/>
        <v>1.189452178965718</v>
      </c>
      <c r="W236" s="32">
        <v>161</v>
      </c>
      <c r="X236" s="32">
        <v>91</v>
      </c>
      <c r="Y236" s="32">
        <v>44</v>
      </c>
      <c r="Z236" s="32">
        <v>15</v>
      </c>
    </row>
    <row r="237" spans="1:26" ht="14.4">
      <c r="A237" s="27">
        <v>258</v>
      </c>
      <c r="B237" s="27">
        <v>72</v>
      </c>
      <c r="C237" s="27">
        <v>47.6</v>
      </c>
      <c r="D237" s="27">
        <v>8.1999999999999993</v>
      </c>
      <c r="E237" s="30" t="s">
        <v>102</v>
      </c>
      <c r="F237" s="306"/>
      <c r="G237" s="30" t="s">
        <v>324</v>
      </c>
      <c r="H237" s="31" t="s">
        <v>299</v>
      </c>
      <c r="I237" s="61">
        <v>4.9000000000000004</v>
      </c>
      <c r="J237" s="61">
        <v>4.6711153479504297</v>
      </c>
      <c r="K237" s="33">
        <v>1176.0999999999999</v>
      </c>
      <c r="L237" s="33">
        <v>689.6</v>
      </c>
      <c r="M237" s="33">
        <v>1179.4000000000001</v>
      </c>
      <c r="N237" s="32">
        <v>62.97</v>
      </c>
      <c r="O237" s="32">
        <v>63.86</v>
      </c>
      <c r="P237" s="32">
        <v>63.1</v>
      </c>
      <c r="Q237" s="32">
        <v>63.01</v>
      </c>
      <c r="R237" s="32">
        <v>63.234999999999999</v>
      </c>
      <c r="S237" s="32">
        <v>13.64</v>
      </c>
      <c r="T237" s="42">
        <f t="shared" si="12"/>
        <v>1.3561268284968768</v>
      </c>
      <c r="W237" s="32">
        <v>161</v>
      </c>
      <c r="X237" s="32">
        <v>91</v>
      </c>
      <c r="Y237" s="32">
        <v>44</v>
      </c>
      <c r="Z237" s="32">
        <v>15</v>
      </c>
    </row>
    <row r="238" spans="1:26" ht="14.4">
      <c r="A238" s="27">
        <v>258</v>
      </c>
      <c r="B238" s="27">
        <v>72</v>
      </c>
      <c r="C238" s="27">
        <v>47.6</v>
      </c>
      <c r="D238" s="27">
        <v>8.1999999999999993</v>
      </c>
      <c r="E238" s="30" t="s">
        <v>103</v>
      </c>
      <c r="F238" s="304" t="s">
        <v>218</v>
      </c>
      <c r="G238" s="30" t="s">
        <v>324</v>
      </c>
      <c r="H238" s="31" t="s">
        <v>397</v>
      </c>
      <c r="I238" s="61">
        <v>4.8</v>
      </c>
      <c r="J238" s="61">
        <v>4.5801526717557302</v>
      </c>
      <c r="K238" s="33">
        <v>1240.8</v>
      </c>
      <c r="L238" s="33">
        <v>737.3</v>
      </c>
      <c r="M238" s="33">
        <v>1241.5999999999999</v>
      </c>
      <c r="N238" s="32">
        <v>61.97</v>
      </c>
      <c r="O238" s="32">
        <v>62.3</v>
      </c>
      <c r="P238" s="32">
        <v>62.85</v>
      </c>
      <c r="Q238" s="32">
        <v>62.29</v>
      </c>
      <c r="R238" s="32">
        <v>62.352499999999999</v>
      </c>
      <c r="S238" s="32">
        <v>11.65</v>
      </c>
      <c r="T238" s="42">
        <f t="shared" si="12"/>
        <v>1.1746690188845677</v>
      </c>
      <c r="U238" s="34">
        <f>V238/V239</f>
        <v>0.7954156059543348</v>
      </c>
      <c r="V238" s="32">
        <f>AVERAGE(T238,T240,T242)</f>
        <v>1.1459559230475829</v>
      </c>
      <c r="W238" s="32">
        <v>161</v>
      </c>
      <c r="X238" s="32">
        <v>91</v>
      </c>
      <c r="Y238" s="32">
        <v>44</v>
      </c>
      <c r="Z238" s="32">
        <v>15</v>
      </c>
    </row>
    <row r="239" spans="1:26" ht="14.4">
      <c r="A239" s="27">
        <v>258</v>
      </c>
      <c r="B239" s="27">
        <v>72</v>
      </c>
      <c r="C239" s="27">
        <v>47.6</v>
      </c>
      <c r="D239" s="27">
        <v>8.1999999999999993</v>
      </c>
      <c r="E239" s="30" t="s">
        <v>103</v>
      </c>
      <c r="F239" s="305"/>
      <c r="G239" s="30" t="s">
        <v>324</v>
      </c>
      <c r="H239" s="31" t="s">
        <v>295</v>
      </c>
      <c r="I239" s="61">
        <v>4.8</v>
      </c>
      <c r="J239" s="61">
        <v>4.5801526717557302</v>
      </c>
      <c r="K239" s="33">
        <v>1242.8</v>
      </c>
      <c r="L239" s="33">
        <v>739.1</v>
      </c>
      <c r="M239" s="33">
        <v>1243.9000000000001</v>
      </c>
      <c r="N239" s="32">
        <v>62.9</v>
      </c>
      <c r="O239" s="32">
        <v>63.37</v>
      </c>
      <c r="P239" s="32">
        <v>63</v>
      </c>
      <c r="Q239" s="32">
        <v>62.95</v>
      </c>
      <c r="R239" s="32">
        <v>63.055</v>
      </c>
      <c r="S239" s="32">
        <v>15.02</v>
      </c>
      <c r="T239" s="42">
        <f t="shared" si="12"/>
        <v>1.497593212274998</v>
      </c>
      <c r="V239" s="32">
        <f>AVERAGE(T239,T241,T243)</f>
        <v>1.4407008291881223</v>
      </c>
      <c r="W239" s="32">
        <v>161</v>
      </c>
      <c r="X239" s="32">
        <v>91</v>
      </c>
      <c r="Y239" s="32">
        <v>44</v>
      </c>
      <c r="Z239" s="32">
        <v>15</v>
      </c>
    </row>
    <row r="240" spans="1:26" ht="14.4">
      <c r="A240" s="27">
        <v>258</v>
      </c>
      <c r="B240" s="27">
        <v>72</v>
      </c>
      <c r="C240" s="27">
        <v>47.6</v>
      </c>
      <c r="D240" s="27">
        <v>8.1999999999999993</v>
      </c>
      <c r="E240" s="30" t="s">
        <v>103</v>
      </c>
      <c r="F240" s="305"/>
      <c r="G240" s="30" t="s">
        <v>324</v>
      </c>
      <c r="H240" s="31" t="s">
        <v>399</v>
      </c>
      <c r="I240" s="61">
        <v>4.8</v>
      </c>
      <c r="J240" s="61">
        <v>4.5801526717557302</v>
      </c>
      <c r="K240" s="33">
        <v>1244.0999999999999</v>
      </c>
      <c r="L240" s="33">
        <v>740.9</v>
      </c>
      <c r="M240" s="33">
        <v>1245.8</v>
      </c>
      <c r="N240" s="32">
        <v>63.62</v>
      </c>
      <c r="O240" s="32">
        <v>63.33</v>
      </c>
      <c r="P240" s="32">
        <v>63.48</v>
      </c>
      <c r="Q240" s="32">
        <v>63.59</v>
      </c>
      <c r="R240" s="32">
        <v>63.505000000000003</v>
      </c>
      <c r="S240" s="32">
        <v>10.65</v>
      </c>
      <c r="T240" s="42">
        <f t="shared" si="12"/>
        <v>1.0543508385166522</v>
      </c>
      <c r="W240" s="32">
        <v>161</v>
      </c>
      <c r="X240" s="32">
        <v>91</v>
      </c>
      <c r="Y240" s="32">
        <v>44</v>
      </c>
      <c r="Z240" s="32">
        <v>15</v>
      </c>
    </row>
    <row r="241" spans="1:26" ht="14.4">
      <c r="A241" s="27">
        <v>258</v>
      </c>
      <c r="B241" s="27">
        <v>72</v>
      </c>
      <c r="C241" s="27">
        <v>47.6</v>
      </c>
      <c r="D241" s="27">
        <v>8.1999999999999993</v>
      </c>
      <c r="E241" s="30" t="s">
        <v>103</v>
      </c>
      <c r="F241" s="305"/>
      <c r="G241" s="30" t="s">
        <v>324</v>
      </c>
      <c r="H241" s="31" t="s">
        <v>297</v>
      </c>
      <c r="I241" s="61">
        <v>4.8</v>
      </c>
      <c r="J241" s="61">
        <v>4.5801526717557302</v>
      </c>
      <c r="K241" s="33">
        <v>1241.5</v>
      </c>
      <c r="L241" s="33">
        <v>737.9</v>
      </c>
      <c r="M241" s="33">
        <v>1242.8</v>
      </c>
      <c r="N241" s="32">
        <v>62.45</v>
      </c>
      <c r="O241" s="32">
        <v>62.6</v>
      </c>
      <c r="P241" s="32">
        <v>62.59</v>
      </c>
      <c r="Q241" s="32">
        <v>62.42</v>
      </c>
      <c r="R241" s="32">
        <v>62.515000000000001</v>
      </c>
      <c r="S241" s="32">
        <v>14.37</v>
      </c>
      <c r="T241" s="42">
        <f t="shared" si="12"/>
        <v>1.4451602015516276</v>
      </c>
      <c r="W241" s="32">
        <v>161</v>
      </c>
      <c r="X241" s="32">
        <v>91</v>
      </c>
      <c r="Y241" s="32">
        <v>44</v>
      </c>
      <c r="Z241" s="32">
        <v>15</v>
      </c>
    </row>
    <row r="242" spans="1:26" ht="14.4">
      <c r="A242" s="27">
        <v>161</v>
      </c>
      <c r="B242" s="27">
        <v>91</v>
      </c>
      <c r="C242" s="27">
        <v>44</v>
      </c>
      <c r="D242" s="27">
        <v>15</v>
      </c>
      <c r="E242" s="30" t="s">
        <v>103</v>
      </c>
      <c r="F242" s="305"/>
      <c r="G242" s="30" t="s">
        <v>324</v>
      </c>
      <c r="H242" s="31" t="s">
        <v>401</v>
      </c>
      <c r="I242" s="61">
        <v>4.8</v>
      </c>
      <c r="J242" s="61">
        <v>4.5801526717557302</v>
      </c>
      <c r="K242" s="33">
        <v>1248.0999999999999</v>
      </c>
      <c r="L242" s="33">
        <v>740.3</v>
      </c>
      <c r="M242" s="33">
        <v>1250.3</v>
      </c>
      <c r="N242" s="32">
        <v>63.46</v>
      </c>
      <c r="O242" s="32">
        <v>63.29</v>
      </c>
      <c r="P242" s="32">
        <v>63.49</v>
      </c>
      <c r="Q242" s="32">
        <v>63.56</v>
      </c>
      <c r="R242" s="32">
        <v>63.45</v>
      </c>
      <c r="S242" s="32">
        <v>12.2</v>
      </c>
      <c r="T242" s="42">
        <f t="shared" si="12"/>
        <v>1.2088479117415285</v>
      </c>
      <c r="W242" s="32">
        <v>161</v>
      </c>
      <c r="X242" s="32">
        <v>91</v>
      </c>
      <c r="Y242" s="32">
        <v>44</v>
      </c>
      <c r="Z242" s="32">
        <v>15</v>
      </c>
    </row>
    <row r="243" spans="1:26" ht="14.4">
      <c r="A243" s="27">
        <v>161</v>
      </c>
      <c r="B243" s="27">
        <v>91</v>
      </c>
      <c r="C243" s="27">
        <v>44</v>
      </c>
      <c r="D243" s="27">
        <v>15</v>
      </c>
      <c r="E243" s="30" t="s">
        <v>103</v>
      </c>
      <c r="F243" s="306"/>
      <c r="G243" s="30" t="s">
        <v>324</v>
      </c>
      <c r="H243" s="31" t="s">
        <v>299</v>
      </c>
      <c r="I243" s="61">
        <v>4.8</v>
      </c>
      <c r="J243" s="61">
        <v>4.5801526717557302</v>
      </c>
      <c r="K243" s="33">
        <v>1232.4000000000001</v>
      </c>
      <c r="L243" s="33">
        <v>732.3</v>
      </c>
      <c r="M243" s="33">
        <v>1233.9000000000001</v>
      </c>
      <c r="N243" s="32">
        <v>62.01</v>
      </c>
      <c r="O243" s="32">
        <v>62.05</v>
      </c>
      <c r="P243" s="32">
        <v>61.77</v>
      </c>
      <c r="Q243" s="32">
        <v>61.94</v>
      </c>
      <c r="R243" s="32">
        <v>61.942500000000003</v>
      </c>
      <c r="S243" s="32">
        <v>13.59</v>
      </c>
      <c r="T243" s="42">
        <f t="shared" si="12"/>
        <v>1.3793490737377407</v>
      </c>
      <c r="W243" s="32">
        <v>161</v>
      </c>
      <c r="X243" s="32">
        <v>91</v>
      </c>
      <c r="Y243" s="32">
        <v>44</v>
      </c>
      <c r="Z243" s="32">
        <v>15</v>
      </c>
    </row>
    <row r="244" spans="1:26" ht="14.4">
      <c r="A244" s="27">
        <v>161</v>
      </c>
      <c r="B244" s="27">
        <v>91</v>
      </c>
      <c r="C244" s="27">
        <v>44</v>
      </c>
      <c r="D244" s="27">
        <v>15</v>
      </c>
      <c r="E244" s="30" t="s">
        <v>104</v>
      </c>
      <c r="F244" s="304" t="s">
        <v>197</v>
      </c>
      <c r="G244" s="30" t="s">
        <v>324</v>
      </c>
      <c r="H244" s="31" t="s">
        <v>294</v>
      </c>
      <c r="I244" s="61">
        <v>4.5999999999999996</v>
      </c>
      <c r="J244" s="61">
        <v>4.3977055449330802</v>
      </c>
      <c r="K244" s="33">
        <v>1194.5</v>
      </c>
      <c r="L244" s="33">
        <v>697.9</v>
      </c>
      <c r="M244" s="33">
        <v>1196.3</v>
      </c>
      <c r="N244" s="32">
        <v>64.41</v>
      </c>
      <c r="O244" s="32">
        <v>64.739999999999995</v>
      </c>
      <c r="P244" s="32">
        <v>64.63</v>
      </c>
      <c r="Q244" s="32">
        <v>64.45</v>
      </c>
      <c r="R244" s="32">
        <v>64.557500000000005</v>
      </c>
      <c r="S244" s="32">
        <v>8.07</v>
      </c>
      <c r="T244" s="42">
        <f t="shared" si="12"/>
        <v>0.78590543314099837</v>
      </c>
      <c r="U244" s="34">
        <f>V245/V244</f>
        <v>0.84696232983103514</v>
      </c>
      <c r="V244" s="32">
        <f>AVERAGE(T244,T246,T248)</f>
        <v>0.8245477486314341</v>
      </c>
      <c r="W244" s="32">
        <v>161</v>
      </c>
      <c r="X244" s="32">
        <v>91</v>
      </c>
      <c r="Y244" s="32">
        <v>44</v>
      </c>
      <c r="Z244" s="32">
        <v>15</v>
      </c>
    </row>
    <row r="245" spans="1:26" ht="14.4">
      <c r="A245" s="27">
        <v>161</v>
      </c>
      <c r="B245" s="27">
        <v>91</v>
      </c>
      <c r="C245" s="27">
        <v>44</v>
      </c>
      <c r="D245" s="27">
        <v>15</v>
      </c>
      <c r="E245" s="30" t="s">
        <v>104</v>
      </c>
      <c r="F245" s="305"/>
      <c r="G245" s="30" t="s">
        <v>324</v>
      </c>
      <c r="H245" s="31" t="s">
        <v>378</v>
      </c>
      <c r="I245" s="61">
        <v>4.5999999999999996</v>
      </c>
      <c r="J245" s="61">
        <v>4.3977055449330802</v>
      </c>
      <c r="K245" s="33">
        <v>1194.2</v>
      </c>
      <c r="L245" s="33">
        <v>701.6</v>
      </c>
      <c r="M245" s="33">
        <v>1197.4000000000001</v>
      </c>
      <c r="N245" s="32">
        <v>64.400000000000006</v>
      </c>
      <c r="O245" s="32">
        <v>64.290000000000006</v>
      </c>
      <c r="P245" s="32">
        <v>64.599999999999994</v>
      </c>
      <c r="Q245" s="32">
        <v>64.03</v>
      </c>
      <c r="R245" s="32">
        <v>64.33</v>
      </c>
      <c r="S245" s="32">
        <v>7.3</v>
      </c>
      <c r="T245" s="42">
        <f t="shared" si="12"/>
        <v>0.71343230219182341</v>
      </c>
      <c r="V245" s="32">
        <f>AVERAGE(T245,T247,T249)</f>
        <v>0.69836088223781412</v>
      </c>
      <c r="W245" s="32">
        <v>161</v>
      </c>
      <c r="X245" s="32">
        <v>91</v>
      </c>
      <c r="Y245" s="32">
        <v>44</v>
      </c>
      <c r="Z245" s="32">
        <v>15</v>
      </c>
    </row>
    <row r="246" spans="1:26" ht="14.4">
      <c r="A246" s="27">
        <v>161</v>
      </c>
      <c r="B246" s="27">
        <v>91</v>
      </c>
      <c r="C246" s="27">
        <v>44</v>
      </c>
      <c r="D246" s="27">
        <v>15</v>
      </c>
      <c r="E246" s="30" t="s">
        <v>104</v>
      </c>
      <c r="F246" s="305"/>
      <c r="G246" s="30" t="s">
        <v>324</v>
      </c>
      <c r="H246" s="31" t="s">
        <v>296</v>
      </c>
      <c r="I246" s="61">
        <v>4.5999999999999996</v>
      </c>
      <c r="J246" s="61">
        <v>4.3977055449330802</v>
      </c>
      <c r="K246" s="33">
        <v>1197.7</v>
      </c>
      <c r="L246" s="33">
        <v>704.5</v>
      </c>
      <c r="M246" s="33">
        <v>1200.9000000000001</v>
      </c>
      <c r="N246" s="32">
        <v>64.41</v>
      </c>
      <c r="O246" s="32">
        <v>64.47</v>
      </c>
      <c r="P246" s="32">
        <v>64.66</v>
      </c>
      <c r="Q246" s="32">
        <v>64.319999999999993</v>
      </c>
      <c r="R246" s="32">
        <v>64.465000000000003</v>
      </c>
      <c r="S246" s="32">
        <v>8.8699999999999992</v>
      </c>
      <c r="T246" s="42">
        <f t="shared" si="12"/>
        <v>0.86505375009695162</v>
      </c>
      <c r="W246" s="32">
        <v>161</v>
      </c>
      <c r="X246" s="32">
        <v>91</v>
      </c>
      <c r="Y246" s="32">
        <v>44</v>
      </c>
      <c r="Z246" s="32">
        <v>15</v>
      </c>
    </row>
    <row r="247" spans="1:26" ht="14.4">
      <c r="A247" s="27">
        <v>258</v>
      </c>
      <c r="B247" s="27">
        <v>72</v>
      </c>
      <c r="C247" s="27">
        <v>47.6</v>
      </c>
      <c r="D247" s="27">
        <v>8.1999999999999993</v>
      </c>
      <c r="E247" s="30" t="s">
        <v>104</v>
      </c>
      <c r="F247" s="305"/>
      <c r="G247" s="30" t="s">
        <v>324</v>
      </c>
      <c r="H247" s="31" t="s">
        <v>381</v>
      </c>
      <c r="I247" s="61">
        <v>4.5999999999999996</v>
      </c>
      <c r="J247" s="61">
        <v>4.3977055449330802</v>
      </c>
      <c r="K247" s="33">
        <v>1188.4000000000001</v>
      </c>
      <c r="L247" s="33">
        <v>695.7</v>
      </c>
      <c r="M247" s="33">
        <v>1191.3</v>
      </c>
      <c r="N247" s="32">
        <v>64.31</v>
      </c>
      <c r="O247" s="32">
        <v>64.09</v>
      </c>
      <c r="P247" s="32">
        <v>64.03</v>
      </c>
      <c r="Q247" s="32">
        <v>64.52</v>
      </c>
      <c r="R247" s="32">
        <v>64.237499999999997</v>
      </c>
      <c r="S247" s="32">
        <v>7</v>
      </c>
      <c r="T247" s="42">
        <f t="shared" si="12"/>
        <v>0.68509826814555363</v>
      </c>
      <c r="W247" s="32">
        <v>161</v>
      </c>
      <c r="X247" s="32">
        <v>91</v>
      </c>
      <c r="Y247" s="32">
        <v>44</v>
      </c>
      <c r="Z247" s="32">
        <v>15</v>
      </c>
    </row>
    <row r="248" spans="1:26" ht="14.4">
      <c r="A248" s="27">
        <v>258</v>
      </c>
      <c r="B248" s="27">
        <v>72</v>
      </c>
      <c r="C248" s="27">
        <v>47.6</v>
      </c>
      <c r="D248" s="27">
        <v>8.1999999999999993</v>
      </c>
      <c r="E248" s="30" t="s">
        <v>104</v>
      </c>
      <c r="F248" s="305"/>
      <c r="G248" s="30" t="s">
        <v>324</v>
      </c>
      <c r="H248" s="31" t="s">
        <v>298</v>
      </c>
      <c r="I248" s="61">
        <v>4.5999999999999996</v>
      </c>
      <c r="J248" s="61">
        <v>4.3977055449330802</v>
      </c>
      <c r="K248" s="33">
        <v>1200.8</v>
      </c>
      <c r="L248" s="33">
        <v>705.8</v>
      </c>
      <c r="M248" s="33">
        <v>1204.5999999999999</v>
      </c>
      <c r="N248" s="32">
        <v>64.3</v>
      </c>
      <c r="O248" s="32">
        <v>65</v>
      </c>
      <c r="P248" s="32">
        <v>65.44</v>
      </c>
      <c r="Q248" s="32">
        <v>65.09</v>
      </c>
      <c r="R248" s="32">
        <v>64.957499999999996</v>
      </c>
      <c r="S248" s="32">
        <v>8.5</v>
      </c>
      <c r="T248" s="42">
        <f t="shared" si="12"/>
        <v>0.8226840626563523</v>
      </c>
      <c r="W248" s="32">
        <v>161</v>
      </c>
      <c r="X248" s="32">
        <v>91</v>
      </c>
      <c r="Y248" s="32">
        <v>44</v>
      </c>
      <c r="Z248" s="32">
        <v>15</v>
      </c>
    </row>
    <row r="249" spans="1:26" ht="14.4">
      <c r="A249" s="27">
        <v>258</v>
      </c>
      <c r="B249" s="27">
        <v>72</v>
      </c>
      <c r="C249" s="27">
        <v>47.6</v>
      </c>
      <c r="D249" s="27">
        <v>8.1999999999999993</v>
      </c>
      <c r="E249" s="30" t="s">
        <v>104</v>
      </c>
      <c r="F249" s="306"/>
      <c r="G249" s="30" t="s">
        <v>324</v>
      </c>
      <c r="H249" s="31" t="s">
        <v>403</v>
      </c>
      <c r="I249" s="61">
        <v>4.5999999999999996</v>
      </c>
      <c r="J249" s="61">
        <v>4.3977055449330802</v>
      </c>
      <c r="K249" s="33">
        <v>1199.0999999999999</v>
      </c>
      <c r="L249" s="33">
        <v>706.4</v>
      </c>
      <c r="M249" s="33">
        <v>1201.4000000000001</v>
      </c>
      <c r="N249" s="32">
        <v>63.42</v>
      </c>
      <c r="O249" s="32">
        <v>63.76</v>
      </c>
      <c r="P249" s="32">
        <v>63.62</v>
      </c>
      <c r="Q249" s="32">
        <v>63.73</v>
      </c>
      <c r="R249" s="32">
        <v>63.6325</v>
      </c>
      <c r="S249" s="32">
        <v>7.05</v>
      </c>
      <c r="T249" s="42">
        <f t="shared" si="12"/>
        <v>0.69655207637606564</v>
      </c>
      <c r="W249" s="32">
        <v>161</v>
      </c>
      <c r="X249" s="32">
        <v>91</v>
      </c>
      <c r="Y249" s="32">
        <v>44</v>
      </c>
      <c r="Z249" s="32">
        <v>15</v>
      </c>
    </row>
    <row r="250" spans="1:26" ht="14.4">
      <c r="A250" s="27">
        <v>258</v>
      </c>
      <c r="B250" s="27">
        <v>72</v>
      </c>
      <c r="C250" s="27">
        <v>47.6</v>
      </c>
      <c r="D250" s="27">
        <v>8.1999999999999993</v>
      </c>
      <c r="E250" s="30" t="s">
        <v>109</v>
      </c>
      <c r="F250" s="304" t="s">
        <v>255</v>
      </c>
      <c r="G250" s="30" t="s">
        <v>324</v>
      </c>
      <c r="H250" s="31" t="s">
        <v>397</v>
      </c>
      <c r="I250" s="30">
        <v>4.9000000000000004</v>
      </c>
      <c r="J250" s="32">
        <v>4.6711153479504297</v>
      </c>
      <c r="K250" s="33">
        <v>1202.2</v>
      </c>
      <c r="L250" s="33">
        <v>715.7</v>
      </c>
      <c r="M250" s="33">
        <v>1204.4000000000001</v>
      </c>
      <c r="N250" s="32">
        <v>62.12</v>
      </c>
      <c r="O250" s="32">
        <v>62.45</v>
      </c>
      <c r="P250" s="32">
        <v>62.39</v>
      </c>
      <c r="Q250" s="32">
        <v>62.47</v>
      </c>
      <c r="R250" s="32">
        <v>62.357500000000002</v>
      </c>
      <c r="S250" s="32">
        <v>10.91</v>
      </c>
      <c r="T250" s="42">
        <f t="shared" si="12"/>
        <v>1.0999666439482019</v>
      </c>
      <c r="U250" s="34">
        <f>V250/V251</f>
        <v>0.76034999868730258</v>
      </c>
      <c r="V250" s="32">
        <f>AVERAGE(T250,T252,T254,T256)</f>
        <v>1.1164682331385705</v>
      </c>
      <c r="W250" s="32">
        <v>161</v>
      </c>
      <c r="X250" s="32">
        <v>91</v>
      </c>
      <c r="Y250" s="32">
        <v>44</v>
      </c>
      <c r="Z250" s="32">
        <v>15</v>
      </c>
    </row>
    <row r="251" spans="1:26" ht="14.4">
      <c r="A251" s="27">
        <v>144</v>
      </c>
      <c r="B251" s="27">
        <v>107.8</v>
      </c>
      <c r="C251" s="27">
        <v>43.95</v>
      </c>
      <c r="D251" s="27">
        <v>60.3</v>
      </c>
      <c r="E251" s="30" t="s">
        <v>109</v>
      </c>
      <c r="F251" s="305"/>
      <c r="G251" s="30" t="s">
        <v>324</v>
      </c>
      <c r="H251" s="31" t="s">
        <v>295</v>
      </c>
      <c r="I251" s="30">
        <v>4.9000000000000004</v>
      </c>
      <c r="J251" s="32">
        <v>4.6711153479504297</v>
      </c>
      <c r="K251" s="33">
        <v>1203.3</v>
      </c>
      <c r="L251" s="33">
        <v>717.1</v>
      </c>
      <c r="M251" s="33">
        <v>1206.0999999999999</v>
      </c>
      <c r="N251" s="32">
        <v>63.08</v>
      </c>
      <c r="O251" s="32">
        <v>63.4</v>
      </c>
      <c r="P251" s="32">
        <v>63.36</v>
      </c>
      <c r="Q251" s="32">
        <v>63.14</v>
      </c>
      <c r="R251" s="32">
        <v>63.244999999999997</v>
      </c>
      <c r="S251" s="32">
        <v>14.44</v>
      </c>
      <c r="T251" s="42">
        <f t="shared" si="12"/>
        <v>1.4354380583445332</v>
      </c>
      <c r="V251" s="32">
        <f>AVERAGE(T251,T253,T255)</f>
        <v>1.4683609325522247</v>
      </c>
      <c r="W251" s="32">
        <v>161</v>
      </c>
      <c r="X251" s="32">
        <v>91</v>
      </c>
      <c r="Y251" s="32">
        <v>44</v>
      </c>
      <c r="Z251" s="32">
        <v>15</v>
      </c>
    </row>
    <row r="252" spans="1:26" ht="14.4">
      <c r="A252" s="27">
        <v>144</v>
      </c>
      <c r="B252" s="27">
        <v>107.8</v>
      </c>
      <c r="C252" s="27">
        <v>43.95</v>
      </c>
      <c r="D252" s="27">
        <v>60.3</v>
      </c>
      <c r="E252" s="30" t="s">
        <v>109</v>
      </c>
      <c r="F252" s="305"/>
      <c r="G252" s="30" t="s">
        <v>324</v>
      </c>
      <c r="H252" s="31" t="s">
        <v>399</v>
      </c>
      <c r="I252" s="30">
        <v>4.9000000000000004</v>
      </c>
      <c r="J252" s="32">
        <v>4.6711153479504297</v>
      </c>
      <c r="K252" s="33">
        <v>1202.2</v>
      </c>
      <c r="L252" s="33">
        <v>715.2</v>
      </c>
      <c r="M252" s="33">
        <v>1204.7</v>
      </c>
      <c r="N252" s="32">
        <v>62.81</v>
      </c>
      <c r="O252" s="32">
        <v>62.46</v>
      </c>
      <c r="P252" s="32">
        <v>62.52</v>
      </c>
      <c r="Q252" s="32">
        <v>62.82</v>
      </c>
      <c r="R252" s="32">
        <v>62.652500000000003</v>
      </c>
      <c r="S252" s="32">
        <v>11.48</v>
      </c>
      <c r="T252" s="42">
        <f t="shared" si="12"/>
        <v>1.1519853158293765</v>
      </c>
      <c r="W252" s="32">
        <v>161</v>
      </c>
      <c r="X252" s="32">
        <v>91</v>
      </c>
      <c r="Y252" s="32">
        <v>44</v>
      </c>
      <c r="Z252" s="32">
        <v>15</v>
      </c>
    </row>
    <row r="253" spans="1:26" ht="14.4">
      <c r="A253" s="27">
        <v>144</v>
      </c>
      <c r="B253" s="27">
        <v>107.8</v>
      </c>
      <c r="C253" s="27">
        <v>43.95</v>
      </c>
      <c r="D253" s="27">
        <v>60.3</v>
      </c>
      <c r="E253" s="30" t="s">
        <v>109</v>
      </c>
      <c r="F253" s="305"/>
      <c r="G253" s="30" t="s">
        <v>324</v>
      </c>
      <c r="H253" s="31" t="s">
        <v>297</v>
      </c>
      <c r="I253" s="30">
        <v>4.9000000000000004</v>
      </c>
      <c r="J253" s="32">
        <v>4.6711153479504297</v>
      </c>
      <c r="K253" s="33">
        <v>1204.9000000000001</v>
      </c>
      <c r="L253" s="33">
        <v>717.3</v>
      </c>
      <c r="M253" s="33">
        <v>1206.8</v>
      </c>
      <c r="N253" s="32">
        <v>62.76</v>
      </c>
      <c r="O253" s="32">
        <v>62.84</v>
      </c>
      <c r="P253" s="32">
        <v>62.61</v>
      </c>
      <c r="Q253" s="32">
        <v>62.5</v>
      </c>
      <c r="R253" s="32">
        <v>62.677500000000002</v>
      </c>
      <c r="S253" s="32">
        <v>14.48</v>
      </c>
      <c r="T253" s="42">
        <f t="shared" si="12"/>
        <v>1.4524472099238162</v>
      </c>
      <c r="W253" s="32">
        <v>161</v>
      </c>
      <c r="X253" s="32">
        <v>91</v>
      </c>
      <c r="Y253" s="32">
        <v>44</v>
      </c>
      <c r="Z253" s="32">
        <v>15</v>
      </c>
    </row>
    <row r="254" spans="1:26" ht="14.4">
      <c r="A254" s="27">
        <v>144</v>
      </c>
      <c r="B254" s="27">
        <v>107.8</v>
      </c>
      <c r="C254" s="27">
        <v>43.95</v>
      </c>
      <c r="D254" s="27">
        <v>60.3</v>
      </c>
      <c r="E254" s="30" t="s">
        <v>109</v>
      </c>
      <c r="F254" s="305"/>
      <c r="G254" s="30" t="s">
        <v>324</v>
      </c>
      <c r="H254" s="31" t="s">
        <v>401</v>
      </c>
      <c r="I254" s="30">
        <v>4.9000000000000004</v>
      </c>
      <c r="J254" s="32">
        <v>4.6711153479504297</v>
      </c>
      <c r="K254" s="33">
        <v>1205.4000000000001</v>
      </c>
      <c r="L254" s="33">
        <v>716.6</v>
      </c>
      <c r="M254" s="33">
        <v>1207.7</v>
      </c>
      <c r="N254" s="32">
        <v>62.45</v>
      </c>
      <c r="O254" s="32">
        <v>62.64</v>
      </c>
      <c r="P254" s="32">
        <v>62.89</v>
      </c>
      <c r="Q254" s="32">
        <v>62.32</v>
      </c>
      <c r="R254" s="32">
        <v>62.575000000000003</v>
      </c>
      <c r="S254" s="32">
        <v>11.16</v>
      </c>
      <c r="T254" s="42">
        <f t="shared" si="12"/>
        <v>1.1212612065521375</v>
      </c>
      <c r="W254" s="32">
        <v>161</v>
      </c>
      <c r="X254" s="32">
        <v>91</v>
      </c>
      <c r="Y254" s="32">
        <v>44</v>
      </c>
      <c r="Z254" s="32">
        <v>15</v>
      </c>
    </row>
    <row r="255" spans="1:26" ht="14.4">
      <c r="A255" s="27">
        <v>144</v>
      </c>
      <c r="B255" s="27">
        <v>107.8</v>
      </c>
      <c r="C255" s="27">
        <v>43.95</v>
      </c>
      <c r="D255" s="27">
        <v>60.3</v>
      </c>
      <c r="E255" s="30" t="s">
        <v>109</v>
      </c>
      <c r="F255" s="305"/>
      <c r="G255" s="30" t="s">
        <v>324</v>
      </c>
      <c r="H255" s="31" t="s">
        <v>299</v>
      </c>
      <c r="I255" s="30">
        <v>4.9000000000000004</v>
      </c>
      <c r="J255" s="32">
        <v>4.6711153479504297</v>
      </c>
      <c r="K255" s="33">
        <v>1203.5999999999999</v>
      </c>
      <c r="L255" s="33">
        <v>714.9</v>
      </c>
      <c r="M255" s="33">
        <v>1205.8</v>
      </c>
      <c r="N255" s="32">
        <v>62.48</v>
      </c>
      <c r="O255" s="32">
        <v>62.84</v>
      </c>
      <c r="P255" s="32">
        <v>62.99</v>
      </c>
      <c r="Q255" s="32">
        <v>62.64</v>
      </c>
      <c r="R255" s="32">
        <v>62.737499999999997</v>
      </c>
      <c r="S255" s="32">
        <v>15.14</v>
      </c>
      <c r="T255" s="42">
        <f t="shared" si="12"/>
        <v>1.5171975293883244</v>
      </c>
      <c r="W255" s="32">
        <v>161</v>
      </c>
      <c r="X255" s="32">
        <v>91</v>
      </c>
      <c r="Y255" s="32">
        <v>44</v>
      </c>
      <c r="Z255" s="32">
        <v>15</v>
      </c>
    </row>
    <row r="256" spans="1:26" ht="14.4">
      <c r="A256" s="27">
        <v>144</v>
      </c>
      <c r="B256" s="27">
        <v>107.8</v>
      </c>
      <c r="C256" s="27">
        <v>43.95</v>
      </c>
      <c r="D256" s="27">
        <v>60.3</v>
      </c>
      <c r="E256" s="30" t="s">
        <v>109</v>
      </c>
      <c r="F256" s="306"/>
      <c r="G256" s="30" t="s">
        <v>324</v>
      </c>
      <c r="H256" s="31" t="s">
        <v>409</v>
      </c>
      <c r="I256" s="30">
        <v>4.9000000000000004</v>
      </c>
      <c r="J256" s="32">
        <v>4.6711153479504297</v>
      </c>
      <c r="K256" s="33">
        <v>1203.9000000000001</v>
      </c>
      <c r="L256" s="33">
        <v>716.5</v>
      </c>
      <c r="M256" s="33">
        <v>1207.5</v>
      </c>
      <c r="N256" s="32">
        <v>63.56</v>
      </c>
      <c r="O256" s="32">
        <v>63.47</v>
      </c>
      <c r="P256" s="32">
        <v>63.55</v>
      </c>
      <c r="Q256" s="32">
        <v>63.51</v>
      </c>
      <c r="R256" s="32">
        <v>63.522500000000001</v>
      </c>
      <c r="S256" s="32">
        <v>11.04</v>
      </c>
      <c r="T256" s="42">
        <f t="shared" si="12"/>
        <v>1.0926597662245661</v>
      </c>
      <c r="W256" s="32">
        <v>161</v>
      </c>
      <c r="X256" s="32">
        <v>91</v>
      </c>
      <c r="Y256" s="32">
        <v>44</v>
      </c>
      <c r="Z256" s="32">
        <v>15</v>
      </c>
    </row>
    <row r="257" spans="1:26" ht="14.4">
      <c r="A257" s="27">
        <v>144</v>
      </c>
      <c r="B257" s="27">
        <v>107.8</v>
      </c>
      <c r="C257" s="27">
        <v>43.95</v>
      </c>
      <c r="D257" s="27">
        <v>60.3</v>
      </c>
      <c r="E257" s="30" t="s">
        <v>110</v>
      </c>
      <c r="F257" s="304" t="s">
        <v>218</v>
      </c>
      <c r="G257" s="30" t="s">
        <v>324</v>
      </c>
      <c r="H257" s="31" t="s">
        <v>397</v>
      </c>
      <c r="I257" s="61">
        <v>4.8</v>
      </c>
      <c r="J257" s="41">
        <v>4.5801526717557302</v>
      </c>
      <c r="K257" s="33">
        <v>1208.4000000000001</v>
      </c>
      <c r="L257" s="33">
        <v>711.3</v>
      </c>
      <c r="M257" s="33">
        <v>1214.3</v>
      </c>
      <c r="N257" s="32">
        <v>64.67</v>
      </c>
      <c r="O257" s="32">
        <v>64.8</v>
      </c>
      <c r="P257" s="32">
        <v>64.88</v>
      </c>
      <c r="Q257" s="32">
        <v>64.64</v>
      </c>
      <c r="R257" s="32">
        <v>64.747500000000002</v>
      </c>
      <c r="S257" s="32">
        <v>8.16</v>
      </c>
      <c r="T257" s="42">
        <f t="shared" si="12"/>
        <v>0.79233823699756745</v>
      </c>
      <c r="U257" s="34">
        <f>V257/V258</f>
        <v>0.85811290073754509</v>
      </c>
      <c r="V257" s="32">
        <f>AVERAGE(T257,T259,T261,T263)</f>
        <v>0.80696434982566134</v>
      </c>
      <c r="W257" s="32">
        <v>161</v>
      </c>
      <c r="X257" s="32">
        <v>91</v>
      </c>
      <c r="Y257" s="32">
        <v>44</v>
      </c>
      <c r="Z257" s="32">
        <v>15</v>
      </c>
    </row>
    <row r="258" spans="1:26" ht="14.4">
      <c r="A258" s="27">
        <v>144</v>
      </c>
      <c r="B258" s="27">
        <v>107.8</v>
      </c>
      <c r="C258" s="27">
        <v>43.95</v>
      </c>
      <c r="D258" s="27">
        <v>60.3</v>
      </c>
      <c r="E258" s="30" t="s">
        <v>110</v>
      </c>
      <c r="F258" s="305"/>
      <c r="G258" s="30" t="s">
        <v>324</v>
      </c>
      <c r="H258" s="31" t="s">
        <v>295</v>
      </c>
      <c r="I258" s="61">
        <v>4.8</v>
      </c>
      <c r="J258" s="41">
        <v>4.5801526717557302</v>
      </c>
      <c r="K258" s="33">
        <v>1213.5999999999999</v>
      </c>
      <c r="L258" s="33">
        <v>714.4</v>
      </c>
      <c r="M258" s="33">
        <v>1219.2</v>
      </c>
      <c r="N258" s="32">
        <v>65.510000000000005</v>
      </c>
      <c r="O258" s="32">
        <v>65.41</v>
      </c>
      <c r="P258" s="32">
        <v>65.349999999999994</v>
      </c>
      <c r="Q258" s="32">
        <v>65.53</v>
      </c>
      <c r="R258" s="32">
        <v>65.45</v>
      </c>
      <c r="S258" s="32">
        <v>8.7899999999999991</v>
      </c>
      <c r="T258" s="42">
        <f t="shared" si="12"/>
        <v>0.84435034377387297</v>
      </c>
      <c r="V258" s="32">
        <f>AVERAGE(T258,T260,T262)</f>
        <v>0.94039414759069373</v>
      </c>
      <c r="W258" s="32">
        <v>161</v>
      </c>
      <c r="X258" s="32">
        <v>91</v>
      </c>
      <c r="Y258" s="32">
        <v>44</v>
      </c>
      <c r="Z258" s="32">
        <v>15</v>
      </c>
    </row>
    <row r="259" spans="1:26" ht="14.4">
      <c r="A259" s="27">
        <v>161</v>
      </c>
      <c r="B259" s="27">
        <v>91</v>
      </c>
      <c r="C259" s="27">
        <v>44</v>
      </c>
      <c r="D259" s="27">
        <v>15</v>
      </c>
      <c r="E259" s="30" t="s">
        <v>110</v>
      </c>
      <c r="F259" s="305"/>
      <c r="G259" s="30" t="s">
        <v>324</v>
      </c>
      <c r="H259" s="31" t="s">
        <v>399</v>
      </c>
      <c r="I259" s="61">
        <v>4.8</v>
      </c>
      <c r="J259" s="41">
        <v>4.5801526717557302</v>
      </c>
      <c r="K259" s="33">
        <v>1220.5999999999999</v>
      </c>
      <c r="L259" s="33">
        <v>720.3</v>
      </c>
      <c r="M259" s="33">
        <v>1223.7</v>
      </c>
      <c r="N259" s="32">
        <v>64.900000000000006</v>
      </c>
      <c r="O259" s="32">
        <v>64.91</v>
      </c>
      <c r="P259" s="32">
        <v>64.67</v>
      </c>
      <c r="Q259" s="32">
        <v>64.8</v>
      </c>
      <c r="R259" s="32">
        <v>64.819999999999993</v>
      </c>
      <c r="S259" s="32">
        <v>8.74</v>
      </c>
      <c r="T259" s="42">
        <f t="shared" si="12"/>
        <v>0.84770718913915466</v>
      </c>
      <c r="W259" s="32">
        <v>161</v>
      </c>
      <c r="X259" s="32">
        <v>91</v>
      </c>
      <c r="Y259" s="32">
        <v>44</v>
      </c>
      <c r="Z259" s="32">
        <v>15</v>
      </c>
    </row>
    <row r="260" spans="1:26" ht="14.4">
      <c r="A260" s="27">
        <v>161</v>
      </c>
      <c r="B260" s="27">
        <v>91</v>
      </c>
      <c r="C260" s="27">
        <v>44</v>
      </c>
      <c r="D260" s="27">
        <v>15</v>
      </c>
      <c r="E260" s="30" t="s">
        <v>110</v>
      </c>
      <c r="F260" s="305"/>
      <c r="G260" s="30" t="s">
        <v>324</v>
      </c>
      <c r="H260" s="31" t="s">
        <v>297</v>
      </c>
      <c r="I260" s="61">
        <v>4.8</v>
      </c>
      <c r="J260" s="41">
        <v>4.5801526717557302</v>
      </c>
      <c r="K260" s="33">
        <v>1218.3</v>
      </c>
      <c r="L260" s="33">
        <v>719.5</v>
      </c>
      <c r="M260" s="33">
        <v>1221</v>
      </c>
      <c r="N260" s="32">
        <v>64.569999999999993</v>
      </c>
      <c r="O260" s="32">
        <v>64.17</v>
      </c>
      <c r="P260" s="32">
        <v>64.239999999999995</v>
      </c>
      <c r="Q260" s="32">
        <v>64.39</v>
      </c>
      <c r="R260" s="32">
        <v>64.342500000000001</v>
      </c>
      <c r="S260" s="32">
        <v>10.3</v>
      </c>
      <c r="T260" s="42">
        <f t="shared" si="12"/>
        <v>1.0064280996231108</v>
      </c>
      <c r="W260" s="32">
        <v>161</v>
      </c>
      <c r="X260" s="32">
        <v>91</v>
      </c>
      <c r="Y260" s="32">
        <v>44</v>
      </c>
      <c r="Z260" s="32">
        <v>15</v>
      </c>
    </row>
    <row r="261" spans="1:26" ht="14.4">
      <c r="A261" s="27">
        <v>161</v>
      </c>
      <c r="B261" s="27">
        <v>91</v>
      </c>
      <c r="C261" s="27">
        <v>44</v>
      </c>
      <c r="D261" s="27">
        <v>15</v>
      </c>
      <c r="E261" s="30" t="s">
        <v>110</v>
      </c>
      <c r="F261" s="305"/>
      <c r="G261" s="30" t="s">
        <v>324</v>
      </c>
      <c r="H261" s="31" t="s">
        <v>401</v>
      </c>
      <c r="I261" s="61">
        <v>4.8</v>
      </c>
      <c r="J261" s="41">
        <v>4.5801526717557302</v>
      </c>
      <c r="K261" s="33">
        <v>1217.7</v>
      </c>
      <c r="L261" s="33">
        <v>721.6</v>
      </c>
      <c r="M261" s="33">
        <v>1219.5999999999999</v>
      </c>
      <c r="N261" s="32">
        <v>63.94</v>
      </c>
      <c r="O261" s="32">
        <v>63.99</v>
      </c>
      <c r="P261" s="32">
        <v>63.86</v>
      </c>
      <c r="Q261" s="32">
        <v>63.82</v>
      </c>
      <c r="R261" s="32">
        <v>63.902500000000003</v>
      </c>
      <c r="S261" s="32">
        <v>9.07</v>
      </c>
      <c r="T261" s="42">
        <f t="shared" si="12"/>
        <v>0.89234521341105588</v>
      </c>
      <c r="W261" s="32">
        <v>161</v>
      </c>
      <c r="X261" s="32">
        <v>91</v>
      </c>
      <c r="Y261" s="32">
        <v>44</v>
      </c>
      <c r="Z261" s="32">
        <v>15</v>
      </c>
    </row>
    <row r="262" spans="1:26" ht="14.4">
      <c r="A262" s="27">
        <v>161</v>
      </c>
      <c r="B262" s="27">
        <v>91</v>
      </c>
      <c r="C262" s="27">
        <v>44</v>
      </c>
      <c r="D262" s="27">
        <v>15</v>
      </c>
      <c r="E262" s="30" t="s">
        <v>110</v>
      </c>
      <c r="F262" s="305"/>
      <c r="G262" s="30" t="s">
        <v>324</v>
      </c>
      <c r="H262" s="31" t="s">
        <v>299</v>
      </c>
      <c r="I262" s="61">
        <v>4.8</v>
      </c>
      <c r="J262" s="41">
        <v>4.5801526717557302</v>
      </c>
      <c r="K262" s="33">
        <v>1217.9000000000001</v>
      </c>
      <c r="L262" s="33">
        <v>720.6</v>
      </c>
      <c r="M262" s="33">
        <v>1220.5</v>
      </c>
      <c r="N262" s="32">
        <v>64.08</v>
      </c>
      <c r="O262" s="32">
        <v>63.81</v>
      </c>
      <c r="P262" s="32">
        <v>63.95</v>
      </c>
      <c r="Q262" s="32">
        <v>64.2</v>
      </c>
      <c r="R262" s="32">
        <v>64.010000000000005</v>
      </c>
      <c r="S262" s="32">
        <v>9.8800000000000008</v>
      </c>
      <c r="T262" s="42">
        <f t="shared" si="12"/>
        <v>0.97040399937509758</v>
      </c>
      <c r="W262" s="32">
        <v>161</v>
      </c>
      <c r="X262" s="32">
        <v>91</v>
      </c>
      <c r="Y262" s="32">
        <v>44</v>
      </c>
      <c r="Z262" s="32">
        <v>15</v>
      </c>
    </row>
    <row r="263" spans="1:26" ht="14.4">
      <c r="A263" s="27">
        <v>161</v>
      </c>
      <c r="B263" s="27">
        <v>91</v>
      </c>
      <c r="C263" s="27">
        <v>44</v>
      </c>
      <c r="D263" s="27">
        <v>15</v>
      </c>
      <c r="E263" s="30" t="s">
        <v>110</v>
      </c>
      <c r="F263" s="306"/>
      <c r="G263" s="30" t="s">
        <v>324</v>
      </c>
      <c r="H263" s="31" t="s">
        <v>409</v>
      </c>
      <c r="I263" s="61">
        <v>4.8</v>
      </c>
      <c r="J263" s="41">
        <v>4.5801526717557302</v>
      </c>
      <c r="K263" s="33">
        <v>1220.8</v>
      </c>
      <c r="L263" s="33">
        <v>718.6</v>
      </c>
      <c r="M263" s="33">
        <v>1222.9000000000001</v>
      </c>
      <c r="N263" s="32">
        <v>64.67</v>
      </c>
      <c r="O263" s="32">
        <v>64.59</v>
      </c>
      <c r="P263" s="32">
        <v>64.11</v>
      </c>
      <c r="Q263" s="32">
        <v>64.45</v>
      </c>
      <c r="R263" s="32">
        <v>64.454999999999998</v>
      </c>
      <c r="S263" s="32">
        <v>7.13</v>
      </c>
      <c r="T263" s="42">
        <f t="shared" si="12"/>
        <v>0.69546675975486771</v>
      </c>
      <c r="W263" s="32">
        <v>161</v>
      </c>
      <c r="X263" s="32">
        <v>91</v>
      </c>
      <c r="Y263" s="32">
        <v>44</v>
      </c>
      <c r="Z263" s="32">
        <v>15</v>
      </c>
    </row>
    <row r="264" spans="1:26" ht="14.4">
      <c r="A264" s="27">
        <v>144</v>
      </c>
      <c r="B264" s="27">
        <v>107.8</v>
      </c>
      <c r="C264" s="27">
        <v>43.95</v>
      </c>
      <c r="D264" s="27">
        <v>60.3</v>
      </c>
      <c r="E264" s="30" t="s">
        <v>112</v>
      </c>
      <c r="F264" s="304" t="s">
        <v>218</v>
      </c>
      <c r="G264" s="30" t="s">
        <v>324</v>
      </c>
      <c r="H264" s="31" t="s">
        <v>397</v>
      </c>
      <c r="I264" s="61">
        <v>4.8</v>
      </c>
      <c r="J264" s="41">
        <v>4.5801526717557302</v>
      </c>
      <c r="K264" s="33">
        <v>1227.5999999999999</v>
      </c>
      <c r="L264" s="33">
        <v>726.5</v>
      </c>
      <c r="M264" s="33">
        <v>1228.8</v>
      </c>
      <c r="N264" s="32">
        <v>63.52</v>
      </c>
      <c r="O264" s="32">
        <v>63.27</v>
      </c>
      <c r="P264" s="32">
        <v>63.45</v>
      </c>
      <c r="Q264" s="32">
        <v>63.46</v>
      </c>
      <c r="R264" s="32">
        <v>63.424999999999997</v>
      </c>
      <c r="S264" s="32">
        <v>13.39</v>
      </c>
      <c r="T264" s="42">
        <f t="shared" si="12"/>
        <v>1.3272830902640915</v>
      </c>
      <c r="U264" s="34">
        <f>V264/V265</f>
        <v>0.82847448519310429</v>
      </c>
      <c r="V264" s="32">
        <f>AVERAGE(T264,T266,T268,T270)</f>
        <v>1.1603058320337143</v>
      </c>
      <c r="W264" s="32">
        <v>161</v>
      </c>
      <c r="X264" s="32">
        <v>91</v>
      </c>
      <c r="Y264" s="32">
        <v>44</v>
      </c>
      <c r="Z264" s="32">
        <v>15</v>
      </c>
    </row>
    <row r="265" spans="1:26" ht="14.4">
      <c r="A265" s="27">
        <v>144</v>
      </c>
      <c r="B265" s="27">
        <v>107.8</v>
      </c>
      <c r="C265" s="27">
        <v>43.95</v>
      </c>
      <c r="D265" s="27">
        <v>60.3</v>
      </c>
      <c r="E265" s="30" t="s">
        <v>112</v>
      </c>
      <c r="F265" s="305"/>
      <c r="G265" s="30" t="s">
        <v>324</v>
      </c>
      <c r="H265" s="31" t="s">
        <v>295</v>
      </c>
      <c r="I265" s="61">
        <v>4.8</v>
      </c>
      <c r="J265" s="41">
        <v>4.5801526717557302</v>
      </c>
      <c r="K265" s="33">
        <v>1230.3</v>
      </c>
      <c r="L265" s="33">
        <v>724.2</v>
      </c>
      <c r="M265" s="33">
        <v>1233.9000000000001</v>
      </c>
      <c r="N265" s="32">
        <v>65.89</v>
      </c>
      <c r="O265" s="32">
        <v>65.81</v>
      </c>
      <c r="P265" s="32">
        <v>65.569999999999993</v>
      </c>
      <c r="Q265" s="32">
        <v>65.28</v>
      </c>
      <c r="R265" s="32">
        <v>65.637500000000003</v>
      </c>
      <c r="S265" s="32">
        <v>15.77</v>
      </c>
      <c r="T265" s="42">
        <f t="shared" si="12"/>
        <v>1.5105083222243381</v>
      </c>
      <c r="V265" s="32">
        <f>AVERAGE(T265,T267,T269)</f>
        <v>1.4005329708654399</v>
      </c>
      <c r="W265" s="32">
        <v>161</v>
      </c>
      <c r="X265" s="32">
        <v>91</v>
      </c>
      <c r="Y265" s="32">
        <v>44</v>
      </c>
      <c r="Z265" s="32">
        <v>15</v>
      </c>
    </row>
    <row r="266" spans="1:26" ht="14.4">
      <c r="A266" s="27">
        <v>144</v>
      </c>
      <c r="B266" s="27">
        <v>107.8</v>
      </c>
      <c r="C266" s="27">
        <v>43.95</v>
      </c>
      <c r="D266" s="27">
        <v>60.3</v>
      </c>
      <c r="E266" s="30" t="s">
        <v>112</v>
      </c>
      <c r="F266" s="305"/>
      <c r="G266" s="30" t="s">
        <v>324</v>
      </c>
      <c r="H266" s="31" t="s">
        <v>399</v>
      </c>
      <c r="I266" s="61">
        <v>4.8</v>
      </c>
      <c r="J266" s="41">
        <v>4.5801526717557302</v>
      </c>
      <c r="K266" s="33">
        <v>1234.8</v>
      </c>
      <c r="L266" s="33">
        <v>736</v>
      </c>
      <c r="M266" s="33">
        <v>1236.2</v>
      </c>
      <c r="N266" s="32">
        <v>63.85</v>
      </c>
      <c r="O266" s="32">
        <v>63.72</v>
      </c>
      <c r="P266" s="32">
        <v>63.38</v>
      </c>
      <c r="Q266" s="32">
        <v>63.55</v>
      </c>
      <c r="R266" s="32">
        <v>63.625</v>
      </c>
      <c r="S266" s="32">
        <v>11.69</v>
      </c>
      <c r="T266" s="42">
        <f t="shared" si="12"/>
        <v>1.1551281728880156</v>
      </c>
      <c r="W266" s="32">
        <v>161</v>
      </c>
      <c r="X266" s="32">
        <v>91</v>
      </c>
      <c r="Y266" s="32">
        <v>44</v>
      </c>
      <c r="Z266" s="32">
        <v>15</v>
      </c>
    </row>
    <row r="267" spans="1:26" ht="14.4">
      <c r="A267" s="27">
        <v>144</v>
      </c>
      <c r="B267" s="27">
        <v>107.8</v>
      </c>
      <c r="C267" s="27">
        <v>43.95</v>
      </c>
      <c r="D267" s="27">
        <v>60.3</v>
      </c>
      <c r="E267" s="30" t="s">
        <v>112</v>
      </c>
      <c r="F267" s="305"/>
      <c r="G267" s="30" t="s">
        <v>324</v>
      </c>
      <c r="H267" s="31" t="s">
        <v>297</v>
      </c>
      <c r="I267" s="61">
        <v>4.8</v>
      </c>
      <c r="J267" s="41">
        <v>4.5801526717557302</v>
      </c>
      <c r="K267" s="33">
        <v>1236.5999999999999</v>
      </c>
      <c r="L267" s="33">
        <v>734.4</v>
      </c>
      <c r="M267" s="33">
        <v>1238.9000000000001</v>
      </c>
      <c r="N267" s="32">
        <v>64.180000000000007</v>
      </c>
      <c r="O267" s="32">
        <v>64.319999999999993</v>
      </c>
      <c r="P267" s="32">
        <v>64.59</v>
      </c>
      <c r="Q267" s="32">
        <v>64.56</v>
      </c>
      <c r="R267" s="32">
        <v>64.412499999999994</v>
      </c>
      <c r="S267" s="32">
        <v>14.86</v>
      </c>
      <c r="T267" s="42">
        <f t="shared" si="12"/>
        <v>1.4504144381913449</v>
      </c>
      <c r="W267" s="32">
        <v>161</v>
      </c>
      <c r="X267" s="32">
        <v>91</v>
      </c>
      <c r="Y267" s="32">
        <v>44</v>
      </c>
      <c r="Z267" s="32">
        <v>15</v>
      </c>
    </row>
    <row r="268" spans="1:26" ht="14.4">
      <c r="A268" s="27">
        <v>144</v>
      </c>
      <c r="B268" s="27">
        <v>107.8</v>
      </c>
      <c r="C268" s="27">
        <v>43.95</v>
      </c>
      <c r="D268" s="27">
        <v>60.3</v>
      </c>
      <c r="E268" s="30" t="s">
        <v>112</v>
      </c>
      <c r="F268" s="305"/>
      <c r="G268" s="30" t="s">
        <v>324</v>
      </c>
      <c r="H268" s="31" t="s">
        <v>401</v>
      </c>
      <c r="I268" s="61">
        <v>4.8</v>
      </c>
      <c r="J268" s="41">
        <v>4.5801526717557302</v>
      </c>
      <c r="K268" s="33">
        <v>1238.5</v>
      </c>
      <c r="L268" s="33">
        <v>735.8</v>
      </c>
      <c r="M268" s="33">
        <v>1240.2</v>
      </c>
      <c r="N268" s="32">
        <v>63.91</v>
      </c>
      <c r="O268" s="32">
        <v>64.02</v>
      </c>
      <c r="P268" s="32">
        <v>64.25</v>
      </c>
      <c r="Q268" s="32">
        <v>64.23</v>
      </c>
      <c r="R268" s="32">
        <v>64.102500000000006</v>
      </c>
      <c r="S268" s="32">
        <v>11.72</v>
      </c>
      <c r="T268" s="42">
        <f t="shared" si="12"/>
        <v>1.1494659334659334</v>
      </c>
      <c r="W268" s="32">
        <v>161</v>
      </c>
      <c r="X268" s="32">
        <v>91</v>
      </c>
      <c r="Y268" s="32">
        <v>44</v>
      </c>
      <c r="Z268" s="32">
        <v>15</v>
      </c>
    </row>
    <row r="269" spans="1:26" ht="14.4">
      <c r="A269" s="27">
        <v>161</v>
      </c>
      <c r="B269" s="27">
        <v>91</v>
      </c>
      <c r="C269" s="27">
        <v>44</v>
      </c>
      <c r="D269" s="27">
        <v>15</v>
      </c>
      <c r="E269" s="30" t="s">
        <v>112</v>
      </c>
      <c r="F269" s="305"/>
      <c r="G269" s="30" t="s">
        <v>324</v>
      </c>
      <c r="H269" s="31" t="s">
        <v>299</v>
      </c>
      <c r="I269" s="61">
        <v>4.8</v>
      </c>
      <c r="J269" s="41">
        <v>4.5801526717557302</v>
      </c>
      <c r="K269" s="33">
        <v>1213.8</v>
      </c>
      <c r="L269" s="33">
        <v>712.5</v>
      </c>
      <c r="M269" s="33">
        <v>1219.3</v>
      </c>
      <c r="N269" s="32">
        <v>64.44</v>
      </c>
      <c r="O269" s="32">
        <v>64.77</v>
      </c>
      <c r="P269" s="32">
        <v>64.63</v>
      </c>
      <c r="Q269" s="32">
        <v>64.8</v>
      </c>
      <c r="R269" s="32">
        <v>64.66</v>
      </c>
      <c r="S269" s="32">
        <v>12.76</v>
      </c>
      <c r="T269" s="42">
        <f t="shared" si="12"/>
        <v>1.2406761521806373</v>
      </c>
      <c r="W269" s="32">
        <v>161</v>
      </c>
      <c r="X269" s="32">
        <v>91</v>
      </c>
      <c r="Y269" s="32">
        <v>44</v>
      </c>
      <c r="Z269" s="32">
        <v>15</v>
      </c>
    </row>
    <row r="270" spans="1:26" ht="14.4">
      <c r="A270" s="27">
        <v>161</v>
      </c>
      <c r="B270" s="27">
        <v>91</v>
      </c>
      <c r="C270" s="27">
        <v>44</v>
      </c>
      <c r="D270" s="27">
        <v>15</v>
      </c>
      <c r="E270" s="30" t="s">
        <v>112</v>
      </c>
      <c r="F270" s="306"/>
      <c r="G270" s="30" t="s">
        <v>324</v>
      </c>
      <c r="H270" s="31" t="s">
        <v>409</v>
      </c>
      <c r="I270" s="61">
        <v>4.8</v>
      </c>
      <c r="J270" s="41">
        <v>4.5801526717557302</v>
      </c>
      <c r="K270" s="33">
        <v>1230.9000000000001</v>
      </c>
      <c r="L270" s="33">
        <v>726</v>
      </c>
      <c r="M270" s="33">
        <v>1233.0999999999999</v>
      </c>
      <c r="N270" s="32">
        <v>64.69</v>
      </c>
      <c r="O270" s="32">
        <v>64.48</v>
      </c>
      <c r="P270" s="32">
        <v>64.59</v>
      </c>
      <c r="Q270" s="32">
        <v>64.61</v>
      </c>
      <c r="R270" s="32">
        <v>64.592500000000001</v>
      </c>
      <c r="S270" s="32">
        <v>10.37</v>
      </c>
      <c r="T270" s="42">
        <f t="shared" si="12"/>
        <v>1.0093461315168168</v>
      </c>
      <c r="W270" s="32">
        <v>161</v>
      </c>
      <c r="X270" s="32">
        <v>91</v>
      </c>
      <c r="Y270" s="32">
        <v>44</v>
      </c>
      <c r="Z270" s="32">
        <v>15</v>
      </c>
    </row>
    <row r="271" spans="1:26" ht="14.4">
      <c r="A271" s="27">
        <v>161</v>
      </c>
      <c r="B271" s="27">
        <v>91</v>
      </c>
      <c r="C271" s="27">
        <v>44</v>
      </c>
      <c r="D271" s="27">
        <v>15</v>
      </c>
      <c r="E271" s="30" t="s">
        <v>256</v>
      </c>
      <c r="F271" s="304" t="s">
        <v>257</v>
      </c>
      <c r="G271" s="30" t="s">
        <v>324</v>
      </c>
      <c r="H271" s="31" t="s">
        <v>397</v>
      </c>
      <c r="I271" s="32">
        <v>4.9000000000000004</v>
      </c>
      <c r="J271" s="32">
        <v>4.6711153479504297</v>
      </c>
      <c r="K271" s="33">
        <v>1233.9000000000001</v>
      </c>
      <c r="L271" s="33">
        <v>732.1</v>
      </c>
      <c r="M271" s="33">
        <v>1236.0999999999999</v>
      </c>
      <c r="N271" s="32">
        <v>64.42</v>
      </c>
      <c r="O271" s="32">
        <v>64.849999999999994</v>
      </c>
      <c r="P271" s="32">
        <v>64.849999999999994</v>
      </c>
      <c r="Q271" s="32">
        <v>64.7</v>
      </c>
      <c r="R271" s="32">
        <v>64.704999999999998</v>
      </c>
      <c r="S271" s="32">
        <v>10.7</v>
      </c>
      <c r="T271" s="32">
        <v>1.0396553589367099</v>
      </c>
      <c r="U271" s="34">
        <f>V271/V272</f>
        <v>0.84969186083549908</v>
      </c>
      <c r="V271" s="32">
        <f>AVERAGE(T271,T273,T275)</f>
        <v>1.0396507643205641</v>
      </c>
      <c r="W271" s="32">
        <v>161</v>
      </c>
      <c r="X271" s="32">
        <v>91</v>
      </c>
      <c r="Y271" s="32">
        <v>44</v>
      </c>
      <c r="Z271" s="32">
        <v>15</v>
      </c>
    </row>
    <row r="272" spans="1:26" ht="14.4">
      <c r="A272" s="27">
        <v>161</v>
      </c>
      <c r="B272" s="27">
        <v>91</v>
      </c>
      <c r="C272" s="27">
        <v>44</v>
      </c>
      <c r="D272" s="27">
        <v>15</v>
      </c>
      <c r="E272" s="30" t="s">
        <v>256</v>
      </c>
      <c r="F272" s="305"/>
      <c r="G272" s="30" t="s">
        <v>324</v>
      </c>
      <c r="H272" s="31" t="s">
        <v>295</v>
      </c>
      <c r="I272" s="32">
        <v>4.9000000000000004</v>
      </c>
      <c r="J272" s="32">
        <v>4.6711153479504297</v>
      </c>
      <c r="K272" s="33">
        <v>1219.0999999999999</v>
      </c>
      <c r="L272" s="33">
        <v>721</v>
      </c>
      <c r="M272" s="33">
        <v>1221.8</v>
      </c>
      <c r="N272" s="32">
        <v>65.89</v>
      </c>
      <c r="O272" s="32">
        <v>65.56</v>
      </c>
      <c r="P272" s="32">
        <v>65.56</v>
      </c>
      <c r="Q272" s="32">
        <v>66.22</v>
      </c>
      <c r="R272" s="32">
        <v>65.807500000000005</v>
      </c>
      <c r="S272" s="32">
        <v>12.49</v>
      </c>
      <c r="T272" s="32">
        <v>1.19324742620522</v>
      </c>
      <c r="V272" s="32">
        <f>AVERAGE(T272,T274)</f>
        <v>1.22356210791319</v>
      </c>
      <c r="W272" s="32">
        <v>161</v>
      </c>
      <c r="X272" s="32">
        <v>91</v>
      </c>
      <c r="Y272" s="32">
        <v>44</v>
      </c>
      <c r="Z272" s="32">
        <v>15</v>
      </c>
    </row>
    <row r="273" spans="1:26" ht="14.4">
      <c r="A273" s="27">
        <v>161</v>
      </c>
      <c r="B273" s="27">
        <v>91</v>
      </c>
      <c r="C273" s="27">
        <v>44</v>
      </c>
      <c r="D273" s="27">
        <v>15</v>
      </c>
      <c r="E273" s="30" t="s">
        <v>256</v>
      </c>
      <c r="F273" s="305"/>
      <c r="G273" s="30" t="s">
        <v>324</v>
      </c>
      <c r="H273" s="31" t="s">
        <v>399</v>
      </c>
      <c r="I273" s="32">
        <v>4.9000000000000004</v>
      </c>
      <c r="J273" s="32">
        <v>4.6711153479504297</v>
      </c>
      <c r="K273" s="33">
        <v>1209.7</v>
      </c>
      <c r="L273" s="33">
        <v>718</v>
      </c>
      <c r="M273" s="33">
        <v>1213.3</v>
      </c>
      <c r="N273" s="32">
        <v>63.34</v>
      </c>
      <c r="O273" s="32">
        <v>63.81</v>
      </c>
      <c r="P273" s="32">
        <v>63.81</v>
      </c>
      <c r="Q273" s="32">
        <v>63.21</v>
      </c>
      <c r="R273" s="32">
        <v>63.542499999999997</v>
      </c>
      <c r="S273" s="32">
        <v>11.33</v>
      </c>
      <c r="T273" s="32">
        <v>1.1210089310304101</v>
      </c>
      <c r="W273" s="32">
        <v>161</v>
      </c>
      <c r="X273" s="32">
        <v>91</v>
      </c>
      <c r="Y273" s="32">
        <v>44</v>
      </c>
      <c r="Z273" s="32">
        <v>15</v>
      </c>
    </row>
    <row r="274" spans="1:26" ht="14.4">
      <c r="A274" s="27">
        <v>258</v>
      </c>
      <c r="B274" s="27">
        <v>72</v>
      </c>
      <c r="C274" s="27">
        <v>47.6</v>
      </c>
      <c r="D274" s="27">
        <v>8.1999999999999993</v>
      </c>
      <c r="E274" s="30" t="s">
        <v>256</v>
      </c>
      <c r="F274" s="305"/>
      <c r="G274" s="30" t="s">
        <v>324</v>
      </c>
      <c r="H274" s="31" t="s">
        <v>297</v>
      </c>
      <c r="I274" s="32">
        <v>4.9000000000000004</v>
      </c>
      <c r="J274" s="32">
        <v>4.6711153479504297</v>
      </c>
      <c r="K274" s="33">
        <v>1209.5</v>
      </c>
      <c r="L274" s="33">
        <v>716.2</v>
      </c>
      <c r="M274" s="33">
        <v>1213.0999999999999</v>
      </c>
      <c r="N274" s="32">
        <v>64.94</v>
      </c>
      <c r="O274" s="32">
        <v>65.34</v>
      </c>
      <c r="P274" s="32">
        <v>65.34</v>
      </c>
      <c r="Q274" s="32">
        <v>64.91</v>
      </c>
      <c r="R274" s="32">
        <v>65.132499999999993</v>
      </c>
      <c r="S274" s="32">
        <v>12.99</v>
      </c>
      <c r="T274" s="32">
        <v>1.25387678962116</v>
      </c>
      <c r="W274" s="32">
        <v>161</v>
      </c>
      <c r="X274" s="32">
        <v>91</v>
      </c>
      <c r="Y274" s="32">
        <v>44</v>
      </c>
      <c r="Z274" s="32">
        <v>15</v>
      </c>
    </row>
    <row r="275" spans="1:26" ht="14.4">
      <c r="A275" s="27">
        <v>258</v>
      </c>
      <c r="B275" s="27">
        <v>72</v>
      </c>
      <c r="C275" s="27">
        <v>47.6</v>
      </c>
      <c r="D275" s="27">
        <v>8.1999999999999993</v>
      </c>
      <c r="E275" s="30" t="s">
        <v>256</v>
      </c>
      <c r="F275" s="306"/>
      <c r="G275" s="30" t="s">
        <v>324</v>
      </c>
      <c r="H275" s="31" t="s">
        <v>401</v>
      </c>
      <c r="I275" s="32">
        <v>4.9000000000000004</v>
      </c>
      <c r="J275" s="32">
        <v>4.6711153479504297</v>
      </c>
      <c r="K275" s="33">
        <v>1208.7</v>
      </c>
      <c r="L275" s="33">
        <v>713.6</v>
      </c>
      <c r="M275" s="33">
        <v>1212.5999999999999</v>
      </c>
      <c r="N275" s="32">
        <v>66.91</v>
      </c>
      <c r="O275" s="32">
        <v>66.7</v>
      </c>
      <c r="P275" s="32">
        <v>66.7</v>
      </c>
      <c r="Q275" s="32">
        <v>66.84</v>
      </c>
      <c r="R275" s="32">
        <v>66.787499999999994</v>
      </c>
      <c r="S275" s="32">
        <v>10.18</v>
      </c>
      <c r="T275" s="32">
        <v>0.95828800299457195</v>
      </c>
      <c r="W275" s="32">
        <v>161</v>
      </c>
      <c r="X275" s="32">
        <v>91</v>
      </c>
      <c r="Y275" s="32">
        <v>44</v>
      </c>
      <c r="Z275" s="32">
        <v>15</v>
      </c>
    </row>
    <row r="276" spans="1:26" ht="14.4">
      <c r="A276" s="27">
        <v>258</v>
      </c>
      <c r="B276" s="27">
        <v>72</v>
      </c>
      <c r="C276" s="27">
        <v>47.6</v>
      </c>
      <c r="D276" s="27">
        <v>8.1999999999999993</v>
      </c>
      <c r="E276" s="30" t="s">
        <v>113</v>
      </c>
      <c r="F276" s="304" t="s">
        <v>258</v>
      </c>
      <c r="G276" s="30" t="s">
        <v>528</v>
      </c>
      <c r="H276" s="31" t="s">
        <v>397</v>
      </c>
      <c r="I276" s="30">
        <v>4.2</v>
      </c>
      <c r="J276" s="32">
        <v>4.0307101727447199</v>
      </c>
      <c r="K276" s="33">
        <v>1179.4000000000001</v>
      </c>
      <c r="L276" s="33">
        <v>695.3</v>
      </c>
      <c r="M276" s="33">
        <v>1183.5999999999999</v>
      </c>
      <c r="N276" s="32">
        <v>63.66</v>
      </c>
      <c r="O276" s="32">
        <v>63.35</v>
      </c>
      <c r="P276" s="32">
        <v>63.28</v>
      </c>
      <c r="Q276" s="32">
        <v>63.48</v>
      </c>
      <c r="R276" s="32">
        <v>63.442500000000003</v>
      </c>
      <c r="S276" s="32">
        <v>10.59</v>
      </c>
      <c r="T276" s="42">
        <f t="shared" ref="T276:T339" si="13">6.287*S276/R276</f>
        <v>1.0494436694644755</v>
      </c>
      <c r="U276" s="34">
        <f>V276/V277</f>
        <v>0.85923253403854838</v>
      </c>
      <c r="V276" s="32">
        <f>AVERAGE(T276,T278,T280)</f>
        <v>1.0346700890836662</v>
      </c>
      <c r="W276" s="32">
        <v>161</v>
      </c>
      <c r="X276" s="32">
        <v>91</v>
      </c>
      <c r="Y276" s="32">
        <v>44</v>
      </c>
      <c r="Z276" s="32">
        <v>15</v>
      </c>
    </row>
    <row r="277" spans="1:26" ht="14.4">
      <c r="A277" s="27">
        <v>258</v>
      </c>
      <c r="B277" s="27">
        <v>72</v>
      </c>
      <c r="C277" s="27">
        <v>47.6</v>
      </c>
      <c r="D277" s="27">
        <v>8.1999999999999993</v>
      </c>
      <c r="E277" s="30" t="s">
        <v>113</v>
      </c>
      <c r="F277" s="305"/>
      <c r="G277" s="30" t="s">
        <v>528</v>
      </c>
      <c r="H277" s="31" t="s">
        <v>295</v>
      </c>
      <c r="I277" s="30">
        <v>4.2</v>
      </c>
      <c r="J277" s="32">
        <v>4.0307101727447199</v>
      </c>
      <c r="K277" s="33">
        <v>1178.5999999999999</v>
      </c>
      <c r="L277" s="33">
        <v>696.3</v>
      </c>
      <c r="M277" s="33">
        <v>1183.7</v>
      </c>
      <c r="N277" s="32">
        <v>63.41</v>
      </c>
      <c r="O277" s="32">
        <v>63.68</v>
      </c>
      <c r="P277" s="32">
        <v>63.74</v>
      </c>
      <c r="Q277" s="32">
        <v>63.38</v>
      </c>
      <c r="R277" s="32">
        <v>63.552500000000002</v>
      </c>
      <c r="S277" s="32">
        <v>11.53</v>
      </c>
      <c r="T277" s="42">
        <f t="shared" si="13"/>
        <v>1.1406177569725817</v>
      </c>
      <c r="V277" s="32">
        <f>AVERAGE(T277,T279,T281)</f>
        <v>1.2041793671621459</v>
      </c>
      <c r="W277" s="32">
        <v>161</v>
      </c>
      <c r="X277" s="32">
        <v>91</v>
      </c>
      <c r="Y277" s="32">
        <v>44</v>
      </c>
      <c r="Z277" s="32">
        <v>15</v>
      </c>
    </row>
    <row r="278" spans="1:26" ht="14.4">
      <c r="A278" s="27">
        <v>258</v>
      </c>
      <c r="B278" s="27">
        <v>72</v>
      </c>
      <c r="C278" s="27">
        <v>47.6</v>
      </c>
      <c r="D278" s="27">
        <v>8.1999999999999993</v>
      </c>
      <c r="E278" s="30" t="s">
        <v>113</v>
      </c>
      <c r="F278" s="305"/>
      <c r="G278" s="30" t="s">
        <v>528</v>
      </c>
      <c r="H278" s="31" t="s">
        <v>399</v>
      </c>
      <c r="I278" s="30">
        <v>4.2</v>
      </c>
      <c r="J278" s="32">
        <v>4.0307101727447199</v>
      </c>
      <c r="K278" s="33">
        <v>1185.5</v>
      </c>
      <c r="L278" s="33">
        <v>699.4</v>
      </c>
      <c r="M278" s="33">
        <v>1190.7</v>
      </c>
      <c r="N278" s="32">
        <v>64.42</v>
      </c>
      <c r="O278" s="32">
        <v>64.510000000000005</v>
      </c>
      <c r="P278" s="32">
        <v>64.63</v>
      </c>
      <c r="Q278" s="32">
        <v>64.63</v>
      </c>
      <c r="R278" s="32">
        <v>64.547499999999999</v>
      </c>
      <c r="S278" s="32">
        <v>10.64</v>
      </c>
      <c r="T278" s="42">
        <f t="shared" si="13"/>
        <v>1.0363481157287269</v>
      </c>
      <c r="W278" s="32">
        <v>161</v>
      </c>
      <c r="X278" s="32">
        <v>91</v>
      </c>
      <c r="Y278" s="32">
        <v>44</v>
      </c>
      <c r="Z278" s="32">
        <v>15</v>
      </c>
    </row>
    <row r="279" spans="1:26" ht="14.4">
      <c r="A279" s="27">
        <v>111</v>
      </c>
      <c r="B279" s="27">
        <v>124</v>
      </c>
      <c r="C279" s="27">
        <v>41.5</v>
      </c>
      <c r="D279" s="27">
        <v>56</v>
      </c>
      <c r="E279" s="30" t="s">
        <v>113</v>
      </c>
      <c r="F279" s="305"/>
      <c r="G279" s="30" t="s">
        <v>528</v>
      </c>
      <c r="H279" s="31" t="s">
        <v>297</v>
      </c>
      <c r="I279" s="30">
        <v>4.2</v>
      </c>
      <c r="J279" s="32">
        <v>4.0307101727447199</v>
      </c>
      <c r="K279" s="33">
        <v>1184.7</v>
      </c>
      <c r="L279" s="33">
        <v>698</v>
      </c>
      <c r="M279" s="33">
        <v>1187.9000000000001</v>
      </c>
      <c r="N279" s="32">
        <v>63.41</v>
      </c>
      <c r="O279" s="32">
        <v>63.38</v>
      </c>
      <c r="P279" s="32">
        <v>63.62</v>
      </c>
      <c r="Q279" s="32">
        <v>63.45</v>
      </c>
      <c r="R279" s="32">
        <v>63.465000000000003</v>
      </c>
      <c r="S279" s="32">
        <v>12.31</v>
      </c>
      <c r="T279" s="42">
        <f t="shared" si="13"/>
        <v>1.2194590719294098</v>
      </c>
      <c r="W279" s="32">
        <v>161</v>
      </c>
      <c r="X279" s="32">
        <v>91</v>
      </c>
      <c r="Y279" s="32">
        <v>44</v>
      </c>
      <c r="Z279" s="32">
        <v>15</v>
      </c>
    </row>
    <row r="280" spans="1:26" ht="14.4">
      <c r="A280" s="27">
        <v>111</v>
      </c>
      <c r="B280" s="27">
        <v>124</v>
      </c>
      <c r="C280" s="27">
        <v>41.5</v>
      </c>
      <c r="D280" s="27">
        <v>56</v>
      </c>
      <c r="E280" s="30" t="s">
        <v>113</v>
      </c>
      <c r="F280" s="305"/>
      <c r="G280" s="30" t="s">
        <v>528</v>
      </c>
      <c r="H280" s="31" t="s">
        <v>401</v>
      </c>
      <c r="I280" s="30">
        <v>4.2</v>
      </c>
      <c r="J280" s="32">
        <v>4.0307101727447199</v>
      </c>
      <c r="K280" s="33">
        <v>1180.4000000000001</v>
      </c>
      <c r="L280" s="33">
        <v>699.8</v>
      </c>
      <c r="M280" s="33">
        <v>1183.8</v>
      </c>
      <c r="N280" s="32">
        <v>63.03</v>
      </c>
      <c r="O280" s="32">
        <v>63.17</v>
      </c>
      <c r="P280" s="32">
        <v>62.89</v>
      </c>
      <c r="Q280" s="32">
        <v>62.83</v>
      </c>
      <c r="R280" s="32">
        <v>62.98</v>
      </c>
      <c r="S280" s="32">
        <v>10.199999999999999</v>
      </c>
      <c r="T280" s="42">
        <f t="shared" si="13"/>
        <v>1.0182184820577962</v>
      </c>
      <c r="W280" s="32">
        <v>161</v>
      </c>
      <c r="X280" s="32">
        <v>91</v>
      </c>
      <c r="Y280" s="32">
        <v>44</v>
      </c>
      <c r="Z280" s="32">
        <v>15</v>
      </c>
    </row>
    <row r="281" spans="1:26" ht="14.4">
      <c r="A281" s="27">
        <v>111</v>
      </c>
      <c r="B281" s="27">
        <v>124</v>
      </c>
      <c r="C281" s="27">
        <v>41.5</v>
      </c>
      <c r="D281" s="27">
        <v>56</v>
      </c>
      <c r="E281" s="30" t="s">
        <v>113</v>
      </c>
      <c r="F281" s="305"/>
      <c r="G281" s="30" t="s">
        <v>528</v>
      </c>
      <c r="H281" s="31" t="s">
        <v>299</v>
      </c>
      <c r="I281" s="30">
        <v>4.2</v>
      </c>
      <c r="J281" s="32">
        <v>4.0307101727447199</v>
      </c>
      <c r="K281" s="33">
        <v>1182.3</v>
      </c>
      <c r="L281" s="33">
        <v>696.9</v>
      </c>
      <c r="M281" s="33">
        <v>1186.3</v>
      </c>
      <c r="N281" s="32">
        <v>63.65</v>
      </c>
      <c r="O281" s="32">
        <v>63.71</v>
      </c>
      <c r="P281" s="32">
        <v>63.7</v>
      </c>
      <c r="Q281" s="32">
        <v>63.54</v>
      </c>
      <c r="R281" s="32">
        <v>63.65</v>
      </c>
      <c r="S281" s="32">
        <v>12.68</v>
      </c>
      <c r="T281" s="42">
        <f t="shared" si="13"/>
        <v>1.2524612725844462</v>
      </c>
      <c r="W281" s="32">
        <v>161</v>
      </c>
      <c r="X281" s="32">
        <v>91</v>
      </c>
      <c r="Y281" s="32">
        <v>44</v>
      </c>
      <c r="Z281" s="32">
        <v>15</v>
      </c>
    </row>
    <row r="282" spans="1:26" ht="14.4">
      <c r="A282" s="27">
        <v>111</v>
      </c>
      <c r="B282" s="27">
        <v>124</v>
      </c>
      <c r="C282" s="27">
        <v>41.5</v>
      </c>
      <c r="D282" s="27">
        <v>56</v>
      </c>
      <c r="E282" s="30" t="s">
        <v>113</v>
      </c>
      <c r="F282" s="305"/>
      <c r="G282" s="30" t="s">
        <v>412</v>
      </c>
      <c r="H282" s="31" t="s">
        <v>397</v>
      </c>
      <c r="I282" s="30">
        <v>4.2</v>
      </c>
      <c r="J282" s="32">
        <v>4.0307101727447199</v>
      </c>
      <c r="K282" s="33">
        <v>1181.9000000000001</v>
      </c>
      <c r="L282" s="33">
        <v>697.8</v>
      </c>
      <c r="M282" s="33">
        <v>1185.9000000000001</v>
      </c>
      <c r="N282" s="32">
        <v>63.66</v>
      </c>
      <c r="O282" s="32">
        <v>63.35</v>
      </c>
      <c r="P282" s="32">
        <v>63.28</v>
      </c>
      <c r="Q282" s="32">
        <v>63.48</v>
      </c>
      <c r="R282" s="32">
        <v>63.442500000000003</v>
      </c>
      <c r="S282" s="32">
        <v>11.65</v>
      </c>
      <c r="T282" s="42">
        <f t="shared" si="13"/>
        <v>1.1544871340189935</v>
      </c>
      <c r="U282" s="34">
        <f>V282/V283</f>
        <v>0.89424579881654409</v>
      </c>
      <c r="V282" s="32">
        <f>AVERAGE(T282,T284,T286)</f>
        <v>1.106335686494156</v>
      </c>
      <c r="W282" s="32">
        <v>161</v>
      </c>
      <c r="X282" s="32">
        <v>91</v>
      </c>
      <c r="Y282" s="32">
        <v>44</v>
      </c>
      <c r="Z282" s="32">
        <v>15</v>
      </c>
    </row>
    <row r="283" spans="1:26" ht="14.4">
      <c r="A283" s="27">
        <v>111</v>
      </c>
      <c r="B283" s="27">
        <v>124</v>
      </c>
      <c r="C283" s="27">
        <v>41.5</v>
      </c>
      <c r="D283" s="27">
        <v>56</v>
      </c>
      <c r="E283" s="30" t="s">
        <v>113</v>
      </c>
      <c r="F283" s="305"/>
      <c r="G283" s="30" t="s">
        <v>412</v>
      </c>
      <c r="H283" s="31" t="s">
        <v>295</v>
      </c>
      <c r="I283" s="30">
        <v>4.2</v>
      </c>
      <c r="J283" s="32">
        <v>4.0307101727447199</v>
      </c>
      <c r="K283" s="33">
        <v>1184.8</v>
      </c>
      <c r="L283" s="33">
        <v>697.2</v>
      </c>
      <c r="M283" s="33">
        <v>1188.5</v>
      </c>
      <c r="N283" s="32">
        <v>63.41</v>
      </c>
      <c r="O283" s="32">
        <v>63.68</v>
      </c>
      <c r="P283" s="32">
        <v>63.74</v>
      </c>
      <c r="Q283" s="32">
        <v>63.38</v>
      </c>
      <c r="R283" s="32">
        <v>63.552500000000002</v>
      </c>
      <c r="S283" s="32">
        <v>12.64</v>
      </c>
      <c r="T283" s="42">
        <f t="shared" si="13"/>
        <v>1.2504257110263168</v>
      </c>
      <c r="V283" s="32">
        <f>AVERAGE(T283,T285,T287)</f>
        <v>1.2371718021580804</v>
      </c>
      <c r="W283" s="32">
        <v>161</v>
      </c>
      <c r="X283" s="32">
        <v>91</v>
      </c>
      <c r="Y283" s="32">
        <v>44</v>
      </c>
      <c r="Z283" s="32">
        <v>15</v>
      </c>
    </row>
    <row r="284" spans="1:26" ht="14.4">
      <c r="A284" s="27">
        <v>258</v>
      </c>
      <c r="B284" s="27">
        <v>72</v>
      </c>
      <c r="C284" s="27">
        <v>47.6</v>
      </c>
      <c r="D284" s="27">
        <v>8.1999999999999993</v>
      </c>
      <c r="E284" s="30" t="s">
        <v>113</v>
      </c>
      <c r="F284" s="305"/>
      <c r="G284" s="30" t="s">
        <v>412</v>
      </c>
      <c r="H284" s="31" t="s">
        <v>399</v>
      </c>
      <c r="I284" s="30">
        <v>4.2</v>
      </c>
      <c r="J284" s="32">
        <v>4.0307101727447199</v>
      </c>
      <c r="K284" s="33">
        <v>1186.3</v>
      </c>
      <c r="L284" s="33">
        <v>699.9</v>
      </c>
      <c r="M284" s="33">
        <v>1189.8</v>
      </c>
      <c r="N284" s="32">
        <v>64.42</v>
      </c>
      <c r="O284" s="32">
        <v>64.510000000000005</v>
      </c>
      <c r="P284" s="32">
        <v>64.63</v>
      </c>
      <c r="Q284" s="32">
        <v>64.63</v>
      </c>
      <c r="R284" s="32">
        <v>64.547499999999999</v>
      </c>
      <c r="S284" s="32">
        <v>10.58</v>
      </c>
      <c r="T284" s="42">
        <f t="shared" si="13"/>
        <v>1.0305040474069482</v>
      </c>
      <c r="W284" s="32">
        <v>161</v>
      </c>
      <c r="X284" s="32">
        <v>91</v>
      </c>
      <c r="Y284" s="32">
        <v>44</v>
      </c>
      <c r="Z284" s="32">
        <v>15</v>
      </c>
    </row>
    <row r="285" spans="1:26" ht="14.4">
      <c r="A285" s="27">
        <v>258</v>
      </c>
      <c r="B285" s="27">
        <v>72</v>
      </c>
      <c r="C285" s="27">
        <v>47.6</v>
      </c>
      <c r="D285" s="27">
        <v>8.1999999999999993</v>
      </c>
      <c r="E285" s="30" t="s">
        <v>113</v>
      </c>
      <c r="F285" s="305"/>
      <c r="G285" s="30" t="s">
        <v>412</v>
      </c>
      <c r="H285" s="31" t="s">
        <v>297</v>
      </c>
      <c r="I285" s="30">
        <v>4.2</v>
      </c>
      <c r="J285" s="32">
        <v>4.0307101727447199</v>
      </c>
      <c r="K285" s="33">
        <v>1187.0999999999999</v>
      </c>
      <c r="L285" s="33">
        <v>701.5</v>
      </c>
      <c r="M285" s="33">
        <v>1190.7</v>
      </c>
      <c r="N285" s="32">
        <v>63.41</v>
      </c>
      <c r="O285" s="32">
        <v>63.38</v>
      </c>
      <c r="P285" s="32">
        <v>63.62</v>
      </c>
      <c r="Q285" s="32">
        <v>63.45</v>
      </c>
      <c r="R285" s="32">
        <v>63.465000000000003</v>
      </c>
      <c r="S285" s="32">
        <v>12.43</v>
      </c>
      <c r="T285" s="42">
        <f t="shared" si="13"/>
        <v>1.2313465689750254</v>
      </c>
      <c r="W285" s="32">
        <v>161</v>
      </c>
      <c r="X285" s="32">
        <v>91</v>
      </c>
      <c r="Y285" s="32">
        <v>44</v>
      </c>
      <c r="Z285" s="32">
        <v>15</v>
      </c>
    </row>
    <row r="286" spans="1:26" ht="14.4">
      <c r="A286" s="27">
        <v>258</v>
      </c>
      <c r="B286" s="27">
        <v>72</v>
      </c>
      <c r="C286" s="27">
        <v>47.6</v>
      </c>
      <c r="D286" s="27">
        <v>8.1999999999999993</v>
      </c>
      <c r="E286" s="30" t="s">
        <v>113</v>
      </c>
      <c r="F286" s="305"/>
      <c r="G286" s="30" t="s">
        <v>412</v>
      </c>
      <c r="H286" s="31" t="s">
        <v>401</v>
      </c>
      <c r="I286" s="30">
        <v>4.2</v>
      </c>
      <c r="J286" s="32">
        <v>4.0307101727447199</v>
      </c>
      <c r="K286" s="33">
        <v>1181.5</v>
      </c>
      <c r="L286" s="33">
        <v>697.5</v>
      </c>
      <c r="M286" s="33">
        <v>1185.5999999999999</v>
      </c>
      <c r="N286" s="32">
        <v>63.03</v>
      </c>
      <c r="O286" s="32">
        <v>63.17</v>
      </c>
      <c r="P286" s="32">
        <v>62.89</v>
      </c>
      <c r="Q286" s="32">
        <v>62.83</v>
      </c>
      <c r="R286" s="32">
        <v>62.98</v>
      </c>
      <c r="S286" s="32">
        <v>11.36</v>
      </c>
      <c r="T286" s="42">
        <f t="shared" si="13"/>
        <v>1.1340158780565257</v>
      </c>
      <c r="W286" s="32">
        <v>161</v>
      </c>
      <c r="X286" s="32">
        <v>91</v>
      </c>
      <c r="Y286" s="32">
        <v>44</v>
      </c>
      <c r="Z286" s="32">
        <v>15</v>
      </c>
    </row>
    <row r="287" spans="1:26" ht="14.4">
      <c r="A287" s="27">
        <v>258</v>
      </c>
      <c r="B287" s="27">
        <v>72</v>
      </c>
      <c r="C287" s="27">
        <v>47.6</v>
      </c>
      <c r="D287" s="27">
        <v>8.1999999999999993</v>
      </c>
      <c r="E287" s="30" t="s">
        <v>113</v>
      </c>
      <c r="F287" s="305"/>
      <c r="G287" s="30" t="s">
        <v>412</v>
      </c>
      <c r="H287" s="31" t="s">
        <v>299</v>
      </c>
      <c r="I287" s="30">
        <v>4.2</v>
      </c>
      <c r="J287" s="32">
        <v>4.0307101727447199</v>
      </c>
      <c r="K287" s="33">
        <v>1185.4000000000001</v>
      </c>
      <c r="L287" s="33">
        <v>699</v>
      </c>
      <c r="M287" s="33">
        <v>1189.5</v>
      </c>
      <c r="N287" s="32">
        <v>63.65</v>
      </c>
      <c r="O287" s="32">
        <v>63.71</v>
      </c>
      <c r="P287" s="32">
        <v>63.7</v>
      </c>
      <c r="Q287" s="32">
        <v>63.54</v>
      </c>
      <c r="R287" s="32">
        <v>63.65</v>
      </c>
      <c r="S287" s="32">
        <v>12.45</v>
      </c>
      <c r="T287" s="42">
        <f t="shared" si="13"/>
        <v>1.2297431264728986</v>
      </c>
      <c r="W287" s="32">
        <v>161</v>
      </c>
      <c r="X287" s="32">
        <v>91</v>
      </c>
      <c r="Y287" s="32">
        <v>44</v>
      </c>
      <c r="Z287" s="32">
        <v>15</v>
      </c>
    </row>
    <row r="288" spans="1:26" ht="14.4">
      <c r="A288" s="27">
        <v>161</v>
      </c>
      <c r="B288" s="27">
        <v>91</v>
      </c>
      <c r="C288" s="27">
        <v>44</v>
      </c>
      <c r="D288" s="27">
        <v>15</v>
      </c>
      <c r="E288" s="30" t="s">
        <v>113</v>
      </c>
      <c r="F288" s="305"/>
      <c r="G288" s="30" t="s">
        <v>413</v>
      </c>
      <c r="H288" s="31" t="s">
        <v>397</v>
      </c>
      <c r="I288" s="30">
        <v>4.2</v>
      </c>
      <c r="J288" s="32">
        <v>4.0307101727447199</v>
      </c>
      <c r="K288" s="33">
        <v>1183.9000000000001</v>
      </c>
      <c r="L288" s="33">
        <v>701.3</v>
      </c>
      <c r="M288" s="33">
        <v>1187.8</v>
      </c>
      <c r="N288" s="32">
        <v>62.78</v>
      </c>
      <c r="O288" s="32">
        <v>62.75</v>
      </c>
      <c r="P288" s="32">
        <v>62.88</v>
      </c>
      <c r="Q288" s="32">
        <v>62.97</v>
      </c>
      <c r="R288" s="32">
        <v>62.844999999999999</v>
      </c>
      <c r="S288" s="32">
        <v>11.33</v>
      </c>
      <c r="T288" s="42">
        <f t="shared" si="13"/>
        <v>1.1334507120693769</v>
      </c>
      <c r="U288" s="34">
        <f>V288/V289</f>
        <v>0.92630533214225053</v>
      </c>
      <c r="V288" s="32">
        <f>AVERAGE(T288,T290,T292)</f>
        <v>1.1557364298888955</v>
      </c>
      <c r="W288" s="32">
        <v>161</v>
      </c>
      <c r="X288" s="32">
        <v>91</v>
      </c>
      <c r="Y288" s="32">
        <v>44</v>
      </c>
      <c r="Z288" s="32">
        <v>15</v>
      </c>
    </row>
    <row r="289" spans="1:26" ht="14.4">
      <c r="A289" s="27">
        <v>161</v>
      </c>
      <c r="B289" s="27">
        <v>91</v>
      </c>
      <c r="C289" s="27">
        <v>44</v>
      </c>
      <c r="D289" s="27">
        <v>15</v>
      </c>
      <c r="E289" s="30" t="s">
        <v>113</v>
      </c>
      <c r="F289" s="305"/>
      <c r="G289" s="30" t="s">
        <v>413</v>
      </c>
      <c r="H289" s="31" t="s">
        <v>295</v>
      </c>
      <c r="I289" s="30">
        <v>4.2</v>
      </c>
      <c r="J289" s="32">
        <v>4.0307101727447199</v>
      </c>
      <c r="K289" s="33">
        <v>1176.7</v>
      </c>
      <c r="L289" s="33">
        <v>700.1</v>
      </c>
      <c r="M289" s="33">
        <v>1182.7</v>
      </c>
      <c r="N289" s="32">
        <v>64.17</v>
      </c>
      <c r="O289" s="32">
        <v>63.96</v>
      </c>
      <c r="P289" s="32">
        <v>63.86</v>
      </c>
      <c r="Q289" s="32">
        <v>63.97</v>
      </c>
      <c r="R289" s="32">
        <v>63.99</v>
      </c>
      <c r="S289" s="32">
        <v>12.4</v>
      </c>
      <c r="T289" s="42">
        <f t="shared" si="13"/>
        <v>1.2182966088451319</v>
      </c>
      <c r="V289" s="32">
        <f>AVERAGE(T289,T291,T293)</f>
        <v>1.2476840948502839</v>
      </c>
      <c r="W289" s="32">
        <v>161</v>
      </c>
      <c r="X289" s="32">
        <v>91</v>
      </c>
      <c r="Y289" s="32">
        <v>44</v>
      </c>
      <c r="Z289" s="32">
        <v>15</v>
      </c>
    </row>
    <row r="290" spans="1:26" ht="14.4">
      <c r="A290" s="27">
        <v>161</v>
      </c>
      <c r="B290" s="27">
        <v>91</v>
      </c>
      <c r="C290" s="27">
        <v>44</v>
      </c>
      <c r="D290" s="27">
        <v>15</v>
      </c>
      <c r="E290" s="30" t="s">
        <v>113</v>
      </c>
      <c r="F290" s="305"/>
      <c r="G290" s="30" t="s">
        <v>413</v>
      </c>
      <c r="H290" s="31" t="s">
        <v>399</v>
      </c>
      <c r="I290" s="30">
        <v>4.2</v>
      </c>
      <c r="J290" s="32">
        <v>4.0307101727447199</v>
      </c>
      <c r="K290" s="33">
        <v>1184.2</v>
      </c>
      <c r="L290" s="33">
        <v>702.6</v>
      </c>
      <c r="M290" s="33">
        <v>1188.5</v>
      </c>
      <c r="N290" s="32">
        <v>63.04</v>
      </c>
      <c r="O290" s="32">
        <v>63.03</v>
      </c>
      <c r="P290" s="32">
        <v>63.05</v>
      </c>
      <c r="Q290" s="32">
        <v>63.29</v>
      </c>
      <c r="R290" s="32">
        <v>63.102499999999999</v>
      </c>
      <c r="S290" s="32">
        <v>11.73</v>
      </c>
      <c r="T290" s="42">
        <f t="shared" si="13"/>
        <v>1.1686781030862485</v>
      </c>
      <c r="W290" s="32">
        <v>161</v>
      </c>
      <c r="X290" s="32">
        <v>91</v>
      </c>
      <c r="Y290" s="32">
        <v>44</v>
      </c>
      <c r="Z290" s="32">
        <v>15</v>
      </c>
    </row>
    <row r="291" spans="1:26" ht="14.4">
      <c r="A291" s="27">
        <v>161</v>
      </c>
      <c r="B291" s="27">
        <v>91</v>
      </c>
      <c r="C291" s="27">
        <v>44</v>
      </c>
      <c r="D291" s="27">
        <v>15</v>
      </c>
      <c r="E291" s="30" t="s">
        <v>113</v>
      </c>
      <c r="F291" s="305"/>
      <c r="G291" s="30" t="s">
        <v>413</v>
      </c>
      <c r="H291" s="31" t="s">
        <v>297</v>
      </c>
      <c r="I291" s="30">
        <v>4.2</v>
      </c>
      <c r="J291" s="32">
        <v>4.0307101727447199</v>
      </c>
      <c r="K291" s="33">
        <v>1185.2</v>
      </c>
      <c r="L291" s="33">
        <v>701.3</v>
      </c>
      <c r="M291" s="33">
        <v>1189.0999999999999</v>
      </c>
      <c r="N291" s="32">
        <v>62.7</v>
      </c>
      <c r="O291" s="32">
        <v>62.54</v>
      </c>
      <c r="P291" s="32">
        <v>62.45</v>
      </c>
      <c r="Q291" s="32">
        <v>62.63</v>
      </c>
      <c r="R291" s="32">
        <v>62.58</v>
      </c>
      <c r="S291" s="32">
        <v>12.62</v>
      </c>
      <c r="T291" s="42">
        <f t="shared" si="13"/>
        <v>1.2678481943112816</v>
      </c>
      <c r="W291" s="32">
        <v>161</v>
      </c>
      <c r="X291" s="32">
        <v>91</v>
      </c>
      <c r="Y291" s="32">
        <v>44</v>
      </c>
      <c r="Z291" s="32">
        <v>15</v>
      </c>
    </row>
    <row r="292" spans="1:26" ht="14.4">
      <c r="A292" s="27">
        <v>161</v>
      </c>
      <c r="B292" s="27">
        <v>91</v>
      </c>
      <c r="C292" s="27">
        <v>44</v>
      </c>
      <c r="D292" s="27">
        <v>15</v>
      </c>
      <c r="E292" s="30" t="s">
        <v>113</v>
      </c>
      <c r="F292" s="305"/>
      <c r="G292" s="30" t="s">
        <v>413</v>
      </c>
      <c r="H292" s="31" t="s">
        <v>401</v>
      </c>
      <c r="I292" s="30">
        <v>4.2</v>
      </c>
      <c r="J292" s="32">
        <v>4.0307101727447199</v>
      </c>
      <c r="K292" s="33">
        <v>1182.9000000000001</v>
      </c>
      <c r="L292" s="33">
        <v>700.6</v>
      </c>
      <c r="M292" s="33">
        <v>1185.5</v>
      </c>
      <c r="N292" s="32">
        <v>62.59</v>
      </c>
      <c r="O292" s="32">
        <v>62.3</v>
      </c>
      <c r="P292" s="32">
        <v>62.26</v>
      </c>
      <c r="Q292" s="32">
        <v>62.37</v>
      </c>
      <c r="R292" s="32">
        <v>62.38</v>
      </c>
      <c r="S292" s="32">
        <v>11.56</v>
      </c>
      <c r="T292" s="42">
        <f t="shared" si="13"/>
        <v>1.1650804745110612</v>
      </c>
      <c r="W292" s="32">
        <v>161</v>
      </c>
      <c r="X292" s="32">
        <v>91</v>
      </c>
      <c r="Y292" s="32">
        <v>44</v>
      </c>
      <c r="Z292" s="32">
        <v>15</v>
      </c>
    </row>
    <row r="293" spans="1:26" ht="14.4">
      <c r="A293" s="27">
        <v>161</v>
      </c>
      <c r="B293" s="27">
        <v>91</v>
      </c>
      <c r="C293" s="27">
        <v>44</v>
      </c>
      <c r="D293" s="27">
        <v>15</v>
      </c>
      <c r="E293" s="30" t="s">
        <v>113</v>
      </c>
      <c r="F293" s="305"/>
      <c r="G293" s="30" t="s">
        <v>413</v>
      </c>
      <c r="H293" s="31" t="s">
        <v>299</v>
      </c>
      <c r="I293" s="30">
        <v>4.2</v>
      </c>
      <c r="J293" s="32">
        <v>4.0307101727447199</v>
      </c>
      <c r="K293" s="33">
        <v>1186</v>
      </c>
      <c r="L293" s="33">
        <v>701.8</v>
      </c>
      <c r="M293" s="33">
        <v>1192.7</v>
      </c>
      <c r="N293" s="32">
        <v>63.78</v>
      </c>
      <c r="O293" s="32">
        <v>63.92</v>
      </c>
      <c r="P293" s="32">
        <v>64.180000000000007</v>
      </c>
      <c r="Q293" s="32">
        <v>63.42</v>
      </c>
      <c r="R293" s="32">
        <v>63.825000000000003</v>
      </c>
      <c r="S293" s="32">
        <v>12.76</v>
      </c>
      <c r="T293" s="42">
        <f t="shared" si="13"/>
        <v>1.2569074813944379</v>
      </c>
      <c r="W293" s="32">
        <v>161</v>
      </c>
      <c r="X293" s="32">
        <v>91</v>
      </c>
      <c r="Y293" s="32">
        <v>44</v>
      </c>
      <c r="Z293" s="32">
        <v>15</v>
      </c>
    </row>
    <row r="294" spans="1:26" ht="14.4">
      <c r="E294" s="30" t="s">
        <v>113</v>
      </c>
      <c r="F294" s="305"/>
      <c r="G294" s="30" t="s">
        <v>414</v>
      </c>
      <c r="H294" s="31" t="s">
        <v>397</v>
      </c>
      <c r="I294" s="30">
        <v>4.2</v>
      </c>
      <c r="J294" s="32">
        <v>4.0307101727447199</v>
      </c>
      <c r="K294" s="33">
        <v>1204.0999999999999</v>
      </c>
      <c r="L294" s="33">
        <v>716.3</v>
      </c>
      <c r="M294" s="33">
        <v>1206.5999999999999</v>
      </c>
      <c r="N294" s="32">
        <v>62.13</v>
      </c>
      <c r="O294" s="32">
        <v>62.1</v>
      </c>
      <c r="P294" s="32">
        <v>62</v>
      </c>
      <c r="Q294" s="32">
        <v>62.2</v>
      </c>
      <c r="R294" s="32">
        <v>62.107500000000002</v>
      </c>
      <c r="S294" s="32">
        <v>12.24</v>
      </c>
      <c r="T294" s="42">
        <f t="shared" si="13"/>
        <v>1.2390271706315661</v>
      </c>
      <c r="U294" s="34">
        <f>V294/V295</f>
        <v>0.9158704283199004</v>
      </c>
      <c r="V294" s="32">
        <f>AVERAGE(T294,T296,T298)</f>
        <v>1.2162228322441286</v>
      </c>
      <c r="W294" s="32">
        <v>161</v>
      </c>
      <c r="X294" s="32">
        <v>91</v>
      </c>
      <c r="Y294" s="32">
        <v>44</v>
      </c>
      <c r="Z294" s="32">
        <v>15</v>
      </c>
    </row>
    <row r="295" spans="1:26" ht="14.4">
      <c r="E295" s="30" t="s">
        <v>113</v>
      </c>
      <c r="F295" s="305"/>
      <c r="G295" s="30" t="s">
        <v>414</v>
      </c>
      <c r="H295" s="31" t="s">
        <v>295</v>
      </c>
      <c r="I295" s="30">
        <v>4.2</v>
      </c>
      <c r="J295" s="32">
        <v>4.0307101727447199</v>
      </c>
      <c r="K295" s="33">
        <v>1195.0999999999999</v>
      </c>
      <c r="L295" s="33">
        <v>711.2</v>
      </c>
      <c r="M295" s="33">
        <v>1197.9000000000001</v>
      </c>
      <c r="N295" s="32">
        <v>62.57</v>
      </c>
      <c r="O295" s="32">
        <v>62.34</v>
      </c>
      <c r="P295" s="32">
        <v>62.35</v>
      </c>
      <c r="Q295" s="32">
        <v>62.59</v>
      </c>
      <c r="R295" s="32">
        <v>62.462499999999999</v>
      </c>
      <c r="S295" s="32">
        <v>13.44</v>
      </c>
      <c r="T295" s="42">
        <f t="shared" si="13"/>
        <v>1.3527681408845307</v>
      </c>
      <c r="V295" s="32">
        <f>AVERAGE(T295,T297,T299)</f>
        <v>1.3279420261173882</v>
      </c>
      <c r="W295" s="32">
        <v>161</v>
      </c>
      <c r="X295" s="32">
        <v>91</v>
      </c>
      <c r="Y295" s="32">
        <v>44</v>
      </c>
      <c r="Z295" s="32">
        <v>15</v>
      </c>
    </row>
    <row r="296" spans="1:26" ht="14.4">
      <c r="E296" s="30" t="s">
        <v>113</v>
      </c>
      <c r="F296" s="305"/>
      <c r="G296" s="30" t="s">
        <v>414</v>
      </c>
      <c r="H296" s="31" t="s">
        <v>399</v>
      </c>
      <c r="I296" s="30">
        <v>4.2</v>
      </c>
      <c r="J296" s="32">
        <v>4.0307101727447199</v>
      </c>
      <c r="K296" s="33">
        <v>1207.5</v>
      </c>
      <c r="L296" s="33">
        <v>718.4</v>
      </c>
      <c r="M296" s="33">
        <v>1210.2</v>
      </c>
      <c r="N296" s="32">
        <v>62.34</v>
      </c>
      <c r="O296" s="32">
        <v>62.22</v>
      </c>
      <c r="P296" s="32">
        <v>62.24</v>
      </c>
      <c r="Q296" s="32">
        <v>62.36</v>
      </c>
      <c r="R296" s="32">
        <v>62.29</v>
      </c>
      <c r="S296" s="32">
        <v>11.3</v>
      </c>
      <c r="T296" s="42">
        <f t="shared" si="13"/>
        <v>1.1405217530903839</v>
      </c>
      <c r="W296" s="32">
        <v>161</v>
      </c>
      <c r="X296" s="32">
        <v>91</v>
      </c>
      <c r="Y296" s="32">
        <v>44</v>
      </c>
      <c r="Z296" s="32">
        <v>15</v>
      </c>
    </row>
    <row r="297" spans="1:26" ht="14.4">
      <c r="E297" s="30" t="s">
        <v>113</v>
      </c>
      <c r="F297" s="305"/>
      <c r="G297" s="30" t="s">
        <v>414</v>
      </c>
      <c r="H297" s="31" t="s">
        <v>297</v>
      </c>
      <c r="I297" s="30">
        <v>4.2</v>
      </c>
      <c r="J297" s="32">
        <v>4.0307101727447199</v>
      </c>
      <c r="K297" s="33">
        <v>1202.5</v>
      </c>
      <c r="L297" s="33">
        <v>715.9</v>
      </c>
      <c r="M297" s="33">
        <v>1206.5</v>
      </c>
      <c r="N297" s="32">
        <v>63.48</v>
      </c>
      <c r="O297" s="32">
        <v>63.61</v>
      </c>
      <c r="P297" s="32">
        <v>63.34</v>
      </c>
      <c r="Q297" s="32">
        <v>63.55</v>
      </c>
      <c r="R297" s="32">
        <v>63.494999999999997</v>
      </c>
      <c r="S297" s="32">
        <v>13.17</v>
      </c>
      <c r="T297" s="42">
        <f t="shared" si="13"/>
        <v>1.3040363808173874</v>
      </c>
      <c r="W297" s="32">
        <v>161</v>
      </c>
      <c r="X297" s="32">
        <v>91</v>
      </c>
      <c r="Y297" s="32">
        <v>44</v>
      </c>
      <c r="Z297" s="32">
        <v>15</v>
      </c>
    </row>
    <row r="298" spans="1:26" ht="14.4">
      <c r="E298" s="30" t="s">
        <v>113</v>
      </c>
      <c r="F298" s="305"/>
      <c r="G298" s="30" t="s">
        <v>414</v>
      </c>
      <c r="H298" s="31" t="s">
        <v>401</v>
      </c>
      <c r="I298" s="30">
        <v>4.2</v>
      </c>
      <c r="J298" s="32">
        <v>4.0307101727447199</v>
      </c>
      <c r="K298" s="33">
        <v>1204.4000000000001</v>
      </c>
      <c r="L298" s="33">
        <v>716.7</v>
      </c>
      <c r="M298" s="33">
        <v>1207.4000000000001</v>
      </c>
      <c r="N298" s="32">
        <v>62.77</v>
      </c>
      <c r="O298" s="32">
        <v>62.8</v>
      </c>
      <c r="P298" s="32">
        <v>62.93</v>
      </c>
      <c r="Q298" s="32">
        <v>62.56</v>
      </c>
      <c r="R298" s="32">
        <v>62.765000000000001</v>
      </c>
      <c r="S298" s="32">
        <v>12.67</v>
      </c>
      <c r="T298" s="42">
        <f t="shared" si="13"/>
        <v>1.2691195730104357</v>
      </c>
      <c r="W298" s="32">
        <v>161</v>
      </c>
      <c r="X298" s="32">
        <v>91</v>
      </c>
      <c r="Y298" s="32">
        <v>44</v>
      </c>
      <c r="Z298" s="32">
        <v>15</v>
      </c>
    </row>
    <row r="299" spans="1:26" ht="14.4">
      <c r="E299" s="30" t="s">
        <v>113</v>
      </c>
      <c r="F299" s="306"/>
      <c r="G299" s="30" t="s">
        <v>414</v>
      </c>
      <c r="H299" s="31" t="s">
        <v>299</v>
      </c>
      <c r="I299" s="30">
        <v>4.2</v>
      </c>
      <c r="J299" s="32">
        <v>4.0307101727447199</v>
      </c>
      <c r="K299" s="33">
        <v>1208.8</v>
      </c>
      <c r="L299" s="33">
        <v>720.4</v>
      </c>
      <c r="M299" s="33">
        <v>1212</v>
      </c>
      <c r="N299" s="32">
        <v>63.38</v>
      </c>
      <c r="O299" s="32">
        <v>63.52</v>
      </c>
      <c r="P299" s="32">
        <v>63.55</v>
      </c>
      <c r="Q299" s="32">
        <v>63.3</v>
      </c>
      <c r="R299" s="32">
        <v>63.4375</v>
      </c>
      <c r="S299" s="32">
        <v>13.39</v>
      </c>
      <c r="T299" s="42">
        <f t="shared" si="13"/>
        <v>1.3270215566502463</v>
      </c>
      <c r="W299" s="32">
        <v>161</v>
      </c>
      <c r="X299" s="32">
        <v>91</v>
      </c>
      <c r="Y299" s="32">
        <v>44</v>
      </c>
      <c r="Z299" s="32">
        <v>15</v>
      </c>
    </row>
    <row r="300" spans="1:26" ht="14.4">
      <c r="E300" s="30" t="s">
        <v>113</v>
      </c>
      <c r="F300" s="304" t="s">
        <v>260</v>
      </c>
      <c r="G300" s="30" t="s">
        <v>313</v>
      </c>
      <c r="H300" s="31" t="s">
        <v>397</v>
      </c>
      <c r="I300" s="30">
        <v>4.2</v>
      </c>
      <c r="J300" s="32">
        <v>4.0307101727447199</v>
      </c>
      <c r="K300" s="33">
        <v>1187.4000000000001</v>
      </c>
      <c r="L300" s="33">
        <v>703.4</v>
      </c>
      <c r="M300" s="33">
        <v>1190.5</v>
      </c>
      <c r="N300" s="32">
        <v>63.44</v>
      </c>
      <c r="O300" s="32">
        <v>63.36</v>
      </c>
      <c r="P300" s="32">
        <v>63.28</v>
      </c>
      <c r="Q300" s="32">
        <v>63.51</v>
      </c>
      <c r="R300" s="32">
        <v>63.397500000000001</v>
      </c>
      <c r="S300" s="32">
        <v>12.24</v>
      </c>
      <c r="T300" s="42">
        <f t="shared" si="13"/>
        <v>1.213815686738436</v>
      </c>
      <c r="U300" s="34">
        <f>V300/V301</f>
        <v>0.9279484961839497</v>
      </c>
      <c r="V300" s="32">
        <f>AVERAGE(T300,T302,T304,T306)</f>
        <v>1.2347254880736056</v>
      </c>
      <c r="W300" s="32">
        <v>161</v>
      </c>
      <c r="X300" s="32">
        <v>91</v>
      </c>
      <c r="Y300" s="32">
        <v>44</v>
      </c>
      <c r="Z300" s="32">
        <v>15</v>
      </c>
    </row>
    <row r="301" spans="1:26" ht="14.4">
      <c r="E301" s="30" t="s">
        <v>113</v>
      </c>
      <c r="F301" s="305"/>
      <c r="G301" s="30" t="s">
        <v>313</v>
      </c>
      <c r="H301" s="31" t="s">
        <v>295</v>
      </c>
      <c r="I301" s="30">
        <v>4.2</v>
      </c>
      <c r="J301" s="32">
        <v>4.0307101727447199</v>
      </c>
      <c r="K301" s="33">
        <v>1183.2</v>
      </c>
      <c r="L301" s="33">
        <v>703.4</v>
      </c>
      <c r="M301" s="33">
        <v>1185.4000000000001</v>
      </c>
      <c r="N301" s="32">
        <v>61.66</v>
      </c>
      <c r="O301" s="32">
        <v>61.9</v>
      </c>
      <c r="P301" s="32">
        <v>62.09</v>
      </c>
      <c r="Q301" s="32">
        <v>61.95</v>
      </c>
      <c r="R301" s="32">
        <v>61.9</v>
      </c>
      <c r="S301" s="32">
        <v>13.44</v>
      </c>
      <c r="T301" s="42">
        <f t="shared" si="13"/>
        <v>1.3650610662358642</v>
      </c>
      <c r="V301" s="32">
        <f>AVERAGE(T301,T303,T305)</f>
        <v>1.3305970031216503</v>
      </c>
      <c r="W301" s="32">
        <v>161</v>
      </c>
      <c r="X301" s="32">
        <v>91</v>
      </c>
      <c r="Y301" s="32">
        <v>44</v>
      </c>
      <c r="Z301" s="32">
        <v>15</v>
      </c>
    </row>
    <row r="302" spans="1:26" ht="14.4">
      <c r="E302" s="30" t="s">
        <v>113</v>
      </c>
      <c r="F302" s="305"/>
      <c r="G302" s="30" t="s">
        <v>313</v>
      </c>
      <c r="H302" s="31" t="s">
        <v>399</v>
      </c>
      <c r="I302" s="30">
        <v>4.2</v>
      </c>
      <c r="J302" s="32">
        <v>4.0307101727447199</v>
      </c>
      <c r="K302" s="33">
        <v>1186.7</v>
      </c>
      <c r="L302" s="33">
        <v>701.7</v>
      </c>
      <c r="M302" s="33">
        <v>1189.3</v>
      </c>
      <c r="N302" s="32">
        <v>63.25</v>
      </c>
      <c r="O302" s="32">
        <v>63</v>
      </c>
      <c r="P302" s="32">
        <v>63.14</v>
      </c>
      <c r="Q302" s="32">
        <v>63.23</v>
      </c>
      <c r="R302" s="32">
        <v>63.155000000000001</v>
      </c>
      <c r="S302" s="32">
        <v>11.3</v>
      </c>
      <c r="T302" s="42">
        <f t="shared" si="13"/>
        <v>1.124900641279392</v>
      </c>
      <c r="W302" s="32">
        <v>161</v>
      </c>
      <c r="X302" s="32">
        <v>91</v>
      </c>
      <c r="Y302" s="32">
        <v>44</v>
      </c>
      <c r="Z302" s="32">
        <v>15</v>
      </c>
    </row>
    <row r="303" spans="1:26" ht="14.4">
      <c r="E303" s="30" t="s">
        <v>113</v>
      </c>
      <c r="F303" s="305"/>
      <c r="G303" s="30" t="s">
        <v>313</v>
      </c>
      <c r="H303" s="31" t="s">
        <v>297</v>
      </c>
      <c r="I303" s="30">
        <v>4.2</v>
      </c>
      <c r="J303" s="32">
        <v>4.0307101727447199</v>
      </c>
      <c r="K303" s="33">
        <v>1183</v>
      </c>
      <c r="L303" s="33">
        <v>701.5</v>
      </c>
      <c r="M303" s="33">
        <v>1186.5</v>
      </c>
      <c r="N303" s="32">
        <v>62.98</v>
      </c>
      <c r="O303" s="32">
        <v>62.8</v>
      </c>
      <c r="P303" s="32">
        <v>63.02</v>
      </c>
      <c r="Q303" s="32">
        <v>63.09</v>
      </c>
      <c r="R303" s="32">
        <v>62.972499999999997</v>
      </c>
      <c r="S303" s="32">
        <v>13.17</v>
      </c>
      <c r="T303" s="42">
        <f t="shared" si="13"/>
        <v>1.3148563261741237</v>
      </c>
      <c r="W303" s="32">
        <v>161</v>
      </c>
      <c r="X303" s="32">
        <v>91</v>
      </c>
      <c r="Y303" s="32">
        <v>44</v>
      </c>
      <c r="Z303" s="32">
        <v>15</v>
      </c>
    </row>
    <row r="304" spans="1:26" ht="14.4">
      <c r="E304" s="30" t="s">
        <v>113</v>
      </c>
      <c r="F304" s="305"/>
      <c r="G304" s="30" t="s">
        <v>313</v>
      </c>
      <c r="H304" s="31" t="s">
        <v>401</v>
      </c>
      <c r="I304" s="30">
        <v>4.2</v>
      </c>
      <c r="J304" s="32">
        <v>4.0307101727447199</v>
      </c>
      <c r="K304" s="33">
        <v>1188</v>
      </c>
      <c r="L304" s="33">
        <v>704</v>
      </c>
      <c r="M304" s="33">
        <v>1191.4000000000001</v>
      </c>
      <c r="N304" s="32">
        <v>62.65</v>
      </c>
      <c r="O304" s="32">
        <v>62.51</v>
      </c>
      <c r="P304" s="32">
        <v>62.45</v>
      </c>
      <c r="Q304" s="32">
        <v>62.56</v>
      </c>
      <c r="R304" s="32">
        <v>62.542499999999997</v>
      </c>
      <c r="S304" s="32">
        <v>12.67</v>
      </c>
      <c r="T304" s="42">
        <f t="shared" si="13"/>
        <v>1.2736345684934245</v>
      </c>
      <c r="W304" s="32">
        <v>161</v>
      </c>
      <c r="X304" s="32">
        <v>91</v>
      </c>
      <c r="Y304" s="32">
        <v>44</v>
      </c>
      <c r="Z304" s="32">
        <v>15</v>
      </c>
    </row>
    <row r="305" spans="5:26" ht="14.4">
      <c r="E305" s="30" t="s">
        <v>113</v>
      </c>
      <c r="F305" s="305"/>
      <c r="G305" s="30" t="s">
        <v>313</v>
      </c>
      <c r="H305" s="31" t="s">
        <v>299</v>
      </c>
      <c r="I305" s="30">
        <v>4.2</v>
      </c>
      <c r="J305" s="32">
        <v>4.0307101727447199</v>
      </c>
      <c r="K305" s="33">
        <v>1189.0999999999999</v>
      </c>
      <c r="L305" s="33">
        <v>705.8</v>
      </c>
      <c r="M305" s="33">
        <v>1193.7</v>
      </c>
      <c r="N305" s="32">
        <v>63.99</v>
      </c>
      <c r="O305" s="32">
        <v>64.319999999999993</v>
      </c>
      <c r="P305" s="32">
        <v>64.290000000000006</v>
      </c>
      <c r="Q305" s="32">
        <v>64.08</v>
      </c>
      <c r="R305" s="32">
        <v>64.17</v>
      </c>
      <c r="S305" s="32">
        <v>13.39</v>
      </c>
      <c r="T305" s="42">
        <f t="shared" si="13"/>
        <v>1.3118736169549634</v>
      </c>
      <c r="W305" s="32">
        <v>161</v>
      </c>
      <c r="X305" s="32">
        <v>91</v>
      </c>
      <c r="Y305" s="32">
        <v>44</v>
      </c>
      <c r="Z305" s="32">
        <v>15</v>
      </c>
    </row>
    <row r="306" spans="5:26" ht="14.4">
      <c r="E306" s="30" t="s">
        <v>113</v>
      </c>
      <c r="F306" s="306"/>
      <c r="G306" s="30" t="s">
        <v>313</v>
      </c>
      <c r="H306" s="31" t="s">
        <v>409</v>
      </c>
      <c r="I306" s="30">
        <v>4.2</v>
      </c>
      <c r="J306" s="32">
        <v>4.0307101727447199</v>
      </c>
      <c r="K306" s="33">
        <v>1190.8</v>
      </c>
      <c r="L306" s="33">
        <v>699.7</v>
      </c>
      <c r="M306" s="33">
        <v>1193.9000000000001</v>
      </c>
      <c r="N306" s="32">
        <v>63.62</v>
      </c>
      <c r="O306" s="32">
        <v>63.29</v>
      </c>
      <c r="P306" s="32">
        <v>63.34</v>
      </c>
      <c r="Q306" s="32">
        <v>63.59</v>
      </c>
      <c r="R306" s="32">
        <v>63.46</v>
      </c>
      <c r="S306" s="32">
        <v>13.39</v>
      </c>
      <c r="T306" s="42">
        <f t="shared" si="13"/>
        <v>1.3265510557831706</v>
      </c>
      <c r="W306" s="32">
        <v>161</v>
      </c>
      <c r="X306" s="32">
        <v>91</v>
      </c>
      <c r="Y306" s="32">
        <v>44</v>
      </c>
      <c r="Z306" s="32">
        <v>15</v>
      </c>
    </row>
    <row r="307" spans="5:26" ht="14.4">
      <c r="E307" s="30" t="s">
        <v>113</v>
      </c>
      <c r="F307" s="304" t="s">
        <v>261</v>
      </c>
      <c r="G307" s="30" t="s">
        <v>325</v>
      </c>
      <c r="H307" s="31" t="s">
        <v>397</v>
      </c>
      <c r="I307" s="30">
        <v>4.2</v>
      </c>
      <c r="J307" s="32">
        <v>4.0307101727447199</v>
      </c>
      <c r="K307" s="33">
        <v>1176.5</v>
      </c>
      <c r="L307" s="33">
        <v>692.1</v>
      </c>
      <c r="M307" s="33">
        <v>1180</v>
      </c>
      <c r="N307" s="32">
        <v>63.44</v>
      </c>
      <c r="O307" s="32">
        <v>63.36</v>
      </c>
      <c r="P307" s="32">
        <v>63.28</v>
      </c>
      <c r="Q307" s="32">
        <v>63.51</v>
      </c>
      <c r="R307" s="32">
        <v>63.397500000000001</v>
      </c>
      <c r="S307" s="32">
        <v>13.6</v>
      </c>
      <c r="T307" s="42">
        <f t="shared" si="13"/>
        <v>1.34868409637604</v>
      </c>
      <c r="U307" s="34">
        <f>V308/V307</f>
        <v>0.91394435011334541</v>
      </c>
      <c r="V307" s="32">
        <f>AVERAGE(T307,T309,T311)</f>
        <v>1.3947522172486184</v>
      </c>
      <c r="W307" s="32">
        <v>161</v>
      </c>
      <c r="X307" s="32">
        <v>91</v>
      </c>
      <c r="Y307" s="32">
        <v>44</v>
      </c>
      <c r="Z307" s="32">
        <v>15</v>
      </c>
    </row>
    <row r="308" spans="5:26" ht="14.4">
      <c r="E308" s="30" t="s">
        <v>113</v>
      </c>
      <c r="F308" s="305"/>
      <c r="G308" s="30" t="s">
        <v>325</v>
      </c>
      <c r="H308" s="31" t="s">
        <v>295</v>
      </c>
      <c r="I308" s="30">
        <v>4.2</v>
      </c>
      <c r="J308" s="32">
        <v>4.0307101727447199</v>
      </c>
      <c r="K308" s="33">
        <v>1177.9000000000001</v>
      </c>
      <c r="L308" s="33">
        <v>692.1</v>
      </c>
      <c r="M308" s="33">
        <v>1180.4000000000001</v>
      </c>
      <c r="N308" s="32">
        <v>61.66</v>
      </c>
      <c r="O308" s="32">
        <v>61.9</v>
      </c>
      <c r="P308" s="32">
        <v>62.09</v>
      </c>
      <c r="Q308" s="32">
        <v>61.95</v>
      </c>
      <c r="R308" s="32">
        <v>61.9</v>
      </c>
      <c r="S308" s="32">
        <v>12.73</v>
      </c>
      <c r="T308" s="42">
        <f t="shared" si="13"/>
        <v>1.292948465266559</v>
      </c>
      <c r="V308" s="32">
        <f>AVERAGE(T308,T310,T312)</f>
        <v>1.2747259087624361</v>
      </c>
      <c r="W308" s="32">
        <v>161</v>
      </c>
      <c r="X308" s="32">
        <v>91</v>
      </c>
      <c r="Y308" s="32">
        <v>44</v>
      </c>
      <c r="Z308" s="32">
        <v>15</v>
      </c>
    </row>
    <row r="309" spans="5:26" ht="14.4">
      <c r="E309" s="30" t="s">
        <v>113</v>
      </c>
      <c r="F309" s="305"/>
      <c r="G309" s="30" t="s">
        <v>325</v>
      </c>
      <c r="H309" s="31" t="s">
        <v>399</v>
      </c>
      <c r="I309" s="30">
        <v>4.2</v>
      </c>
      <c r="J309" s="32">
        <v>4.0307101727447199</v>
      </c>
      <c r="K309" s="33">
        <v>1181.9000000000001</v>
      </c>
      <c r="L309" s="33">
        <v>695.8</v>
      </c>
      <c r="M309" s="33">
        <v>1184.4000000000001</v>
      </c>
      <c r="N309" s="32">
        <v>63.25</v>
      </c>
      <c r="O309" s="32">
        <v>63</v>
      </c>
      <c r="P309" s="32">
        <v>63.14</v>
      </c>
      <c r="Q309" s="32">
        <v>63.23</v>
      </c>
      <c r="R309" s="32">
        <v>63.155000000000001</v>
      </c>
      <c r="S309" s="32">
        <v>14.64</v>
      </c>
      <c r="T309" s="42">
        <f t="shared" si="13"/>
        <v>1.4573933971973716</v>
      </c>
      <c r="W309" s="32">
        <v>161</v>
      </c>
      <c r="X309" s="32">
        <v>91</v>
      </c>
      <c r="Y309" s="32">
        <v>44</v>
      </c>
      <c r="Z309" s="32">
        <v>15</v>
      </c>
    </row>
    <row r="310" spans="5:26" ht="14.4">
      <c r="E310" s="30" t="s">
        <v>113</v>
      </c>
      <c r="F310" s="305"/>
      <c r="G310" s="30" t="s">
        <v>325</v>
      </c>
      <c r="H310" s="31" t="s">
        <v>297</v>
      </c>
      <c r="I310" s="30">
        <v>4.2</v>
      </c>
      <c r="J310" s="32">
        <v>4.0307101727447199</v>
      </c>
      <c r="K310" s="33">
        <v>1180.4000000000001</v>
      </c>
      <c r="L310" s="33">
        <v>694.6</v>
      </c>
      <c r="M310" s="33">
        <v>1184.2</v>
      </c>
      <c r="N310" s="32">
        <v>62.98</v>
      </c>
      <c r="O310" s="32">
        <v>62.8</v>
      </c>
      <c r="P310" s="32">
        <v>63.02</v>
      </c>
      <c r="Q310" s="32">
        <v>63.09</v>
      </c>
      <c r="R310" s="32">
        <v>62.972499999999997</v>
      </c>
      <c r="S310" s="32">
        <v>12.92</v>
      </c>
      <c r="T310" s="42">
        <f t="shared" si="13"/>
        <v>1.2898970185398388</v>
      </c>
      <c r="W310" s="32">
        <v>161</v>
      </c>
      <c r="X310" s="32">
        <v>91</v>
      </c>
      <c r="Y310" s="32">
        <v>44</v>
      </c>
      <c r="Z310" s="32">
        <v>15</v>
      </c>
    </row>
    <row r="311" spans="5:26" ht="14.4">
      <c r="E311" s="30" t="s">
        <v>113</v>
      </c>
      <c r="F311" s="305"/>
      <c r="G311" s="30" t="s">
        <v>325</v>
      </c>
      <c r="H311" s="31" t="s">
        <v>401</v>
      </c>
      <c r="I311" s="30">
        <v>4.2</v>
      </c>
      <c r="J311" s="32">
        <v>4.0307101727447199</v>
      </c>
      <c r="K311" s="33">
        <v>1181.7</v>
      </c>
      <c r="L311" s="33">
        <v>697.9</v>
      </c>
      <c r="M311" s="33">
        <v>1188.4000000000001</v>
      </c>
      <c r="N311" s="32">
        <v>62.65</v>
      </c>
      <c r="O311" s="32">
        <v>62.51</v>
      </c>
      <c r="P311" s="32">
        <v>62.45</v>
      </c>
      <c r="Q311" s="32">
        <v>62.56</v>
      </c>
      <c r="R311" s="32">
        <v>62.542499999999997</v>
      </c>
      <c r="S311" s="32">
        <v>13.71</v>
      </c>
      <c r="T311" s="42">
        <f t="shared" si="13"/>
        <v>1.378179158172443</v>
      </c>
      <c r="W311" s="32">
        <v>161</v>
      </c>
      <c r="X311" s="32">
        <v>91</v>
      </c>
      <c r="Y311" s="32">
        <v>44</v>
      </c>
      <c r="Z311" s="32">
        <v>15</v>
      </c>
    </row>
    <row r="312" spans="5:26" ht="14.4">
      <c r="E312" s="30" t="s">
        <v>113</v>
      </c>
      <c r="F312" s="305"/>
      <c r="G312" s="30" t="s">
        <v>325</v>
      </c>
      <c r="H312" s="31" t="s">
        <v>299</v>
      </c>
      <c r="I312" s="30">
        <v>4.2</v>
      </c>
      <c r="J312" s="32">
        <v>4.0307101727447199</v>
      </c>
      <c r="K312" s="33">
        <v>1179.5999999999999</v>
      </c>
      <c r="L312" s="33">
        <v>695</v>
      </c>
      <c r="M312" s="33">
        <v>1183.7</v>
      </c>
      <c r="N312" s="32">
        <v>63.99</v>
      </c>
      <c r="O312" s="32">
        <v>64.319999999999993</v>
      </c>
      <c r="P312" s="32">
        <v>64.290000000000006</v>
      </c>
      <c r="Q312" s="32">
        <v>64.08</v>
      </c>
      <c r="R312" s="32">
        <v>64.17</v>
      </c>
      <c r="S312" s="32">
        <v>12.67</v>
      </c>
      <c r="T312" s="42">
        <f t="shared" si="13"/>
        <v>1.2413322424809101</v>
      </c>
      <c r="W312" s="32">
        <v>161</v>
      </c>
      <c r="X312" s="32">
        <v>91</v>
      </c>
      <c r="Y312" s="32">
        <v>44</v>
      </c>
      <c r="Z312" s="32">
        <v>15</v>
      </c>
    </row>
    <row r="313" spans="5:26" ht="14.4">
      <c r="E313" s="30" t="s">
        <v>113</v>
      </c>
      <c r="F313" s="305"/>
      <c r="G313" s="30" t="s">
        <v>417</v>
      </c>
      <c r="H313" s="31" t="s">
        <v>397</v>
      </c>
      <c r="I313" s="30">
        <v>4.2</v>
      </c>
      <c r="J313" s="32">
        <v>4.0307101727447199</v>
      </c>
      <c r="K313" s="33">
        <v>1176.5</v>
      </c>
      <c r="L313" s="33">
        <v>692.1</v>
      </c>
      <c r="M313" s="33">
        <v>1180</v>
      </c>
      <c r="N313" s="32">
        <v>63.44</v>
      </c>
      <c r="O313" s="32">
        <v>63.36</v>
      </c>
      <c r="P313" s="32">
        <v>63.28</v>
      </c>
      <c r="Q313" s="32">
        <v>63.51</v>
      </c>
      <c r="R313" s="32">
        <v>63.397500000000001</v>
      </c>
      <c r="S313" s="32">
        <v>10.67</v>
      </c>
      <c r="T313" s="42">
        <f t="shared" si="13"/>
        <v>1.0581220079656137</v>
      </c>
      <c r="U313" s="34">
        <f>V313/V314</f>
        <v>0.8582212405696158</v>
      </c>
      <c r="V313" s="32">
        <f>AVERAGE(T313,T315,T317)</f>
        <v>1.0888534300396693</v>
      </c>
      <c r="W313" s="32">
        <v>258</v>
      </c>
      <c r="X313" s="32">
        <v>72</v>
      </c>
      <c r="Y313" s="32">
        <v>47.6</v>
      </c>
      <c r="Z313" s="32">
        <v>8.1999999999999993</v>
      </c>
    </row>
    <row r="314" spans="5:26" ht="14.4">
      <c r="E314" s="30" t="s">
        <v>113</v>
      </c>
      <c r="F314" s="305"/>
      <c r="G314" s="30" t="s">
        <v>417</v>
      </c>
      <c r="H314" s="31" t="s">
        <v>295</v>
      </c>
      <c r="I314" s="30">
        <v>4.2</v>
      </c>
      <c r="J314" s="32">
        <v>4.0307101727447199</v>
      </c>
      <c r="K314" s="33">
        <v>1177.9000000000001</v>
      </c>
      <c r="L314" s="33">
        <v>692.1</v>
      </c>
      <c r="M314" s="33">
        <v>1180.4000000000001</v>
      </c>
      <c r="N314" s="32">
        <v>61.66</v>
      </c>
      <c r="O314" s="32">
        <v>61.9</v>
      </c>
      <c r="P314" s="32">
        <v>62.09</v>
      </c>
      <c r="Q314" s="32">
        <v>61.95</v>
      </c>
      <c r="R314" s="32">
        <v>61.9</v>
      </c>
      <c r="S314" s="32">
        <v>12.26</v>
      </c>
      <c r="T314" s="42">
        <f t="shared" si="13"/>
        <v>1.2452119547657512</v>
      </c>
      <c r="V314" s="32">
        <f>AVERAGE(T314,T316,T318)</f>
        <v>1.2687327912287267</v>
      </c>
      <c r="W314" s="32">
        <v>258</v>
      </c>
      <c r="X314" s="32">
        <v>72</v>
      </c>
      <c r="Y314" s="32">
        <v>47.6</v>
      </c>
      <c r="Z314" s="32">
        <v>8.1999999999999993</v>
      </c>
    </row>
    <row r="315" spans="5:26" ht="14.4">
      <c r="E315" s="30" t="s">
        <v>113</v>
      </c>
      <c r="F315" s="305"/>
      <c r="G315" s="30" t="s">
        <v>417</v>
      </c>
      <c r="H315" s="31" t="s">
        <v>399</v>
      </c>
      <c r="I315" s="30">
        <v>4.2</v>
      </c>
      <c r="J315" s="32">
        <v>4.0307101727447199</v>
      </c>
      <c r="K315" s="33">
        <v>1181.9000000000001</v>
      </c>
      <c r="L315" s="33">
        <v>695.8</v>
      </c>
      <c r="M315" s="33">
        <v>1184.4000000000001</v>
      </c>
      <c r="N315" s="32">
        <v>63.25</v>
      </c>
      <c r="O315" s="32">
        <v>63</v>
      </c>
      <c r="P315" s="32">
        <v>63.14</v>
      </c>
      <c r="Q315" s="32">
        <v>63.23</v>
      </c>
      <c r="R315" s="32">
        <v>63.155000000000001</v>
      </c>
      <c r="S315" s="32">
        <v>11.41</v>
      </c>
      <c r="T315" s="42">
        <f t="shared" si="13"/>
        <v>1.1358510015042356</v>
      </c>
      <c r="W315" s="32">
        <v>258</v>
      </c>
      <c r="X315" s="32">
        <v>72</v>
      </c>
      <c r="Y315" s="32">
        <v>47.6</v>
      </c>
      <c r="Z315" s="32">
        <v>8.1999999999999993</v>
      </c>
    </row>
    <row r="316" spans="5:26" ht="14.4">
      <c r="E316" s="30" t="s">
        <v>113</v>
      </c>
      <c r="F316" s="305"/>
      <c r="G316" s="30" t="s">
        <v>417</v>
      </c>
      <c r="H316" s="31" t="s">
        <v>297</v>
      </c>
      <c r="I316" s="30">
        <v>4.2</v>
      </c>
      <c r="J316" s="32">
        <v>4.0307101727447199</v>
      </c>
      <c r="K316" s="33">
        <v>1180.4000000000001</v>
      </c>
      <c r="L316" s="33">
        <v>694.6</v>
      </c>
      <c r="M316" s="33">
        <v>1184.2</v>
      </c>
      <c r="N316" s="32">
        <v>62.98</v>
      </c>
      <c r="O316" s="32">
        <v>62.8</v>
      </c>
      <c r="P316" s="32">
        <v>63.02</v>
      </c>
      <c r="Q316" s="32">
        <v>63.09</v>
      </c>
      <c r="R316" s="32">
        <v>62.972499999999997</v>
      </c>
      <c r="S316" s="32">
        <v>12.59</v>
      </c>
      <c r="T316" s="42">
        <f t="shared" si="13"/>
        <v>1.2569507324625828</v>
      </c>
      <c r="W316" s="32">
        <v>258</v>
      </c>
      <c r="X316" s="32">
        <v>72</v>
      </c>
      <c r="Y316" s="32">
        <v>47.6</v>
      </c>
      <c r="Z316" s="32">
        <v>8.1999999999999993</v>
      </c>
    </row>
    <row r="317" spans="5:26" ht="14.4">
      <c r="E317" s="30" t="s">
        <v>113</v>
      </c>
      <c r="F317" s="305"/>
      <c r="G317" s="30" t="s">
        <v>417</v>
      </c>
      <c r="H317" s="31" t="s">
        <v>401</v>
      </c>
      <c r="I317" s="30">
        <v>4.2</v>
      </c>
      <c r="J317" s="32">
        <v>4.0307101727447199</v>
      </c>
      <c r="K317" s="33">
        <v>1181.7</v>
      </c>
      <c r="L317" s="33">
        <v>697.9</v>
      </c>
      <c r="M317" s="33">
        <v>1188.4000000000001</v>
      </c>
      <c r="N317" s="32">
        <v>62.65</v>
      </c>
      <c r="O317" s="32">
        <v>62.51</v>
      </c>
      <c r="P317" s="32">
        <v>62.45</v>
      </c>
      <c r="Q317" s="32">
        <v>62.56</v>
      </c>
      <c r="R317" s="32">
        <v>62.542499999999997</v>
      </c>
      <c r="S317" s="32">
        <v>10.67</v>
      </c>
      <c r="T317" s="42">
        <f t="shared" si="13"/>
        <v>1.0725872806491585</v>
      </c>
      <c r="W317" s="32">
        <v>258</v>
      </c>
      <c r="X317" s="32">
        <v>72</v>
      </c>
      <c r="Y317" s="32">
        <v>47.6</v>
      </c>
      <c r="Z317" s="32">
        <v>8.1999999999999993</v>
      </c>
    </row>
    <row r="318" spans="5:26" ht="14.4">
      <c r="E318" s="30" t="s">
        <v>113</v>
      </c>
      <c r="F318" s="306"/>
      <c r="G318" s="30" t="s">
        <v>417</v>
      </c>
      <c r="H318" s="31" t="s">
        <v>299</v>
      </c>
      <c r="I318" s="30">
        <v>4.2</v>
      </c>
      <c r="J318" s="32">
        <v>4.0307101727447199</v>
      </c>
      <c r="K318" s="33">
        <v>1179.5999999999999</v>
      </c>
      <c r="L318" s="33">
        <v>695</v>
      </c>
      <c r="M318" s="33">
        <v>1183.7</v>
      </c>
      <c r="N318" s="32">
        <v>63.99</v>
      </c>
      <c r="O318" s="32">
        <v>64.319999999999993</v>
      </c>
      <c r="P318" s="32">
        <v>64.290000000000006</v>
      </c>
      <c r="Q318" s="32">
        <v>64.08</v>
      </c>
      <c r="R318" s="32">
        <v>64.17</v>
      </c>
      <c r="S318" s="32">
        <v>13.31</v>
      </c>
      <c r="T318" s="42">
        <f t="shared" si="13"/>
        <v>1.3040356864578462</v>
      </c>
      <c r="W318" s="32">
        <v>258</v>
      </c>
      <c r="X318" s="32">
        <v>72</v>
      </c>
      <c r="Y318" s="32">
        <v>47.6</v>
      </c>
      <c r="Z318" s="32">
        <v>8.1999999999999993</v>
      </c>
    </row>
    <row r="319" spans="5:26" ht="14.4">
      <c r="E319" s="30" t="s">
        <v>114</v>
      </c>
      <c r="F319" s="304" t="s">
        <v>218</v>
      </c>
      <c r="G319" s="30" t="s">
        <v>314</v>
      </c>
      <c r="H319" s="31" t="s">
        <v>397</v>
      </c>
      <c r="I319" s="30">
        <v>5.2</v>
      </c>
      <c r="J319" s="32">
        <v>4.9429657794676798</v>
      </c>
      <c r="K319" s="33">
        <v>1187.4000000000001</v>
      </c>
      <c r="L319" s="33">
        <v>692.7</v>
      </c>
      <c r="M319" s="33">
        <v>1190.9000000000001</v>
      </c>
      <c r="N319" s="32">
        <v>63.7</v>
      </c>
      <c r="O319" s="32">
        <v>63.57</v>
      </c>
      <c r="P319" s="32">
        <v>63.39</v>
      </c>
      <c r="Q319" s="32">
        <v>63.97</v>
      </c>
      <c r="R319" s="32">
        <v>63.657499999999999</v>
      </c>
      <c r="S319" s="32">
        <v>13.43</v>
      </c>
      <c r="T319" s="42">
        <f t="shared" si="13"/>
        <v>1.3263858932568826</v>
      </c>
      <c r="U319" s="34">
        <f>V319/V320</f>
        <v>0.73944701187466622</v>
      </c>
      <c r="V319" s="32">
        <f>AVERAGE(T319,T321,T323)</f>
        <v>1.25540560090814</v>
      </c>
      <c r="W319" s="32">
        <v>258</v>
      </c>
      <c r="X319" s="32">
        <v>72</v>
      </c>
      <c r="Y319" s="32">
        <v>47.6</v>
      </c>
      <c r="Z319" s="32">
        <v>8.1999999999999993</v>
      </c>
    </row>
    <row r="320" spans="5:26" ht="14.4">
      <c r="E320" s="30" t="s">
        <v>114</v>
      </c>
      <c r="F320" s="305"/>
      <c r="G320" s="30" t="s">
        <v>314</v>
      </c>
      <c r="H320" s="31" t="s">
        <v>295</v>
      </c>
      <c r="I320" s="30">
        <v>5.2</v>
      </c>
      <c r="J320" s="32">
        <v>4.9429657794676798</v>
      </c>
      <c r="K320" s="33">
        <v>1198.5999999999999</v>
      </c>
      <c r="L320" s="33">
        <v>700.3</v>
      </c>
      <c r="M320" s="33">
        <v>1200.8</v>
      </c>
      <c r="N320" s="32">
        <v>62.71</v>
      </c>
      <c r="O320" s="32">
        <v>63.2</v>
      </c>
      <c r="P320" s="32">
        <v>63.17</v>
      </c>
      <c r="Q320" s="32">
        <v>63.2</v>
      </c>
      <c r="R320" s="32">
        <v>63.07</v>
      </c>
      <c r="S320" s="32">
        <v>14.01</v>
      </c>
      <c r="T320" s="42">
        <f t="shared" si="13"/>
        <v>1.3965573172665293</v>
      </c>
      <c r="V320" s="32">
        <f>AVERAGE(T320,T322,T324)</f>
        <v>1.6977627615606987</v>
      </c>
      <c r="W320" s="32">
        <v>258</v>
      </c>
      <c r="X320" s="32">
        <v>72</v>
      </c>
      <c r="Y320" s="32">
        <v>47.6</v>
      </c>
      <c r="Z320" s="32">
        <v>8.1999999999999993</v>
      </c>
    </row>
    <row r="321" spans="5:26" ht="14.4">
      <c r="E321" s="30" t="s">
        <v>114</v>
      </c>
      <c r="F321" s="305"/>
      <c r="G321" s="30" t="s">
        <v>314</v>
      </c>
      <c r="H321" s="31" t="s">
        <v>399</v>
      </c>
      <c r="I321" s="30">
        <v>5.2</v>
      </c>
      <c r="J321" s="32">
        <v>4.9429657794676798</v>
      </c>
      <c r="K321" s="33">
        <v>1196.5</v>
      </c>
      <c r="L321" s="33">
        <v>694.9</v>
      </c>
      <c r="M321" s="33">
        <v>1199.0999999999999</v>
      </c>
      <c r="N321" s="32">
        <v>64.209999999999994</v>
      </c>
      <c r="O321" s="32">
        <v>64.06</v>
      </c>
      <c r="P321" s="32">
        <v>64.25</v>
      </c>
      <c r="Q321" s="32">
        <v>63.86</v>
      </c>
      <c r="R321" s="32">
        <v>64.094999999999999</v>
      </c>
      <c r="S321" s="32">
        <v>12.93</v>
      </c>
      <c r="T321" s="42">
        <f t="shared" si="13"/>
        <v>1.2682878539667681</v>
      </c>
      <c r="W321" s="32">
        <v>258</v>
      </c>
      <c r="X321" s="32">
        <v>72</v>
      </c>
      <c r="Y321" s="32">
        <v>47.6</v>
      </c>
      <c r="Z321" s="32">
        <v>8.1999999999999993</v>
      </c>
    </row>
    <row r="322" spans="5:26" ht="14.4">
      <c r="E322" s="30" t="s">
        <v>114</v>
      </c>
      <c r="F322" s="305"/>
      <c r="G322" s="30" t="s">
        <v>314</v>
      </c>
      <c r="H322" s="31" t="s">
        <v>297</v>
      </c>
      <c r="I322" s="30">
        <v>5.2</v>
      </c>
      <c r="J322" s="32">
        <v>4.9429657794676798</v>
      </c>
      <c r="K322" s="33">
        <v>1197.4000000000001</v>
      </c>
      <c r="L322" s="33">
        <v>696.5</v>
      </c>
      <c r="M322" s="33">
        <v>1200.3</v>
      </c>
      <c r="N322" s="32">
        <v>63.03</v>
      </c>
      <c r="O322" s="32">
        <v>63.47</v>
      </c>
      <c r="P322" s="32">
        <v>64.27</v>
      </c>
      <c r="Q322" s="32">
        <v>63.28</v>
      </c>
      <c r="R322" s="32">
        <v>63.512500000000003</v>
      </c>
      <c r="S322" s="32">
        <v>19.91</v>
      </c>
      <c r="T322" s="42">
        <f t="shared" si="13"/>
        <v>1.9708588073213933</v>
      </c>
      <c r="W322" s="32">
        <v>258</v>
      </c>
      <c r="X322" s="32">
        <v>72</v>
      </c>
      <c r="Y322" s="32">
        <v>47.6</v>
      </c>
      <c r="Z322" s="32">
        <v>8.1999999999999993</v>
      </c>
    </row>
    <row r="323" spans="5:26" ht="14.4">
      <c r="E323" s="30" t="s">
        <v>114</v>
      </c>
      <c r="F323" s="305"/>
      <c r="G323" s="30" t="s">
        <v>314</v>
      </c>
      <c r="H323" s="31" t="s">
        <v>401</v>
      </c>
      <c r="I323" s="30">
        <v>5.2</v>
      </c>
      <c r="J323" s="32">
        <v>4.9429657794676798</v>
      </c>
      <c r="K323" s="33">
        <v>1195.5</v>
      </c>
      <c r="L323" s="33">
        <v>695.5</v>
      </c>
      <c r="M323" s="33">
        <v>1197.5</v>
      </c>
      <c r="N323" s="32">
        <v>63.68</v>
      </c>
      <c r="O323" s="32">
        <v>63.24</v>
      </c>
      <c r="P323" s="32">
        <v>63.07</v>
      </c>
      <c r="Q323" s="32">
        <v>63.52</v>
      </c>
      <c r="R323" s="32">
        <v>63.377499999999998</v>
      </c>
      <c r="S323" s="32">
        <v>11.81</v>
      </c>
      <c r="T323" s="42">
        <f t="shared" si="13"/>
        <v>1.1715430555007693</v>
      </c>
      <c r="W323" s="32">
        <v>258</v>
      </c>
      <c r="X323" s="32">
        <v>72</v>
      </c>
      <c r="Y323" s="32">
        <v>47.6</v>
      </c>
      <c r="Z323" s="32">
        <v>8.1999999999999993</v>
      </c>
    </row>
    <row r="324" spans="5:26" ht="14.4">
      <c r="E324" s="30" t="s">
        <v>114</v>
      </c>
      <c r="F324" s="305"/>
      <c r="G324" s="30" t="s">
        <v>314</v>
      </c>
      <c r="H324" s="31" t="s">
        <v>299</v>
      </c>
      <c r="I324" s="30">
        <v>5.2</v>
      </c>
      <c r="J324" s="32">
        <v>4.9429657794676798</v>
      </c>
      <c r="K324" s="33">
        <v>1196.5999999999999</v>
      </c>
      <c r="L324" s="33">
        <v>696.8</v>
      </c>
      <c r="M324" s="33">
        <v>1198.5999999999999</v>
      </c>
      <c r="N324" s="32">
        <v>63.7</v>
      </c>
      <c r="O324" s="32">
        <v>63.69</v>
      </c>
      <c r="P324" s="32">
        <v>63.54</v>
      </c>
      <c r="Q324" s="32">
        <v>63.92</v>
      </c>
      <c r="R324" s="32">
        <v>63.712499999999999</v>
      </c>
      <c r="S324" s="32">
        <v>17.489999999999998</v>
      </c>
      <c r="T324" s="42">
        <f t="shared" si="13"/>
        <v>1.7258721600941729</v>
      </c>
      <c r="W324" s="32">
        <v>258</v>
      </c>
      <c r="X324" s="32">
        <v>72</v>
      </c>
      <c r="Y324" s="32">
        <v>47.6</v>
      </c>
      <c r="Z324" s="32">
        <v>8.1999999999999993</v>
      </c>
    </row>
    <row r="325" spans="5:26" ht="14.4">
      <c r="E325" s="30" t="s">
        <v>114</v>
      </c>
      <c r="F325" s="305"/>
      <c r="G325" s="30" t="s">
        <v>324</v>
      </c>
      <c r="H325" s="31" t="s">
        <v>397</v>
      </c>
      <c r="I325" s="30">
        <v>5.2</v>
      </c>
      <c r="J325" s="32">
        <v>4.9429657794676798</v>
      </c>
      <c r="K325" s="33">
        <v>1188.2</v>
      </c>
      <c r="L325" s="33">
        <v>687.8</v>
      </c>
      <c r="M325" s="33">
        <v>1193</v>
      </c>
      <c r="N325" s="32">
        <v>63.53</v>
      </c>
      <c r="O325" s="32">
        <v>63.57</v>
      </c>
      <c r="P325" s="32">
        <v>63.39</v>
      </c>
      <c r="Q325" s="32">
        <v>63.97</v>
      </c>
      <c r="R325" s="32">
        <v>63.615000000000002</v>
      </c>
      <c r="S325" s="32">
        <v>12.03</v>
      </c>
      <c r="T325" s="42">
        <f t="shared" si="13"/>
        <v>1.1889115774581467</v>
      </c>
      <c r="U325" s="34">
        <f>V325/V326</f>
        <v>0.79352584497881562</v>
      </c>
      <c r="V325" s="32">
        <f>AVERAGE(T325,T327,T329)</f>
        <v>1.2212318067201906</v>
      </c>
      <c r="W325" s="32">
        <v>161</v>
      </c>
      <c r="X325" s="32">
        <v>91</v>
      </c>
      <c r="Y325" s="32">
        <v>44</v>
      </c>
      <c r="Z325" s="32">
        <v>15</v>
      </c>
    </row>
    <row r="326" spans="5:26" ht="14.4">
      <c r="E326" s="30" t="s">
        <v>114</v>
      </c>
      <c r="F326" s="305"/>
      <c r="G326" s="30" t="s">
        <v>324</v>
      </c>
      <c r="H326" s="31" t="s">
        <v>295</v>
      </c>
      <c r="I326" s="30">
        <v>5.2</v>
      </c>
      <c r="J326" s="32">
        <v>4.9429657794676798</v>
      </c>
      <c r="K326" s="33">
        <v>1173.5</v>
      </c>
      <c r="L326" s="33">
        <v>679.8</v>
      </c>
      <c r="M326" s="33">
        <v>1176.5</v>
      </c>
      <c r="N326" s="32">
        <v>62.71</v>
      </c>
      <c r="O326" s="32">
        <v>63.2</v>
      </c>
      <c r="P326" s="32">
        <v>63.17</v>
      </c>
      <c r="Q326" s="32">
        <v>63.2</v>
      </c>
      <c r="R326" s="32">
        <v>63.07</v>
      </c>
      <c r="S326" s="32">
        <v>14.33</v>
      </c>
      <c r="T326" s="42">
        <f t="shared" si="13"/>
        <v>1.4284558427144443</v>
      </c>
      <c r="V326" s="32">
        <f>AVERAGE(T326,T328,T330)</f>
        <v>1.5389943685486303</v>
      </c>
      <c r="W326" s="32">
        <v>161</v>
      </c>
      <c r="X326" s="32">
        <v>91</v>
      </c>
      <c r="Y326" s="32">
        <v>44</v>
      </c>
      <c r="Z326" s="32">
        <v>15</v>
      </c>
    </row>
    <row r="327" spans="5:26" ht="14.4">
      <c r="E327" s="30" t="s">
        <v>114</v>
      </c>
      <c r="F327" s="305"/>
      <c r="G327" s="30" t="s">
        <v>324</v>
      </c>
      <c r="H327" s="31" t="s">
        <v>399</v>
      </c>
      <c r="I327" s="30">
        <v>5.2</v>
      </c>
      <c r="J327" s="32">
        <v>4.9429657794676798</v>
      </c>
      <c r="K327" s="33">
        <v>1174.4000000000001</v>
      </c>
      <c r="L327" s="33">
        <v>679.3</v>
      </c>
      <c r="M327" s="33">
        <v>1176.2</v>
      </c>
      <c r="N327" s="32">
        <v>64.209999999999994</v>
      </c>
      <c r="O327" s="32">
        <v>64.06</v>
      </c>
      <c r="P327" s="32">
        <v>64.25</v>
      </c>
      <c r="Q327" s="32">
        <v>63.86</v>
      </c>
      <c r="R327" s="32">
        <v>64.094999999999999</v>
      </c>
      <c r="S327" s="32">
        <v>12.72</v>
      </c>
      <c r="T327" s="42">
        <f t="shared" si="13"/>
        <v>1.2476892113269367</v>
      </c>
      <c r="W327" s="32">
        <v>161</v>
      </c>
      <c r="X327" s="32">
        <v>91</v>
      </c>
      <c r="Y327" s="32">
        <v>44</v>
      </c>
      <c r="Z327" s="32">
        <v>15</v>
      </c>
    </row>
    <row r="328" spans="5:26" ht="14.4">
      <c r="E328" s="30" t="s">
        <v>114</v>
      </c>
      <c r="F328" s="305"/>
      <c r="G328" s="30" t="s">
        <v>324</v>
      </c>
      <c r="H328" s="31" t="s">
        <v>297</v>
      </c>
      <c r="I328" s="30">
        <v>5.2</v>
      </c>
      <c r="J328" s="32">
        <v>4.9429657794676798</v>
      </c>
      <c r="K328" s="33">
        <v>1182</v>
      </c>
      <c r="L328" s="33">
        <v>685.9</v>
      </c>
      <c r="M328" s="33">
        <v>1187.2</v>
      </c>
      <c r="N328" s="32">
        <v>63.03</v>
      </c>
      <c r="O328" s="32">
        <v>63.47</v>
      </c>
      <c r="P328" s="32">
        <v>64.27</v>
      </c>
      <c r="Q328" s="32">
        <v>63.28</v>
      </c>
      <c r="R328" s="32">
        <v>63.512500000000003</v>
      </c>
      <c r="S328" s="32">
        <v>16.690000000000001</v>
      </c>
      <c r="T328" s="42">
        <f t="shared" si="13"/>
        <v>1.6521161975988978</v>
      </c>
      <c r="W328" s="32">
        <v>161</v>
      </c>
      <c r="X328" s="32">
        <v>91</v>
      </c>
      <c r="Y328" s="32">
        <v>44</v>
      </c>
      <c r="Z328" s="32">
        <v>15</v>
      </c>
    </row>
    <row r="329" spans="5:26" ht="14.4">
      <c r="E329" s="30" t="s">
        <v>114</v>
      </c>
      <c r="F329" s="305"/>
      <c r="G329" s="30" t="s">
        <v>324</v>
      </c>
      <c r="H329" s="31" t="s">
        <v>401</v>
      </c>
      <c r="I329" s="30">
        <v>5.2</v>
      </c>
      <c r="J329" s="32">
        <v>4.9429657794676798</v>
      </c>
      <c r="K329" s="33">
        <v>1179.5999999999999</v>
      </c>
      <c r="L329" s="33">
        <v>682.2</v>
      </c>
      <c r="M329" s="33">
        <v>1182.4000000000001</v>
      </c>
      <c r="N329" s="32">
        <v>63.68</v>
      </c>
      <c r="O329" s="32">
        <v>63.24</v>
      </c>
      <c r="P329" s="32">
        <v>63.07</v>
      </c>
      <c r="Q329" s="32">
        <v>63.52</v>
      </c>
      <c r="R329" s="32">
        <v>63.377499999999998</v>
      </c>
      <c r="S329" s="32">
        <v>12.37</v>
      </c>
      <c r="T329" s="42">
        <f t="shared" si="13"/>
        <v>1.2270946313754882</v>
      </c>
      <c r="W329" s="32">
        <v>161</v>
      </c>
      <c r="X329" s="32">
        <v>91</v>
      </c>
      <c r="Y329" s="32">
        <v>44</v>
      </c>
      <c r="Z329" s="32">
        <v>15</v>
      </c>
    </row>
    <row r="330" spans="5:26" ht="14.4">
      <c r="E330" s="30" t="s">
        <v>114</v>
      </c>
      <c r="F330" s="306"/>
      <c r="G330" s="30" t="s">
        <v>324</v>
      </c>
      <c r="H330" s="31" t="s">
        <v>299</v>
      </c>
      <c r="I330" s="30">
        <v>5.2</v>
      </c>
      <c r="J330" s="32">
        <v>4.9429657794676798</v>
      </c>
      <c r="K330" s="33">
        <v>1179.8</v>
      </c>
      <c r="L330" s="33">
        <v>683.5</v>
      </c>
      <c r="M330" s="33">
        <v>1183.0999999999999</v>
      </c>
      <c r="N330" s="32">
        <v>63.7</v>
      </c>
      <c r="O330" s="32">
        <v>63.69</v>
      </c>
      <c r="P330" s="32">
        <v>63.54</v>
      </c>
      <c r="Q330" s="32">
        <v>63.92</v>
      </c>
      <c r="R330" s="32">
        <v>63.712499999999999</v>
      </c>
      <c r="S330" s="32">
        <v>15.57</v>
      </c>
      <c r="T330" s="42">
        <f t="shared" si="13"/>
        <v>1.5364110653325485</v>
      </c>
      <c r="W330" s="32">
        <v>161</v>
      </c>
      <c r="X330" s="32">
        <v>91</v>
      </c>
      <c r="Y330" s="32">
        <v>44</v>
      </c>
      <c r="Z330" s="32">
        <v>15</v>
      </c>
    </row>
    <row r="331" spans="5:26" ht="14.4">
      <c r="E331" s="30" t="s">
        <v>118</v>
      </c>
      <c r="F331" s="304" t="s">
        <v>218</v>
      </c>
      <c r="G331" s="30" t="s">
        <v>314</v>
      </c>
      <c r="H331" s="40" t="s">
        <v>294</v>
      </c>
      <c r="I331" s="30">
        <v>5.5</v>
      </c>
      <c r="J331" s="32">
        <v>5.2132701421800904</v>
      </c>
      <c r="K331" s="33">
        <v>1188.4000000000001</v>
      </c>
      <c r="L331" s="33">
        <v>695.7</v>
      </c>
      <c r="M331" s="33">
        <v>1191.3</v>
      </c>
      <c r="N331" s="32">
        <v>64.31</v>
      </c>
      <c r="O331" s="32">
        <v>64.09</v>
      </c>
      <c r="P331" s="32">
        <v>64.03</v>
      </c>
      <c r="Q331" s="32">
        <v>64.52</v>
      </c>
      <c r="R331" s="32">
        <v>64.239999999999995</v>
      </c>
      <c r="S331" s="32">
        <v>14.85</v>
      </c>
      <c r="T331" s="42">
        <f t="shared" si="13"/>
        <v>1.4533304794520547</v>
      </c>
      <c r="U331" s="34">
        <f>V332/V331</f>
        <v>0.89785968585043152</v>
      </c>
      <c r="V331" s="32">
        <f>AVERAGE(T331,T332)</f>
        <v>1.5203211803200869</v>
      </c>
      <c r="W331" s="32">
        <v>258</v>
      </c>
      <c r="X331" s="32">
        <v>72</v>
      </c>
      <c r="Y331" s="32">
        <v>47.6</v>
      </c>
      <c r="Z331" s="32">
        <v>8.1999999999999993</v>
      </c>
    </row>
    <row r="332" spans="5:26" ht="14.4">
      <c r="E332" s="30" t="s">
        <v>118</v>
      </c>
      <c r="F332" s="305"/>
      <c r="G332" s="30" t="s">
        <v>314</v>
      </c>
      <c r="H332" s="40" t="s">
        <v>295</v>
      </c>
      <c r="I332" s="30">
        <v>5.5</v>
      </c>
      <c r="J332" s="32">
        <v>5.2132701421800904</v>
      </c>
      <c r="K332" s="33">
        <v>1200.8</v>
      </c>
      <c r="L332" s="33">
        <v>705.8</v>
      </c>
      <c r="M332" s="33">
        <v>1204.5999999999999</v>
      </c>
      <c r="N332" s="32">
        <v>64.3</v>
      </c>
      <c r="O332" s="32">
        <v>65</v>
      </c>
      <c r="P332" s="32">
        <v>65.44</v>
      </c>
      <c r="Q332" s="32">
        <v>65.09</v>
      </c>
      <c r="R332" s="32">
        <v>64.64</v>
      </c>
      <c r="S332" s="32">
        <v>16.32</v>
      </c>
      <c r="T332" s="42">
        <f t="shared" si="13"/>
        <v>1.5873118811881188</v>
      </c>
      <c r="V332" s="32">
        <f>AVERAGE(T333,T334)</f>
        <v>1.3650350973539505</v>
      </c>
      <c r="W332" s="32">
        <v>258</v>
      </c>
      <c r="X332" s="32">
        <v>72</v>
      </c>
      <c r="Y332" s="32">
        <v>47.6</v>
      </c>
      <c r="Z332" s="32">
        <v>8.1999999999999993</v>
      </c>
    </row>
    <row r="333" spans="5:26" ht="14.4">
      <c r="E333" s="30" t="s">
        <v>118</v>
      </c>
      <c r="F333" s="305"/>
      <c r="G333" s="30" t="s">
        <v>314</v>
      </c>
      <c r="H333" s="40" t="s">
        <v>399</v>
      </c>
      <c r="I333" s="30">
        <v>5.5</v>
      </c>
      <c r="J333" s="32">
        <v>5.2132701421800904</v>
      </c>
      <c r="K333" s="33">
        <v>1199.0999999999999</v>
      </c>
      <c r="L333" s="33">
        <v>706.4</v>
      </c>
      <c r="M333" s="33">
        <v>1201.4000000000001</v>
      </c>
      <c r="N333" s="32">
        <v>63.42</v>
      </c>
      <c r="O333" s="32">
        <v>63.76</v>
      </c>
      <c r="P333" s="32">
        <v>63.62</v>
      </c>
      <c r="Q333" s="32">
        <v>63.73</v>
      </c>
      <c r="R333" s="32">
        <v>62.25</v>
      </c>
      <c r="S333" s="32">
        <v>14.46</v>
      </c>
      <c r="T333" s="42">
        <f t="shared" si="13"/>
        <v>1.4604019277108433</v>
      </c>
      <c r="W333" s="32">
        <v>258</v>
      </c>
      <c r="X333" s="32">
        <v>72</v>
      </c>
      <c r="Y333" s="32">
        <v>47.6</v>
      </c>
      <c r="Z333" s="32">
        <v>8.1999999999999993</v>
      </c>
    </row>
    <row r="334" spans="5:26" ht="14.4">
      <c r="E334" s="30" t="s">
        <v>118</v>
      </c>
      <c r="F334" s="305"/>
      <c r="G334" s="30" t="s">
        <v>314</v>
      </c>
      <c r="H334" s="40" t="s">
        <v>381</v>
      </c>
      <c r="I334" s="30">
        <v>5.5</v>
      </c>
      <c r="J334" s="32">
        <v>5.2132701421800904</v>
      </c>
      <c r="K334" s="33">
        <v>1202.2</v>
      </c>
      <c r="L334" s="33">
        <v>715.7</v>
      </c>
      <c r="M334" s="33">
        <v>1204.4000000000001</v>
      </c>
      <c r="N334" s="32">
        <v>62.12</v>
      </c>
      <c r="O334" s="32">
        <v>62.45</v>
      </c>
      <c r="P334" s="32">
        <v>62.39</v>
      </c>
      <c r="Q334" s="32">
        <v>62.47</v>
      </c>
      <c r="R334" s="32">
        <v>64.569999999999993</v>
      </c>
      <c r="S334" s="32">
        <v>13.04</v>
      </c>
      <c r="T334" s="42">
        <f t="shared" si="13"/>
        <v>1.2696682669970576</v>
      </c>
      <c r="W334" s="32">
        <v>258</v>
      </c>
      <c r="X334" s="32">
        <v>72</v>
      </c>
      <c r="Y334" s="32">
        <v>47.6</v>
      </c>
      <c r="Z334" s="32">
        <v>8.1999999999999993</v>
      </c>
    </row>
    <row r="335" spans="5:26" ht="14.4">
      <c r="E335" s="30" t="s">
        <v>118</v>
      </c>
      <c r="F335" s="305"/>
      <c r="G335" s="30" t="s">
        <v>332</v>
      </c>
      <c r="H335" s="40" t="s">
        <v>294</v>
      </c>
      <c r="I335" s="30">
        <v>5.5</v>
      </c>
      <c r="J335" s="32">
        <v>5.2132701421800904</v>
      </c>
      <c r="K335" s="33">
        <v>1203.3</v>
      </c>
      <c r="L335" s="33">
        <v>717.1</v>
      </c>
      <c r="M335" s="33">
        <v>1206.0999999999999</v>
      </c>
      <c r="N335" s="32">
        <v>63.08</v>
      </c>
      <c r="O335" s="32">
        <v>63.4</v>
      </c>
      <c r="P335" s="32">
        <v>63.36</v>
      </c>
      <c r="Q335" s="32">
        <v>63.14</v>
      </c>
      <c r="R335" s="32">
        <v>62.9</v>
      </c>
      <c r="S335" s="32">
        <v>20.02</v>
      </c>
      <c r="T335" s="42">
        <f t="shared" si="13"/>
        <v>2.0010451510333862</v>
      </c>
      <c r="U335" s="34">
        <f>V336/V335</f>
        <v>0.86561303567878922</v>
      </c>
      <c r="V335" s="32">
        <f>AVERAGE(T335,T336)</f>
        <v>2.0252867679997877</v>
      </c>
      <c r="W335" s="32">
        <v>144</v>
      </c>
      <c r="X335" s="32">
        <v>107.8</v>
      </c>
      <c r="Y335" s="32">
        <v>43.95</v>
      </c>
      <c r="Z335" s="32">
        <v>60.3</v>
      </c>
    </row>
    <row r="336" spans="5:26" ht="14.4">
      <c r="E336" s="30" t="s">
        <v>118</v>
      </c>
      <c r="F336" s="305"/>
      <c r="G336" s="30" t="s">
        <v>332</v>
      </c>
      <c r="H336" s="40" t="s">
        <v>295</v>
      </c>
      <c r="I336" s="30">
        <v>5.5</v>
      </c>
      <c r="J336" s="32">
        <v>5.2132701421800904</v>
      </c>
      <c r="K336" s="33">
        <v>1202.2</v>
      </c>
      <c r="L336" s="33">
        <v>715.2</v>
      </c>
      <c r="M336" s="33">
        <v>1204.7</v>
      </c>
      <c r="N336" s="32">
        <v>62.81</v>
      </c>
      <c r="O336" s="32">
        <v>62.46</v>
      </c>
      <c r="P336" s="32">
        <v>62.52</v>
      </c>
      <c r="Q336" s="32">
        <v>62.82</v>
      </c>
      <c r="R336" s="32">
        <v>63.59</v>
      </c>
      <c r="S336" s="32">
        <v>20.73</v>
      </c>
      <c r="T336" s="42">
        <f t="shared" si="13"/>
        <v>2.0495283849661896</v>
      </c>
      <c r="V336" s="32">
        <f>AVERAGE(T337,T338)</f>
        <v>1.75311462736838</v>
      </c>
      <c r="W336" s="32">
        <v>144</v>
      </c>
      <c r="X336" s="32">
        <v>107.8</v>
      </c>
      <c r="Y336" s="32">
        <v>43.95</v>
      </c>
      <c r="Z336" s="32">
        <v>60.3</v>
      </c>
    </row>
    <row r="337" spans="5:26" ht="14.4">
      <c r="E337" s="30" t="s">
        <v>118</v>
      </c>
      <c r="F337" s="305"/>
      <c r="G337" s="30" t="s">
        <v>332</v>
      </c>
      <c r="H337" s="40" t="s">
        <v>399</v>
      </c>
      <c r="I337" s="30">
        <v>5.5</v>
      </c>
      <c r="J337" s="32">
        <v>5.2132701421800904</v>
      </c>
      <c r="K337" s="33">
        <v>1204.9000000000001</v>
      </c>
      <c r="L337" s="33">
        <v>717.3</v>
      </c>
      <c r="M337" s="33">
        <v>1206.8</v>
      </c>
      <c r="N337" s="32">
        <v>62.76</v>
      </c>
      <c r="O337" s="32">
        <v>62.84</v>
      </c>
      <c r="P337" s="32">
        <v>62.61</v>
      </c>
      <c r="Q337" s="32">
        <v>62.5</v>
      </c>
      <c r="R337" s="32">
        <v>62.99</v>
      </c>
      <c r="S337" s="32">
        <v>17.77</v>
      </c>
      <c r="T337" s="42">
        <f t="shared" si="13"/>
        <v>1.77361470074615</v>
      </c>
      <c r="W337" s="32">
        <v>144</v>
      </c>
      <c r="X337" s="32">
        <v>107.8</v>
      </c>
      <c r="Y337" s="32">
        <v>43.95</v>
      </c>
      <c r="Z337" s="32">
        <v>60.3</v>
      </c>
    </row>
    <row r="338" spans="5:26" ht="14.4">
      <c r="E338" s="30" t="s">
        <v>118</v>
      </c>
      <c r="F338" s="305"/>
      <c r="G338" s="30" t="s">
        <v>332</v>
      </c>
      <c r="H338" s="40" t="s">
        <v>381</v>
      </c>
      <c r="I338" s="30">
        <v>5.5</v>
      </c>
      <c r="J338" s="32">
        <v>5.2132701421800904</v>
      </c>
      <c r="K338" s="33">
        <v>1205.4000000000001</v>
      </c>
      <c r="L338" s="33">
        <v>716.6</v>
      </c>
      <c r="M338" s="33">
        <v>1207.7</v>
      </c>
      <c r="N338" s="32">
        <v>62.45</v>
      </c>
      <c r="O338" s="32">
        <v>62.64</v>
      </c>
      <c r="P338" s="32">
        <v>62.89</v>
      </c>
      <c r="Q338" s="32">
        <v>62.32</v>
      </c>
      <c r="R338" s="32">
        <v>63.9</v>
      </c>
      <c r="S338" s="32">
        <v>17.61</v>
      </c>
      <c r="T338" s="42">
        <f t="shared" si="13"/>
        <v>1.7326145539906102</v>
      </c>
      <c r="W338" s="32">
        <v>144</v>
      </c>
      <c r="X338" s="32">
        <v>107.8</v>
      </c>
      <c r="Y338" s="32">
        <v>43.95</v>
      </c>
      <c r="Z338" s="32">
        <v>60.3</v>
      </c>
    </row>
    <row r="339" spans="5:26" ht="14.4">
      <c r="E339" s="30" t="s">
        <v>118</v>
      </c>
      <c r="F339" s="305"/>
      <c r="G339" s="30" t="s">
        <v>333</v>
      </c>
      <c r="H339" s="40" t="s">
        <v>294</v>
      </c>
      <c r="I339" s="30">
        <v>5.5</v>
      </c>
      <c r="J339" s="32">
        <v>5.2132701421800904</v>
      </c>
      <c r="K339" s="33">
        <v>1203.5999999999999</v>
      </c>
      <c r="L339" s="33">
        <v>714.9</v>
      </c>
      <c r="M339" s="33">
        <v>1205.8</v>
      </c>
      <c r="N339" s="32">
        <v>62.48</v>
      </c>
      <c r="O339" s="32">
        <v>62.84</v>
      </c>
      <c r="P339" s="32">
        <v>62.99</v>
      </c>
      <c r="Q339" s="32">
        <v>62.64</v>
      </c>
      <c r="R339" s="32">
        <v>64.8</v>
      </c>
      <c r="S339" s="32">
        <v>16.690000000000001</v>
      </c>
      <c r="T339" s="42">
        <f t="shared" si="13"/>
        <v>1.6192905864197531</v>
      </c>
      <c r="U339" s="34">
        <f>V340/V339</f>
        <v>0.86086883303326178</v>
      </c>
      <c r="V339" s="32">
        <f>AVERAGE(T339,T340)</f>
        <v>1.6097022316044005</v>
      </c>
      <c r="W339" s="32">
        <v>144</v>
      </c>
      <c r="X339" s="32">
        <v>107.8</v>
      </c>
      <c r="Y339" s="32">
        <v>43.95</v>
      </c>
      <c r="Z339" s="32">
        <v>60.3</v>
      </c>
    </row>
    <row r="340" spans="5:26" ht="14.4">
      <c r="E340" s="30" t="s">
        <v>118</v>
      </c>
      <c r="F340" s="305"/>
      <c r="G340" s="30" t="s">
        <v>333</v>
      </c>
      <c r="H340" s="40" t="s">
        <v>295</v>
      </c>
      <c r="I340" s="30">
        <v>5.5</v>
      </c>
      <c r="J340" s="32">
        <v>5.2132701421800904</v>
      </c>
      <c r="K340" s="33">
        <v>1203.9000000000001</v>
      </c>
      <c r="L340" s="33">
        <v>716.5</v>
      </c>
      <c r="M340" s="33">
        <v>1207.5</v>
      </c>
      <c r="N340" s="32">
        <v>63.56</v>
      </c>
      <c r="O340" s="32">
        <v>63.47</v>
      </c>
      <c r="P340" s="32">
        <v>63.55</v>
      </c>
      <c r="Q340" s="32">
        <v>63.51</v>
      </c>
      <c r="R340" s="32">
        <v>64.28</v>
      </c>
      <c r="S340" s="32">
        <v>16.36</v>
      </c>
      <c r="T340" s="42">
        <f t="shared" ref="T340:T348" si="14">6.287*S340/R340</f>
        <v>1.6001138767890477</v>
      </c>
      <c r="V340" s="32">
        <f>AVERAGE(T341,T342)</f>
        <v>1.3857424816523176</v>
      </c>
      <c r="W340" s="32">
        <v>144</v>
      </c>
      <c r="X340" s="32">
        <v>107.8</v>
      </c>
      <c r="Y340" s="32">
        <v>43.95</v>
      </c>
      <c r="Z340" s="32">
        <v>60.3</v>
      </c>
    </row>
    <row r="341" spans="5:26" ht="14.4">
      <c r="E341" s="30" t="s">
        <v>118</v>
      </c>
      <c r="F341" s="305"/>
      <c r="G341" s="30" t="s">
        <v>333</v>
      </c>
      <c r="H341" s="40" t="s">
        <v>399</v>
      </c>
      <c r="I341" s="30">
        <v>5.5</v>
      </c>
      <c r="J341" s="32">
        <v>5.2132701421800904</v>
      </c>
      <c r="K341" s="33">
        <v>1208.4000000000001</v>
      </c>
      <c r="L341" s="33">
        <v>711.3</v>
      </c>
      <c r="M341" s="33">
        <v>1214.3</v>
      </c>
      <c r="N341" s="32">
        <v>64.67</v>
      </c>
      <c r="O341" s="32">
        <v>64.8</v>
      </c>
      <c r="P341" s="32">
        <v>64.88</v>
      </c>
      <c r="Q341" s="32">
        <v>64.64</v>
      </c>
      <c r="R341" s="32">
        <v>64.34</v>
      </c>
      <c r="S341" s="32">
        <v>14.95</v>
      </c>
      <c r="T341" s="42">
        <f t="shared" si="14"/>
        <v>1.4608431768728627</v>
      </c>
      <c r="W341" s="32">
        <v>144</v>
      </c>
      <c r="X341" s="32">
        <v>107.8</v>
      </c>
      <c r="Y341" s="32">
        <v>43.95</v>
      </c>
      <c r="Z341" s="32">
        <v>60.3</v>
      </c>
    </row>
    <row r="342" spans="5:26" ht="14.4">
      <c r="E342" s="30" t="s">
        <v>118</v>
      </c>
      <c r="F342" s="306"/>
      <c r="G342" s="30" t="s">
        <v>333</v>
      </c>
      <c r="H342" s="40" t="s">
        <v>381</v>
      </c>
      <c r="I342" s="30">
        <v>5.5</v>
      </c>
      <c r="J342" s="32">
        <v>5.2132701421800904</v>
      </c>
      <c r="K342" s="33">
        <v>1213.5999999999999</v>
      </c>
      <c r="L342" s="33">
        <v>714.4</v>
      </c>
      <c r="M342" s="33">
        <v>1219.2</v>
      </c>
      <c r="N342" s="32">
        <v>65.510000000000005</v>
      </c>
      <c r="O342" s="32">
        <v>65.41</v>
      </c>
      <c r="P342" s="32">
        <v>65.349999999999994</v>
      </c>
      <c r="Q342" s="32">
        <v>65.53</v>
      </c>
      <c r="R342" s="32">
        <v>64.709999999999994</v>
      </c>
      <c r="S342" s="32">
        <v>13.49</v>
      </c>
      <c r="T342" s="42">
        <f t="shared" si="14"/>
        <v>1.3106417864317725</v>
      </c>
      <c r="W342" s="32">
        <v>144</v>
      </c>
      <c r="X342" s="32">
        <v>107.8</v>
      </c>
      <c r="Y342" s="32">
        <v>43.95</v>
      </c>
      <c r="Z342" s="32">
        <v>60.3</v>
      </c>
    </row>
    <row r="343" spans="5:26" ht="14.4">
      <c r="E343" s="30" t="s">
        <v>119</v>
      </c>
      <c r="F343" s="304" t="s">
        <v>245</v>
      </c>
      <c r="G343" s="30" t="s">
        <v>324</v>
      </c>
      <c r="H343" s="31" t="s">
        <v>397</v>
      </c>
      <c r="I343" s="30">
        <v>4.2</v>
      </c>
      <c r="J343" s="32">
        <v>4.0307101727447199</v>
      </c>
      <c r="K343" s="33">
        <v>1166.7</v>
      </c>
      <c r="L343" s="33">
        <v>670.5</v>
      </c>
      <c r="M343" s="33">
        <v>1169.3</v>
      </c>
      <c r="N343" s="32">
        <v>64.760000000000005</v>
      </c>
      <c r="O343" s="32">
        <v>63.83</v>
      </c>
      <c r="P343" s="32">
        <v>64.3</v>
      </c>
      <c r="Q343" s="32">
        <v>63.99</v>
      </c>
      <c r="R343" s="32">
        <v>64.22</v>
      </c>
      <c r="S343" s="32">
        <v>12.39</v>
      </c>
      <c r="T343" s="42">
        <f t="shared" si="14"/>
        <v>1.2129543755839303</v>
      </c>
      <c r="U343" s="34">
        <f>V343/V344</f>
        <v>0.84569679169171186</v>
      </c>
      <c r="V343" s="32">
        <f>AVERAGE(T343,T345,T347)</f>
        <v>1.2321050994462368</v>
      </c>
      <c r="W343" s="32">
        <v>161</v>
      </c>
      <c r="X343" s="32">
        <v>91</v>
      </c>
      <c r="Y343" s="32">
        <v>44</v>
      </c>
      <c r="Z343" s="32">
        <v>15</v>
      </c>
    </row>
    <row r="344" spans="5:26" ht="14.4">
      <c r="E344" s="30" t="s">
        <v>119</v>
      </c>
      <c r="F344" s="305"/>
      <c r="G344" s="30" t="s">
        <v>324</v>
      </c>
      <c r="H344" s="31" t="s">
        <v>295</v>
      </c>
      <c r="I344" s="30">
        <v>4.2</v>
      </c>
      <c r="J344" s="32">
        <v>4.0307101727447199</v>
      </c>
      <c r="K344" s="33">
        <v>1171.5</v>
      </c>
      <c r="L344" s="33">
        <v>671.7</v>
      </c>
      <c r="M344" s="33">
        <v>1174.8</v>
      </c>
      <c r="N344" s="32">
        <v>63.98</v>
      </c>
      <c r="O344" s="32">
        <v>64.92</v>
      </c>
      <c r="P344" s="32">
        <v>64.98</v>
      </c>
      <c r="Q344" s="32">
        <v>64.400000000000006</v>
      </c>
      <c r="R344" s="32">
        <v>64.569999999999993</v>
      </c>
      <c r="S344" s="32">
        <v>12.42</v>
      </c>
      <c r="T344" s="42">
        <f t="shared" si="14"/>
        <v>1.2093006039956637</v>
      </c>
      <c r="V344" s="32">
        <f>AVERAGE(T344,T346,T348)</f>
        <v>1.4569111666860683</v>
      </c>
      <c r="W344" s="32">
        <v>161</v>
      </c>
      <c r="X344" s="32">
        <v>91</v>
      </c>
      <c r="Y344" s="32">
        <v>44</v>
      </c>
      <c r="Z344" s="32">
        <v>15</v>
      </c>
    </row>
    <row r="345" spans="5:26" ht="14.4">
      <c r="E345" s="30" t="s">
        <v>119</v>
      </c>
      <c r="F345" s="305"/>
      <c r="G345" s="30" t="s">
        <v>324</v>
      </c>
      <c r="H345" s="31" t="s">
        <v>399</v>
      </c>
      <c r="I345" s="30">
        <v>4.2</v>
      </c>
      <c r="J345" s="32">
        <v>4.0307101727447199</v>
      </c>
      <c r="K345" s="33">
        <v>1170.5</v>
      </c>
      <c r="L345" s="33">
        <v>673.4</v>
      </c>
      <c r="M345" s="33">
        <v>1173.5</v>
      </c>
      <c r="N345" s="32">
        <v>64.53</v>
      </c>
      <c r="O345" s="32">
        <v>64.849999999999994</v>
      </c>
      <c r="P345" s="32">
        <v>64.02</v>
      </c>
      <c r="Q345" s="32">
        <v>64.53</v>
      </c>
      <c r="R345" s="32">
        <v>64.482500000000002</v>
      </c>
      <c r="S345" s="32">
        <v>10.62</v>
      </c>
      <c r="T345" s="42">
        <f t="shared" si="14"/>
        <v>1.0354427945566627</v>
      </c>
      <c r="W345" s="32">
        <v>161</v>
      </c>
      <c r="X345" s="32">
        <v>91</v>
      </c>
      <c r="Y345" s="32">
        <v>44</v>
      </c>
      <c r="Z345" s="32">
        <v>15</v>
      </c>
    </row>
    <row r="346" spans="5:26" ht="14.4">
      <c r="E346" s="30" t="s">
        <v>119</v>
      </c>
      <c r="F346" s="305"/>
      <c r="G346" s="30" t="s">
        <v>324</v>
      </c>
      <c r="H346" s="31" t="s">
        <v>297</v>
      </c>
      <c r="I346" s="30">
        <v>4.2</v>
      </c>
      <c r="J346" s="32">
        <v>4.0307101727447199</v>
      </c>
      <c r="K346" s="33">
        <v>1168.0999999999999</v>
      </c>
      <c r="L346" s="33">
        <v>670.5</v>
      </c>
      <c r="M346" s="33">
        <v>1170.0999999999999</v>
      </c>
      <c r="N346" s="32">
        <v>63.64</v>
      </c>
      <c r="O346" s="32">
        <v>62.65</v>
      </c>
      <c r="P346" s="32">
        <v>63.41</v>
      </c>
      <c r="Q346" s="32">
        <v>63.47</v>
      </c>
      <c r="R346" s="32">
        <v>63.292499999999997</v>
      </c>
      <c r="S346" s="32">
        <v>16</v>
      </c>
      <c r="T346" s="42">
        <f t="shared" si="14"/>
        <v>1.589319429632263</v>
      </c>
      <c r="W346" s="32">
        <v>161</v>
      </c>
      <c r="X346" s="32">
        <v>91</v>
      </c>
      <c r="Y346" s="32">
        <v>44</v>
      </c>
      <c r="Z346" s="32">
        <v>15</v>
      </c>
    </row>
    <row r="347" spans="5:26" ht="14.4">
      <c r="E347" s="30" t="s">
        <v>119</v>
      </c>
      <c r="F347" s="305"/>
      <c r="G347" s="30" t="s">
        <v>324</v>
      </c>
      <c r="H347" s="31" t="s">
        <v>401</v>
      </c>
      <c r="I347" s="30">
        <v>4.2</v>
      </c>
      <c r="J347" s="32">
        <v>4.0307101727447199</v>
      </c>
      <c r="K347" s="33">
        <v>1162.7</v>
      </c>
      <c r="L347" s="33">
        <v>666.5</v>
      </c>
      <c r="M347" s="33">
        <v>1164</v>
      </c>
      <c r="N347" s="32">
        <v>64.150000000000006</v>
      </c>
      <c r="O347" s="32">
        <v>64.099999999999994</v>
      </c>
      <c r="P347" s="32">
        <v>63.92</v>
      </c>
      <c r="Q347" s="32">
        <v>63.84</v>
      </c>
      <c r="R347" s="32">
        <v>64.002499999999998</v>
      </c>
      <c r="S347" s="32">
        <v>14.74</v>
      </c>
      <c r="T347" s="42">
        <f t="shared" si="14"/>
        <v>1.4479181281981173</v>
      </c>
      <c r="W347" s="32">
        <v>161</v>
      </c>
      <c r="X347" s="32">
        <v>91</v>
      </c>
      <c r="Y347" s="32">
        <v>44</v>
      </c>
      <c r="Z347" s="32">
        <v>15</v>
      </c>
    </row>
    <row r="348" spans="5:26" ht="14.4">
      <c r="E348" s="30" t="s">
        <v>119</v>
      </c>
      <c r="F348" s="306"/>
      <c r="G348" s="30" t="s">
        <v>324</v>
      </c>
      <c r="H348" s="31" t="s">
        <v>299</v>
      </c>
      <c r="I348" s="30">
        <v>4.2</v>
      </c>
      <c r="J348" s="32">
        <v>4.0307101727447199</v>
      </c>
      <c r="K348" s="33">
        <v>1176</v>
      </c>
      <c r="L348" s="33">
        <v>678</v>
      </c>
      <c r="M348" s="33">
        <v>1180.4000000000001</v>
      </c>
      <c r="N348" s="32">
        <v>64.819999999999993</v>
      </c>
      <c r="O348" s="32">
        <v>64.83</v>
      </c>
      <c r="P348" s="32">
        <v>64.88</v>
      </c>
      <c r="Q348" s="32">
        <v>64.930000000000007</v>
      </c>
      <c r="R348" s="32">
        <v>64.864999999999995</v>
      </c>
      <c r="S348" s="32">
        <v>16.22</v>
      </c>
      <c r="T348" s="42">
        <f t="shared" si="14"/>
        <v>1.5721134664302783</v>
      </c>
      <c r="W348" s="32">
        <v>161</v>
      </c>
      <c r="X348" s="32">
        <v>91</v>
      </c>
      <c r="Y348" s="32">
        <v>44</v>
      </c>
      <c r="Z348" s="32">
        <v>15</v>
      </c>
    </row>
    <row r="349" spans="5:26" ht="14.4">
      <c r="E349" s="101" t="s">
        <v>123</v>
      </c>
      <c r="F349" s="307" t="s">
        <v>218</v>
      </c>
      <c r="G349" s="102" t="s">
        <v>304</v>
      </c>
      <c r="H349" s="103" t="s">
        <v>446</v>
      </c>
      <c r="I349" s="102">
        <v>4.8</v>
      </c>
      <c r="J349" s="104">
        <v>4.58</v>
      </c>
      <c r="K349" s="105">
        <v>1215.5999999999999</v>
      </c>
      <c r="L349" s="105">
        <v>716.9</v>
      </c>
      <c r="M349" s="105">
        <v>1217</v>
      </c>
      <c r="N349" s="104">
        <v>63.37</v>
      </c>
      <c r="O349" s="104">
        <v>63.14</v>
      </c>
      <c r="P349" s="104">
        <v>63.08</v>
      </c>
      <c r="Q349" s="104">
        <v>63.08</v>
      </c>
      <c r="R349" s="104">
        <v>63.17</v>
      </c>
      <c r="S349" s="104">
        <v>10.96</v>
      </c>
      <c r="T349" s="106">
        <v>1.0900000000000001</v>
      </c>
      <c r="U349" s="107">
        <v>0.89</v>
      </c>
      <c r="V349" s="104">
        <v>1.1000000000000001</v>
      </c>
      <c r="W349" s="32">
        <v>144</v>
      </c>
      <c r="X349" s="32">
        <v>107.8</v>
      </c>
      <c r="Y349" s="32">
        <v>43.95</v>
      </c>
      <c r="Z349" s="32">
        <v>60.3</v>
      </c>
    </row>
    <row r="350" spans="5:26" ht="14.4">
      <c r="E350" s="108" t="s">
        <v>123</v>
      </c>
      <c r="F350" s="303"/>
      <c r="G350" s="109" t="s">
        <v>304</v>
      </c>
      <c r="H350" s="110" t="s">
        <v>424</v>
      </c>
      <c r="I350" s="109">
        <v>4.8</v>
      </c>
      <c r="J350" s="111">
        <v>4.58</v>
      </c>
      <c r="K350" s="112">
        <v>1216.7</v>
      </c>
      <c r="L350" s="112">
        <v>717.5</v>
      </c>
      <c r="M350" s="112">
        <v>1218.5</v>
      </c>
      <c r="N350" s="111">
        <v>64.36</v>
      </c>
      <c r="O350" s="111">
        <v>63.91</v>
      </c>
      <c r="P350" s="111">
        <v>64.010000000000005</v>
      </c>
      <c r="Q350" s="111">
        <v>63.81</v>
      </c>
      <c r="R350" s="111">
        <v>64.02</v>
      </c>
      <c r="S350" s="111">
        <v>12.52</v>
      </c>
      <c r="T350" s="113">
        <v>1.23</v>
      </c>
      <c r="U350" s="114"/>
      <c r="V350" s="111">
        <v>1.23</v>
      </c>
      <c r="W350" s="32">
        <v>144</v>
      </c>
      <c r="X350" s="32">
        <v>107.8</v>
      </c>
      <c r="Y350" s="32">
        <v>43.95</v>
      </c>
      <c r="Z350" s="32">
        <v>60.3</v>
      </c>
    </row>
    <row r="351" spans="5:26" ht="14.4">
      <c r="E351" s="108" t="s">
        <v>123</v>
      </c>
      <c r="F351" s="303"/>
      <c r="G351" s="109" t="s">
        <v>304</v>
      </c>
      <c r="H351" s="110" t="s">
        <v>447</v>
      </c>
      <c r="I351" s="109">
        <v>4.8</v>
      </c>
      <c r="J351" s="111">
        <v>4.58</v>
      </c>
      <c r="K351" s="112">
        <v>1212.9000000000001</v>
      </c>
      <c r="L351" s="112">
        <v>713</v>
      </c>
      <c r="M351" s="112">
        <v>1214.3</v>
      </c>
      <c r="N351" s="111">
        <v>63.46</v>
      </c>
      <c r="O351" s="111">
        <v>63.54</v>
      </c>
      <c r="P351" s="111">
        <v>63.35</v>
      </c>
      <c r="Q351" s="111">
        <v>63.44</v>
      </c>
      <c r="R351" s="111">
        <v>63.45</v>
      </c>
      <c r="S351" s="111">
        <v>11.82</v>
      </c>
      <c r="T351" s="113">
        <v>1.17</v>
      </c>
      <c r="U351" s="114"/>
      <c r="V351" s="111"/>
      <c r="W351" s="32">
        <v>144</v>
      </c>
      <c r="X351" s="32">
        <v>107.8</v>
      </c>
      <c r="Y351" s="32">
        <v>43.95</v>
      </c>
      <c r="Z351" s="32">
        <v>60.3</v>
      </c>
    </row>
    <row r="352" spans="5:26" ht="14.4">
      <c r="E352" s="108" t="s">
        <v>123</v>
      </c>
      <c r="F352" s="303"/>
      <c r="G352" s="109" t="s">
        <v>304</v>
      </c>
      <c r="H352" s="110" t="s">
        <v>432</v>
      </c>
      <c r="I352" s="109">
        <v>4.8</v>
      </c>
      <c r="J352" s="111">
        <v>4.58</v>
      </c>
      <c r="K352" s="112">
        <v>1217.8</v>
      </c>
      <c r="L352" s="112">
        <v>716.3</v>
      </c>
      <c r="M352" s="112">
        <v>1219.4000000000001</v>
      </c>
      <c r="N352" s="111">
        <v>65</v>
      </c>
      <c r="O352" s="111">
        <v>65.150000000000006</v>
      </c>
      <c r="P352" s="111">
        <v>64.94</v>
      </c>
      <c r="Q352" s="111">
        <v>65.099999999999994</v>
      </c>
      <c r="R352" s="111">
        <v>65.05</v>
      </c>
      <c r="S352" s="111">
        <v>11.66</v>
      </c>
      <c r="T352" s="113">
        <v>1.1299999999999999</v>
      </c>
      <c r="U352" s="114"/>
      <c r="V352" s="111"/>
      <c r="W352" s="32">
        <v>144</v>
      </c>
      <c r="X352" s="32">
        <v>107.8</v>
      </c>
      <c r="Y352" s="32">
        <v>43.95</v>
      </c>
      <c r="Z352" s="32">
        <v>60.3</v>
      </c>
    </row>
    <row r="353" spans="5:26" ht="14.4">
      <c r="E353" s="108" t="s">
        <v>123</v>
      </c>
      <c r="F353" s="303"/>
      <c r="G353" s="109" t="s">
        <v>304</v>
      </c>
      <c r="H353" s="110" t="s">
        <v>448</v>
      </c>
      <c r="I353" s="109">
        <v>4.8</v>
      </c>
      <c r="J353" s="111">
        <v>4.58</v>
      </c>
      <c r="K353" s="112">
        <v>1212.4000000000001</v>
      </c>
      <c r="L353" s="112">
        <v>711.4</v>
      </c>
      <c r="M353" s="112">
        <v>1214.0999999999999</v>
      </c>
      <c r="N353" s="111">
        <v>64.33</v>
      </c>
      <c r="O353" s="111">
        <v>63.86</v>
      </c>
      <c r="P353" s="111">
        <v>63.91</v>
      </c>
      <c r="Q353" s="111">
        <v>64.19</v>
      </c>
      <c r="R353" s="111">
        <v>64.069999999999993</v>
      </c>
      <c r="S353" s="111">
        <v>10.49</v>
      </c>
      <c r="T353" s="113">
        <v>1.03</v>
      </c>
      <c r="U353" s="114"/>
      <c r="V353" s="111"/>
      <c r="W353" s="32">
        <v>144</v>
      </c>
      <c r="X353" s="32">
        <v>107.8</v>
      </c>
      <c r="Y353" s="32">
        <v>43.95</v>
      </c>
      <c r="Z353" s="32">
        <v>60.3</v>
      </c>
    </row>
    <row r="354" spans="5:26" ht="14.4">
      <c r="E354" s="108" t="s">
        <v>123</v>
      </c>
      <c r="F354" s="308"/>
      <c r="G354" s="109" t="s">
        <v>304</v>
      </c>
      <c r="H354" s="110" t="s">
        <v>434</v>
      </c>
      <c r="I354" s="109">
        <v>4.8</v>
      </c>
      <c r="J354" s="111">
        <v>4.58</v>
      </c>
      <c r="K354" s="112">
        <v>1210.5999999999999</v>
      </c>
      <c r="L354" s="112">
        <v>710.6</v>
      </c>
      <c r="M354" s="112">
        <v>1211.7</v>
      </c>
      <c r="N354" s="111">
        <v>63.65</v>
      </c>
      <c r="O354" s="111">
        <v>63.6</v>
      </c>
      <c r="P354" s="111">
        <v>64</v>
      </c>
      <c r="Q354" s="111">
        <v>64.02</v>
      </c>
      <c r="R354" s="111">
        <v>63.82</v>
      </c>
      <c r="S354" s="111">
        <v>13.46</v>
      </c>
      <c r="T354" s="113">
        <v>1.33</v>
      </c>
      <c r="U354" s="114"/>
      <c r="V354" s="111"/>
      <c r="W354" s="32">
        <v>144</v>
      </c>
      <c r="X354" s="32">
        <v>107.8</v>
      </c>
      <c r="Y354" s="32">
        <v>43.95</v>
      </c>
      <c r="Z354" s="32">
        <v>60.3</v>
      </c>
    </row>
    <row r="355" spans="5:26" ht="14.4">
      <c r="E355" s="108" t="s">
        <v>124</v>
      </c>
      <c r="F355" s="303" t="s">
        <v>254</v>
      </c>
      <c r="G355" s="109" t="s">
        <v>306</v>
      </c>
      <c r="H355" s="110" t="s">
        <v>446</v>
      </c>
      <c r="I355" s="109">
        <v>4.5999999999999996</v>
      </c>
      <c r="J355" s="111">
        <v>4.4000000000000004</v>
      </c>
      <c r="K355" s="112">
        <v>1188.9000000000001</v>
      </c>
      <c r="L355" s="112">
        <v>689.7</v>
      </c>
      <c r="M355" s="112">
        <v>1191</v>
      </c>
      <c r="N355" s="111">
        <v>65.540000000000006</v>
      </c>
      <c r="O355" s="111">
        <v>65.53</v>
      </c>
      <c r="P355" s="111">
        <v>65.73</v>
      </c>
      <c r="Q355" s="111">
        <v>65.72</v>
      </c>
      <c r="R355" s="111">
        <v>65.63</v>
      </c>
      <c r="S355" s="111">
        <v>8.14</v>
      </c>
      <c r="T355" s="113">
        <v>0.78</v>
      </c>
      <c r="U355" s="114">
        <v>0.83</v>
      </c>
      <c r="V355" s="111">
        <v>0.86</v>
      </c>
      <c r="W355" s="32">
        <v>161</v>
      </c>
      <c r="X355" s="32">
        <v>91</v>
      </c>
      <c r="Y355" s="32">
        <v>44</v>
      </c>
      <c r="Z355" s="32">
        <v>15</v>
      </c>
    </row>
    <row r="356" spans="5:26" ht="14.4">
      <c r="E356" s="108" t="s">
        <v>124</v>
      </c>
      <c r="F356" s="303"/>
      <c r="G356" s="109" t="s">
        <v>306</v>
      </c>
      <c r="H356" s="110" t="s">
        <v>424</v>
      </c>
      <c r="I356" s="109">
        <v>4.5999999999999996</v>
      </c>
      <c r="J356" s="111">
        <v>4.4000000000000004</v>
      </c>
      <c r="K356" s="112">
        <v>1188.2</v>
      </c>
      <c r="L356" s="112">
        <v>689.6</v>
      </c>
      <c r="M356" s="112">
        <v>1191.7</v>
      </c>
      <c r="N356" s="111">
        <v>63.28</v>
      </c>
      <c r="O356" s="111">
        <v>64.77</v>
      </c>
      <c r="P356" s="111">
        <v>64.459999999999994</v>
      </c>
      <c r="Q356" s="111">
        <v>64.48</v>
      </c>
      <c r="R356" s="111">
        <v>64.25</v>
      </c>
      <c r="S356" s="111">
        <v>10.48</v>
      </c>
      <c r="T356" s="113">
        <v>1.03</v>
      </c>
      <c r="U356" s="114"/>
      <c r="V356" s="111">
        <v>1.03</v>
      </c>
      <c r="W356" s="32">
        <v>161</v>
      </c>
      <c r="X356" s="32">
        <v>91</v>
      </c>
      <c r="Y356" s="32">
        <v>44</v>
      </c>
      <c r="Z356" s="32">
        <v>15</v>
      </c>
    </row>
    <row r="357" spans="5:26" ht="14.4">
      <c r="E357" s="108" t="s">
        <v>124</v>
      </c>
      <c r="F357" s="303"/>
      <c r="G357" s="109" t="s">
        <v>306</v>
      </c>
      <c r="H357" s="110" t="s">
        <v>447</v>
      </c>
      <c r="I357" s="109">
        <v>4.5999999999999996</v>
      </c>
      <c r="J357" s="111">
        <v>4.4000000000000004</v>
      </c>
      <c r="K357" s="112">
        <v>1190.9000000000001</v>
      </c>
      <c r="L357" s="112">
        <v>691.4</v>
      </c>
      <c r="M357" s="112">
        <v>1193.9000000000001</v>
      </c>
      <c r="N357" s="111">
        <v>64.78</v>
      </c>
      <c r="O357" s="111">
        <v>64.680000000000007</v>
      </c>
      <c r="P357" s="111">
        <v>64.739999999999995</v>
      </c>
      <c r="Q357" s="111">
        <v>64.040000000000006</v>
      </c>
      <c r="R357" s="111">
        <v>64.56</v>
      </c>
      <c r="S357" s="111">
        <v>9.02</v>
      </c>
      <c r="T357" s="113">
        <v>0.88</v>
      </c>
      <c r="U357" s="114"/>
      <c r="V357" s="111"/>
      <c r="W357" s="32">
        <v>161</v>
      </c>
      <c r="X357" s="32">
        <v>91</v>
      </c>
      <c r="Y357" s="32">
        <v>44</v>
      </c>
      <c r="Z357" s="32">
        <v>15</v>
      </c>
    </row>
    <row r="358" spans="5:26" ht="14.4">
      <c r="E358" s="108" t="s">
        <v>124</v>
      </c>
      <c r="F358" s="303"/>
      <c r="G358" s="109" t="s">
        <v>306</v>
      </c>
      <c r="H358" s="110" t="s">
        <v>432</v>
      </c>
      <c r="I358" s="109">
        <v>4.5999999999999996</v>
      </c>
      <c r="J358" s="111">
        <v>4.4000000000000004</v>
      </c>
      <c r="K358" s="112">
        <v>1182</v>
      </c>
      <c r="L358" s="112">
        <v>687.1</v>
      </c>
      <c r="M358" s="112">
        <v>1185.9000000000001</v>
      </c>
      <c r="N358" s="111">
        <v>65.010000000000005</v>
      </c>
      <c r="O358" s="111">
        <v>64.739999999999995</v>
      </c>
      <c r="P358" s="111">
        <v>63.94</v>
      </c>
      <c r="Q358" s="111">
        <v>65.069999999999993</v>
      </c>
      <c r="R358" s="111">
        <v>64.69</v>
      </c>
      <c r="S358" s="111">
        <v>11.2</v>
      </c>
      <c r="T358" s="113">
        <v>1.0900000000000001</v>
      </c>
      <c r="U358" s="114"/>
      <c r="V358" s="111"/>
      <c r="W358" s="32">
        <v>161</v>
      </c>
      <c r="X358" s="32">
        <v>91</v>
      </c>
      <c r="Y358" s="32">
        <v>44</v>
      </c>
      <c r="Z358" s="32">
        <v>15</v>
      </c>
    </row>
    <row r="359" spans="5:26" ht="14.4">
      <c r="E359" s="108" t="s">
        <v>124</v>
      </c>
      <c r="F359" s="303"/>
      <c r="G359" s="109" t="s">
        <v>306</v>
      </c>
      <c r="H359" s="110" t="s">
        <v>448</v>
      </c>
      <c r="I359" s="109">
        <v>4.5999999999999996</v>
      </c>
      <c r="J359" s="111">
        <v>4.4000000000000004</v>
      </c>
      <c r="K359" s="112">
        <v>1179.8</v>
      </c>
      <c r="L359" s="112">
        <v>684.5</v>
      </c>
      <c r="M359" s="112">
        <v>1183.5999999999999</v>
      </c>
      <c r="N359" s="111">
        <v>63.1</v>
      </c>
      <c r="O359" s="111">
        <v>64.739999999999995</v>
      </c>
      <c r="P359" s="111">
        <v>64.75</v>
      </c>
      <c r="Q359" s="111">
        <v>64.38</v>
      </c>
      <c r="R359" s="111">
        <v>64.239999999999995</v>
      </c>
      <c r="S359" s="111">
        <v>9.39</v>
      </c>
      <c r="T359" s="113">
        <v>0.92</v>
      </c>
      <c r="U359" s="114"/>
      <c r="V359" s="111"/>
      <c r="W359" s="32">
        <v>161</v>
      </c>
      <c r="X359" s="32">
        <v>91</v>
      </c>
      <c r="Y359" s="32">
        <v>44</v>
      </c>
      <c r="Z359" s="32">
        <v>15</v>
      </c>
    </row>
    <row r="360" spans="5:26" ht="14.4">
      <c r="E360" s="108" t="s">
        <v>124</v>
      </c>
      <c r="F360" s="303"/>
      <c r="G360" s="109" t="s">
        <v>306</v>
      </c>
      <c r="H360" s="110" t="s">
        <v>434</v>
      </c>
      <c r="I360" s="109">
        <v>4.5999999999999996</v>
      </c>
      <c r="J360" s="111">
        <v>4.4000000000000004</v>
      </c>
      <c r="K360" s="112">
        <v>1177.9000000000001</v>
      </c>
      <c r="L360" s="112">
        <v>683.6</v>
      </c>
      <c r="M360" s="112">
        <v>1182.2</v>
      </c>
      <c r="N360" s="111">
        <v>64.52</v>
      </c>
      <c r="O360" s="111">
        <v>64.569999999999993</v>
      </c>
      <c r="P360" s="111">
        <v>65.08</v>
      </c>
      <c r="Q360" s="111">
        <v>65.09</v>
      </c>
      <c r="R360" s="111">
        <v>64.819999999999993</v>
      </c>
      <c r="S360" s="111">
        <v>10.08</v>
      </c>
      <c r="T360" s="113">
        <v>0.98</v>
      </c>
      <c r="U360" s="114"/>
      <c r="V360" s="111"/>
      <c r="W360" s="32">
        <v>161</v>
      </c>
      <c r="X360" s="32">
        <v>91</v>
      </c>
      <c r="Y360" s="32">
        <v>44</v>
      </c>
      <c r="Z360" s="32">
        <v>15</v>
      </c>
    </row>
    <row r="361" spans="5:26" ht="14.4">
      <c r="E361" s="108" t="s">
        <v>124</v>
      </c>
      <c r="F361" s="303"/>
      <c r="G361" s="109" t="s">
        <v>334</v>
      </c>
      <c r="H361" s="110" t="s">
        <v>446</v>
      </c>
      <c r="I361" s="109">
        <v>4.5999999999999996</v>
      </c>
      <c r="J361" s="111">
        <v>4.4000000000000004</v>
      </c>
      <c r="K361" s="112">
        <v>1178.8</v>
      </c>
      <c r="L361" s="112">
        <v>679.4</v>
      </c>
      <c r="M361" s="112">
        <v>1183.2</v>
      </c>
      <c r="N361" s="111">
        <v>65.22</v>
      </c>
      <c r="O361" s="111">
        <v>64.41</v>
      </c>
      <c r="P361" s="111">
        <v>65.069999999999993</v>
      </c>
      <c r="Q361" s="111">
        <v>64.22</v>
      </c>
      <c r="R361" s="111">
        <v>64.73</v>
      </c>
      <c r="S361" s="111">
        <v>8.81</v>
      </c>
      <c r="T361" s="113">
        <v>0.86</v>
      </c>
      <c r="U361" s="114">
        <v>0.82</v>
      </c>
      <c r="V361" s="111">
        <v>0.8</v>
      </c>
      <c r="W361" s="32">
        <v>258</v>
      </c>
      <c r="X361" s="32">
        <v>72</v>
      </c>
      <c r="Y361" s="32">
        <v>47.6</v>
      </c>
      <c r="Z361" s="32">
        <v>8.1999999999999993</v>
      </c>
    </row>
    <row r="362" spans="5:26" ht="14.4">
      <c r="E362" s="108" t="s">
        <v>124</v>
      </c>
      <c r="F362" s="303"/>
      <c r="G362" s="109" t="s">
        <v>334</v>
      </c>
      <c r="H362" s="110" t="s">
        <v>424</v>
      </c>
      <c r="I362" s="109">
        <v>4.5999999999999996</v>
      </c>
      <c r="J362" s="111">
        <v>4.4000000000000004</v>
      </c>
      <c r="K362" s="112">
        <v>1172.3</v>
      </c>
      <c r="L362" s="112">
        <v>676</v>
      </c>
      <c r="M362" s="112">
        <v>1176.4000000000001</v>
      </c>
      <c r="N362" s="111">
        <v>64.33</v>
      </c>
      <c r="O362" s="111">
        <v>64.680000000000007</v>
      </c>
      <c r="P362" s="111">
        <v>63.62</v>
      </c>
      <c r="Q362" s="111">
        <v>63.87</v>
      </c>
      <c r="R362" s="111">
        <v>64.13</v>
      </c>
      <c r="S362" s="111">
        <v>10.39</v>
      </c>
      <c r="T362" s="113">
        <v>1.02</v>
      </c>
      <c r="U362" s="114"/>
      <c r="V362" s="111">
        <v>0.98</v>
      </c>
      <c r="W362" s="32">
        <v>258</v>
      </c>
      <c r="X362" s="32">
        <v>72</v>
      </c>
      <c r="Y362" s="32">
        <v>47.6</v>
      </c>
      <c r="Z362" s="32">
        <v>8.1999999999999993</v>
      </c>
    </row>
    <row r="363" spans="5:26" ht="14.4">
      <c r="E363" s="108" t="s">
        <v>124</v>
      </c>
      <c r="F363" s="303"/>
      <c r="G363" s="109" t="s">
        <v>334</v>
      </c>
      <c r="H363" s="110" t="s">
        <v>447</v>
      </c>
      <c r="I363" s="109">
        <v>4.5999999999999996</v>
      </c>
      <c r="J363" s="111">
        <v>4.4000000000000004</v>
      </c>
      <c r="K363" s="112">
        <v>1170</v>
      </c>
      <c r="L363" s="112">
        <v>671.2</v>
      </c>
      <c r="M363" s="112">
        <v>1174.9000000000001</v>
      </c>
      <c r="N363" s="111">
        <v>64.5</v>
      </c>
      <c r="O363" s="111">
        <v>64.650000000000006</v>
      </c>
      <c r="P363" s="111">
        <v>64.98</v>
      </c>
      <c r="Q363" s="111">
        <v>64.89</v>
      </c>
      <c r="R363" s="111">
        <v>64.760000000000005</v>
      </c>
      <c r="S363" s="111">
        <v>8.36</v>
      </c>
      <c r="T363" s="113">
        <v>0.81</v>
      </c>
      <c r="U363" s="114"/>
      <c r="V363" s="111"/>
      <c r="W363" s="32">
        <v>258</v>
      </c>
      <c r="X363" s="32">
        <v>72</v>
      </c>
      <c r="Y363" s="32">
        <v>47.6</v>
      </c>
      <c r="Z363" s="32">
        <v>8.1999999999999993</v>
      </c>
    </row>
    <row r="364" spans="5:26" ht="14.4">
      <c r="E364" s="108" t="s">
        <v>124</v>
      </c>
      <c r="F364" s="303"/>
      <c r="G364" s="109" t="s">
        <v>334</v>
      </c>
      <c r="H364" s="110" t="s">
        <v>432</v>
      </c>
      <c r="I364" s="109">
        <v>4.5999999999999996</v>
      </c>
      <c r="J364" s="111">
        <v>4.4000000000000004</v>
      </c>
      <c r="K364" s="112">
        <v>1176.5</v>
      </c>
      <c r="L364" s="112">
        <v>677.3</v>
      </c>
      <c r="M364" s="112">
        <v>1183.3</v>
      </c>
      <c r="N364" s="111">
        <v>64.84</v>
      </c>
      <c r="O364" s="111">
        <v>65.22</v>
      </c>
      <c r="P364" s="111">
        <v>64.86</v>
      </c>
      <c r="Q364" s="111">
        <v>65.31</v>
      </c>
      <c r="R364" s="111">
        <v>65.06</v>
      </c>
      <c r="S364" s="111">
        <v>10.44</v>
      </c>
      <c r="T364" s="113">
        <v>1.01</v>
      </c>
      <c r="U364" s="114"/>
      <c r="V364" s="111"/>
      <c r="W364" s="32">
        <v>258</v>
      </c>
      <c r="X364" s="32">
        <v>72</v>
      </c>
      <c r="Y364" s="32">
        <v>47.6</v>
      </c>
      <c r="Z364" s="32">
        <v>8.1999999999999993</v>
      </c>
    </row>
    <row r="365" spans="5:26" ht="14.4">
      <c r="E365" s="108" t="s">
        <v>124</v>
      </c>
      <c r="F365" s="303"/>
      <c r="G365" s="109" t="s">
        <v>334</v>
      </c>
      <c r="H365" s="110" t="s">
        <v>448</v>
      </c>
      <c r="I365" s="109">
        <v>4.5999999999999996</v>
      </c>
      <c r="J365" s="111">
        <v>4.4000000000000004</v>
      </c>
      <c r="K365" s="112">
        <v>1170.7</v>
      </c>
      <c r="L365" s="112">
        <v>671.1</v>
      </c>
      <c r="M365" s="112">
        <v>1173.8</v>
      </c>
      <c r="N365" s="111">
        <v>64.430000000000007</v>
      </c>
      <c r="O365" s="111">
        <v>64.92</v>
      </c>
      <c r="P365" s="111">
        <v>65.430000000000007</v>
      </c>
      <c r="Q365" s="111">
        <v>64.760000000000005</v>
      </c>
      <c r="R365" s="111">
        <v>64.89</v>
      </c>
      <c r="S365" s="111">
        <v>7.53</v>
      </c>
      <c r="T365" s="113">
        <v>0.73</v>
      </c>
      <c r="U365" s="114"/>
      <c r="V365" s="111"/>
      <c r="W365" s="32">
        <v>258</v>
      </c>
      <c r="X365" s="32">
        <v>72</v>
      </c>
      <c r="Y365" s="32">
        <v>47.6</v>
      </c>
      <c r="Z365" s="32">
        <v>8.1999999999999993</v>
      </c>
    </row>
    <row r="366" spans="5:26" ht="14.4">
      <c r="E366" s="108" t="s">
        <v>124</v>
      </c>
      <c r="F366" s="308"/>
      <c r="G366" s="109" t="s">
        <v>334</v>
      </c>
      <c r="H366" s="110" t="s">
        <v>434</v>
      </c>
      <c r="I366" s="109">
        <v>4.5999999999999996</v>
      </c>
      <c r="J366" s="111">
        <v>4.4000000000000004</v>
      </c>
      <c r="K366" s="112">
        <v>1168.8</v>
      </c>
      <c r="L366" s="112">
        <v>670.3</v>
      </c>
      <c r="M366" s="112">
        <v>1172.8</v>
      </c>
      <c r="N366" s="111">
        <v>65.13</v>
      </c>
      <c r="O366" s="111">
        <v>64.03</v>
      </c>
      <c r="P366" s="111">
        <v>64.92</v>
      </c>
      <c r="Q366" s="111">
        <v>64.510000000000005</v>
      </c>
      <c r="R366" s="111">
        <v>64.650000000000006</v>
      </c>
      <c r="S366" s="111">
        <v>9.3699999999999992</v>
      </c>
      <c r="T366" s="113">
        <v>0.91</v>
      </c>
      <c r="U366" s="114"/>
      <c r="V366" s="111"/>
      <c r="W366" s="32">
        <v>258</v>
      </c>
      <c r="X366" s="32">
        <v>72</v>
      </c>
      <c r="Y366" s="32">
        <v>47.6</v>
      </c>
      <c r="Z366" s="32">
        <v>8.1999999999999993</v>
      </c>
    </row>
    <row r="367" spans="5:26" ht="14.4">
      <c r="E367" s="108" t="s">
        <v>124</v>
      </c>
      <c r="F367" s="303" t="s">
        <v>255</v>
      </c>
      <c r="G367" s="109" t="s">
        <v>330</v>
      </c>
      <c r="H367" s="110" t="s">
        <v>446</v>
      </c>
      <c r="I367" s="109">
        <v>4.5999999999999996</v>
      </c>
      <c r="J367" s="111">
        <v>4.4000000000000004</v>
      </c>
      <c r="K367" s="112">
        <v>1217.5</v>
      </c>
      <c r="L367" s="112">
        <v>712.8</v>
      </c>
      <c r="M367" s="112">
        <v>1218.2</v>
      </c>
      <c r="N367" s="111">
        <v>64.17</v>
      </c>
      <c r="O367" s="111">
        <v>64.44</v>
      </c>
      <c r="P367" s="111">
        <v>64</v>
      </c>
      <c r="Q367" s="111">
        <v>64.06</v>
      </c>
      <c r="R367" s="111">
        <v>64.17</v>
      </c>
      <c r="S367" s="111">
        <v>10.220000000000001</v>
      </c>
      <c r="T367" s="113">
        <v>1</v>
      </c>
      <c r="U367" s="114">
        <v>0.85</v>
      </c>
      <c r="V367" s="111">
        <v>0.99</v>
      </c>
      <c r="W367" s="32">
        <v>111</v>
      </c>
      <c r="X367" s="32">
        <v>124</v>
      </c>
      <c r="Y367" s="32">
        <v>41.5</v>
      </c>
      <c r="Z367" s="32">
        <v>56</v>
      </c>
    </row>
    <row r="368" spans="5:26" ht="14.4">
      <c r="E368" s="108" t="s">
        <v>124</v>
      </c>
      <c r="F368" s="303"/>
      <c r="G368" s="109" t="s">
        <v>330</v>
      </c>
      <c r="H368" s="110" t="s">
        <v>424</v>
      </c>
      <c r="I368" s="109">
        <v>4.5999999999999996</v>
      </c>
      <c r="J368" s="111">
        <v>4.4000000000000004</v>
      </c>
      <c r="K368" s="112">
        <v>1205.0999999999999</v>
      </c>
      <c r="L368" s="112">
        <v>707.1</v>
      </c>
      <c r="M368" s="112">
        <v>1206</v>
      </c>
      <c r="N368" s="111">
        <v>64.790000000000006</v>
      </c>
      <c r="O368" s="111">
        <v>64.77</v>
      </c>
      <c r="P368" s="111">
        <v>64.67</v>
      </c>
      <c r="Q368" s="111">
        <v>64.680000000000007</v>
      </c>
      <c r="R368" s="111">
        <v>64.73</v>
      </c>
      <c r="S368" s="111">
        <v>12.24</v>
      </c>
      <c r="T368" s="113">
        <v>1.19</v>
      </c>
      <c r="U368" s="114"/>
      <c r="V368" s="111">
        <v>1.17</v>
      </c>
      <c r="W368" s="32">
        <v>111</v>
      </c>
      <c r="X368" s="32">
        <v>124</v>
      </c>
      <c r="Y368" s="32">
        <v>41.5</v>
      </c>
      <c r="Z368" s="32">
        <v>56</v>
      </c>
    </row>
    <row r="369" spans="5:26" ht="14.4">
      <c r="E369" s="108" t="s">
        <v>124</v>
      </c>
      <c r="F369" s="303"/>
      <c r="G369" s="109" t="s">
        <v>330</v>
      </c>
      <c r="H369" s="110" t="s">
        <v>447</v>
      </c>
      <c r="I369" s="109">
        <v>4.5999999999999996</v>
      </c>
      <c r="J369" s="111">
        <v>4.4000000000000004</v>
      </c>
      <c r="K369" s="112">
        <v>1209.4000000000001</v>
      </c>
      <c r="L369" s="112">
        <v>710.7</v>
      </c>
      <c r="M369" s="112">
        <v>1210.4000000000001</v>
      </c>
      <c r="N369" s="111">
        <v>64.260000000000005</v>
      </c>
      <c r="O369" s="111">
        <v>64.42</v>
      </c>
      <c r="P369" s="111">
        <v>64.319999999999993</v>
      </c>
      <c r="Q369" s="111">
        <v>64.27</v>
      </c>
      <c r="R369" s="111">
        <v>64.319999999999993</v>
      </c>
      <c r="S369" s="111">
        <v>10.93</v>
      </c>
      <c r="T369" s="113">
        <v>1.07</v>
      </c>
      <c r="U369" s="114"/>
      <c r="V369" s="111"/>
      <c r="W369" s="32">
        <v>111</v>
      </c>
      <c r="X369" s="32">
        <v>124</v>
      </c>
      <c r="Y369" s="32">
        <v>41.5</v>
      </c>
      <c r="Z369" s="32">
        <v>56</v>
      </c>
    </row>
    <row r="370" spans="5:26" ht="14.4">
      <c r="E370" s="108" t="s">
        <v>124</v>
      </c>
      <c r="F370" s="303"/>
      <c r="G370" s="109" t="s">
        <v>330</v>
      </c>
      <c r="H370" s="110" t="s">
        <v>432</v>
      </c>
      <c r="I370" s="109">
        <v>4.5999999999999996</v>
      </c>
      <c r="J370" s="111">
        <v>4.4000000000000004</v>
      </c>
      <c r="K370" s="112">
        <v>1201.4000000000001</v>
      </c>
      <c r="L370" s="112">
        <v>705.1</v>
      </c>
      <c r="M370" s="112">
        <v>1202.3</v>
      </c>
      <c r="N370" s="111">
        <v>64.7</v>
      </c>
      <c r="O370" s="111">
        <v>64.87</v>
      </c>
      <c r="P370" s="111">
        <v>64.56</v>
      </c>
      <c r="Q370" s="111">
        <v>64.760000000000005</v>
      </c>
      <c r="R370" s="111">
        <v>64.72</v>
      </c>
      <c r="S370" s="111">
        <v>11.94</v>
      </c>
      <c r="T370" s="113">
        <v>1.1599999999999999</v>
      </c>
      <c r="U370" s="114"/>
      <c r="V370" s="111"/>
      <c r="W370" s="32">
        <v>111</v>
      </c>
      <c r="X370" s="32">
        <v>124</v>
      </c>
      <c r="Y370" s="32">
        <v>41.5</v>
      </c>
      <c r="Z370" s="32">
        <v>56</v>
      </c>
    </row>
    <row r="371" spans="5:26" ht="14.4">
      <c r="E371" s="108" t="s">
        <v>124</v>
      </c>
      <c r="F371" s="303"/>
      <c r="G371" s="109" t="s">
        <v>330</v>
      </c>
      <c r="H371" s="110" t="s">
        <v>448</v>
      </c>
      <c r="I371" s="109">
        <v>4.5999999999999996</v>
      </c>
      <c r="J371" s="111">
        <v>4.4000000000000004</v>
      </c>
      <c r="K371" s="112">
        <v>1201.7</v>
      </c>
      <c r="L371" s="112">
        <v>705.7</v>
      </c>
      <c r="M371" s="112">
        <v>1203</v>
      </c>
      <c r="N371" s="111">
        <v>64.78</v>
      </c>
      <c r="O371" s="111">
        <v>64.34</v>
      </c>
      <c r="P371" s="111">
        <v>64.77</v>
      </c>
      <c r="Q371" s="111">
        <v>64.87</v>
      </c>
      <c r="R371" s="111">
        <v>64.69</v>
      </c>
      <c r="S371" s="111">
        <v>9.2799999999999994</v>
      </c>
      <c r="T371" s="113">
        <v>0.9</v>
      </c>
      <c r="U371" s="114"/>
      <c r="V371" s="111"/>
      <c r="W371" s="32">
        <v>111</v>
      </c>
      <c r="X371" s="32">
        <v>124</v>
      </c>
      <c r="Y371" s="32">
        <v>41.5</v>
      </c>
      <c r="Z371" s="32">
        <v>56</v>
      </c>
    </row>
    <row r="372" spans="5:26" ht="14.4">
      <c r="E372" s="108" t="s">
        <v>124</v>
      </c>
      <c r="F372" s="303"/>
      <c r="G372" s="109" t="s">
        <v>330</v>
      </c>
      <c r="H372" s="110" t="s">
        <v>434</v>
      </c>
      <c r="I372" s="109">
        <v>4.5999999999999996</v>
      </c>
      <c r="J372" s="111">
        <v>4.4000000000000004</v>
      </c>
      <c r="K372" s="112">
        <v>1189.0999999999999</v>
      </c>
      <c r="L372" s="112">
        <v>702.1</v>
      </c>
      <c r="M372" s="112">
        <v>1190</v>
      </c>
      <c r="N372" s="111">
        <v>65.38</v>
      </c>
      <c r="O372" s="111">
        <v>65.319999999999993</v>
      </c>
      <c r="P372" s="111">
        <v>65.540000000000006</v>
      </c>
      <c r="Q372" s="111">
        <v>64.22</v>
      </c>
      <c r="R372" s="111">
        <v>65.12</v>
      </c>
      <c r="S372" s="111">
        <v>11.97</v>
      </c>
      <c r="T372" s="113">
        <v>1.1599999999999999</v>
      </c>
      <c r="U372" s="114"/>
      <c r="V372" s="111"/>
      <c r="W372" s="32">
        <v>111</v>
      </c>
      <c r="X372" s="32">
        <v>124</v>
      </c>
      <c r="Y372" s="32">
        <v>41.5</v>
      </c>
      <c r="Z372" s="32">
        <v>56</v>
      </c>
    </row>
    <row r="373" spans="5:26" ht="14.4">
      <c r="E373" s="108" t="s">
        <v>124</v>
      </c>
      <c r="F373" s="303"/>
      <c r="G373" s="109" t="s">
        <v>335</v>
      </c>
      <c r="H373" s="110" t="s">
        <v>446</v>
      </c>
      <c r="I373" s="109">
        <v>4.5999999999999996</v>
      </c>
      <c r="J373" s="111">
        <v>4.4000000000000004</v>
      </c>
      <c r="K373" s="112">
        <v>1176.7</v>
      </c>
      <c r="L373" s="112">
        <v>684.9</v>
      </c>
      <c r="M373" s="112">
        <v>1182.2</v>
      </c>
      <c r="N373" s="111">
        <v>64.209999999999994</v>
      </c>
      <c r="O373" s="111">
        <v>63.77</v>
      </c>
      <c r="P373" s="111">
        <v>64.14</v>
      </c>
      <c r="Q373" s="111">
        <v>63.77</v>
      </c>
      <c r="R373" s="111">
        <v>63.97</v>
      </c>
      <c r="S373" s="111">
        <v>10.66</v>
      </c>
      <c r="T373" s="113">
        <v>1.05</v>
      </c>
      <c r="U373" s="114">
        <v>0.8</v>
      </c>
      <c r="V373" s="111">
        <v>1.1000000000000001</v>
      </c>
      <c r="W373" s="32">
        <v>258</v>
      </c>
      <c r="X373" s="32">
        <v>72</v>
      </c>
      <c r="Y373" s="32">
        <v>47.6</v>
      </c>
      <c r="Z373" s="32">
        <v>8.1999999999999993</v>
      </c>
    </row>
    <row r="374" spans="5:26" ht="14.4">
      <c r="E374" s="108" t="s">
        <v>124</v>
      </c>
      <c r="F374" s="303"/>
      <c r="G374" s="109" t="s">
        <v>335</v>
      </c>
      <c r="H374" s="110" t="s">
        <v>424</v>
      </c>
      <c r="I374" s="109">
        <v>4.5999999999999996</v>
      </c>
      <c r="J374" s="111">
        <v>4.4000000000000004</v>
      </c>
      <c r="K374" s="112">
        <v>1178.7</v>
      </c>
      <c r="L374" s="112">
        <v>686.1</v>
      </c>
      <c r="M374" s="112">
        <v>1182.7</v>
      </c>
      <c r="N374" s="111">
        <v>64.11</v>
      </c>
      <c r="O374" s="111">
        <v>64.16</v>
      </c>
      <c r="P374" s="111">
        <v>64.650000000000006</v>
      </c>
      <c r="Q374" s="111">
        <v>63.93</v>
      </c>
      <c r="R374" s="111">
        <v>64.209999999999994</v>
      </c>
      <c r="S374" s="111">
        <v>14.92</v>
      </c>
      <c r="T374" s="113">
        <v>1.46</v>
      </c>
      <c r="U374" s="114"/>
      <c r="V374" s="111">
        <v>1.37</v>
      </c>
      <c r="W374" s="32">
        <v>258</v>
      </c>
      <c r="X374" s="32">
        <v>72</v>
      </c>
      <c r="Y374" s="32">
        <v>47.6</v>
      </c>
      <c r="Z374" s="32">
        <v>8.1999999999999993</v>
      </c>
    </row>
    <row r="375" spans="5:26" ht="14.4">
      <c r="E375" s="108" t="s">
        <v>124</v>
      </c>
      <c r="F375" s="303"/>
      <c r="G375" s="109" t="s">
        <v>335</v>
      </c>
      <c r="H375" s="110" t="s">
        <v>447</v>
      </c>
      <c r="I375" s="109">
        <v>4.5999999999999996</v>
      </c>
      <c r="J375" s="111">
        <v>4.4000000000000004</v>
      </c>
      <c r="K375" s="112">
        <v>1179</v>
      </c>
      <c r="L375" s="112">
        <v>684.9</v>
      </c>
      <c r="M375" s="112">
        <v>1184.2</v>
      </c>
      <c r="N375" s="111">
        <v>63.42</v>
      </c>
      <c r="O375" s="111">
        <v>63.44</v>
      </c>
      <c r="P375" s="111">
        <v>63.5</v>
      </c>
      <c r="Q375" s="111">
        <v>63.26</v>
      </c>
      <c r="R375" s="111">
        <v>63.41</v>
      </c>
      <c r="S375" s="111">
        <v>11.43</v>
      </c>
      <c r="T375" s="113">
        <v>1.1299999999999999</v>
      </c>
      <c r="U375" s="114"/>
      <c r="V375" s="111"/>
      <c r="W375" s="32">
        <v>258</v>
      </c>
      <c r="X375" s="32">
        <v>72</v>
      </c>
      <c r="Y375" s="32">
        <v>47.6</v>
      </c>
      <c r="Z375" s="32">
        <v>8.1999999999999993</v>
      </c>
    </row>
    <row r="376" spans="5:26" ht="14.4">
      <c r="E376" s="108" t="s">
        <v>124</v>
      </c>
      <c r="F376" s="303"/>
      <c r="G376" s="109" t="s">
        <v>335</v>
      </c>
      <c r="H376" s="110" t="s">
        <v>432</v>
      </c>
      <c r="I376" s="109">
        <v>4.5999999999999996</v>
      </c>
      <c r="J376" s="111">
        <v>4.4000000000000004</v>
      </c>
      <c r="K376" s="112">
        <v>1185.2</v>
      </c>
      <c r="L376" s="112">
        <v>687.3</v>
      </c>
      <c r="M376" s="112">
        <v>1190.5999999999999</v>
      </c>
      <c r="N376" s="111">
        <v>64.209999999999994</v>
      </c>
      <c r="O376" s="111">
        <v>64.22</v>
      </c>
      <c r="P376" s="111">
        <v>64.38</v>
      </c>
      <c r="Q376" s="111">
        <v>64.5</v>
      </c>
      <c r="R376" s="111">
        <v>64.33</v>
      </c>
      <c r="S376" s="111">
        <v>13.28</v>
      </c>
      <c r="T376" s="113">
        <v>1.3</v>
      </c>
      <c r="U376" s="114"/>
      <c r="V376" s="111"/>
      <c r="W376" s="32">
        <v>258</v>
      </c>
      <c r="X376" s="32">
        <v>72</v>
      </c>
      <c r="Y376" s="32">
        <v>47.6</v>
      </c>
      <c r="Z376" s="32">
        <v>8.1999999999999993</v>
      </c>
    </row>
    <row r="377" spans="5:26" ht="14.4">
      <c r="E377" s="108" t="s">
        <v>124</v>
      </c>
      <c r="F377" s="303"/>
      <c r="G377" s="109" t="s">
        <v>335</v>
      </c>
      <c r="H377" s="110" t="s">
        <v>448</v>
      </c>
      <c r="I377" s="109">
        <v>4.5999999999999996</v>
      </c>
      <c r="J377" s="111">
        <v>4.4000000000000004</v>
      </c>
      <c r="K377" s="112">
        <v>1191</v>
      </c>
      <c r="L377" s="112">
        <v>693</v>
      </c>
      <c r="M377" s="112">
        <v>1195.8</v>
      </c>
      <c r="N377" s="111">
        <v>64.78</v>
      </c>
      <c r="O377" s="111">
        <v>64.66</v>
      </c>
      <c r="P377" s="111">
        <v>64.349999999999994</v>
      </c>
      <c r="Q377" s="111">
        <v>64.36</v>
      </c>
      <c r="R377" s="111">
        <v>64.540000000000006</v>
      </c>
      <c r="S377" s="111">
        <v>11.39</v>
      </c>
      <c r="T377" s="113">
        <v>1.1100000000000001</v>
      </c>
      <c r="U377" s="114"/>
      <c r="V377" s="111"/>
      <c r="W377" s="32">
        <v>258</v>
      </c>
      <c r="X377" s="32">
        <v>72</v>
      </c>
      <c r="Y377" s="32">
        <v>47.6</v>
      </c>
      <c r="Z377" s="32">
        <v>8.1999999999999993</v>
      </c>
    </row>
    <row r="378" spans="5:26" ht="14.4">
      <c r="E378" s="108" t="s">
        <v>124</v>
      </c>
      <c r="F378" s="308"/>
      <c r="G378" s="109" t="s">
        <v>335</v>
      </c>
      <c r="H378" s="110" t="s">
        <v>434</v>
      </c>
      <c r="I378" s="109">
        <v>4.5999999999999996</v>
      </c>
      <c r="J378" s="111">
        <v>4.4000000000000004</v>
      </c>
      <c r="K378" s="112">
        <v>1207</v>
      </c>
      <c r="L378" s="112">
        <v>700.2</v>
      </c>
      <c r="M378" s="112">
        <v>1211.8</v>
      </c>
      <c r="N378" s="111">
        <v>62.97</v>
      </c>
      <c r="O378" s="111">
        <v>63.86</v>
      </c>
      <c r="P378" s="111">
        <v>63.1</v>
      </c>
      <c r="Q378" s="111">
        <v>63.01</v>
      </c>
      <c r="R378" s="111">
        <v>63.24</v>
      </c>
      <c r="S378" s="111">
        <v>13.6</v>
      </c>
      <c r="T378" s="113">
        <v>1.35</v>
      </c>
      <c r="U378" s="114"/>
      <c r="V378" s="111"/>
      <c r="W378" s="32">
        <v>258</v>
      </c>
      <c r="X378" s="32">
        <v>72</v>
      </c>
      <c r="Y378" s="32">
        <v>47.6</v>
      </c>
      <c r="Z378" s="32">
        <v>8.1999999999999993</v>
      </c>
    </row>
    <row r="379" spans="5:26">
      <c r="E379" s="30" t="s">
        <v>126</v>
      </c>
      <c r="F379" s="303" t="s">
        <v>218</v>
      </c>
      <c r="G379" s="30" t="s">
        <v>324</v>
      </c>
      <c r="H379" s="31" t="s">
        <v>449</v>
      </c>
      <c r="I379" s="30">
        <v>4.5999999999999996</v>
      </c>
      <c r="J379" s="32">
        <v>4.3977055449330802</v>
      </c>
      <c r="K379" s="33">
        <v>1204.0999999999999</v>
      </c>
      <c r="L379" s="33">
        <v>716.3</v>
      </c>
      <c r="M379" s="33">
        <v>1206.5999999999999</v>
      </c>
      <c r="N379" s="32">
        <v>62.13</v>
      </c>
      <c r="O379" s="32">
        <v>62.1</v>
      </c>
      <c r="P379" s="32">
        <v>62</v>
      </c>
      <c r="Q379" s="32">
        <v>62.2</v>
      </c>
      <c r="R379" s="32">
        <v>64.959999999999994</v>
      </c>
      <c r="S379" s="32">
        <v>9.1999999999999993</v>
      </c>
      <c r="T379" s="42">
        <f t="shared" ref="T379:T442" si="15">6.287*S379/R379</f>
        <v>0.8904002463054187</v>
      </c>
      <c r="U379" s="32">
        <f>V379/V380</f>
        <v>0.90522923014851409</v>
      </c>
      <c r="V379" s="32">
        <f>AVERAGE(T379,T381,T383)</f>
        <v>0.9035118851814693</v>
      </c>
    </row>
    <row r="380" spans="5:26">
      <c r="E380" s="30" t="s">
        <v>126</v>
      </c>
      <c r="F380" s="303"/>
      <c r="G380" s="30" t="s">
        <v>324</v>
      </c>
      <c r="H380" s="31" t="s">
        <v>308</v>
      </c>
      <c r="I380" s="30">
        <v>4.5999999999999996</v>
      </c>
      <c r="J380" s="32">
        <v>4.3977055449330802</v>
      </c>
      <c r="K380" s="33">
        <v>1195.0999999999999</v>
      </c>
      <c r="L380" s="33">
        <v>711.2</v>
      </c>
      <c r="M380" s="33">
        <v>1197.9000000000001</v>
      </c>
      <c r="N380" s="32">
        <v>62.57</v>
      </c>
      <c r="O380" s="32">
        <v>62.34</v>
      </c>
      <c r="P380" s="32">
        <v>62.35</v>
      </c>
      <c r="Q380" s="32">
        <v>62.59</v>
      </c>
      <c r="R380" s="32">
        <v>63.8825</v>
      </c>
      <c r="S380" s="32">
        <v>9.4</v>
      </c>
      <c r="T380" s="42">
        <f t="shared" si="15"/>
        <v>0.92510155363362423</v>
      </c>
      <c r="U380" s="32"/>
      <c r="V380" s="32">
        <f>AVERAGE(T380,T382,T384)</f>
        <v>0.99810286178367991</v>
      </c>
    </row>
    <row r="381" spans="5:26">
      <c r="E381" s="30" t="s">
        <v>126</v>
      </c>
      <c r="F381" s="303"/>
      <c r="G381" s="30" t="s">
        <v>324</v>
      </c>
      <c r="H381" s="31" t="s">
        <v>450</v>
      </c>
      <c r="I381" s="30">
        <v>4.5999999999999996</v>
      </c>
      <c r="J381" s="32">
        <v>4.3977055449330802</v>
      </c>
      <c r="K381" s="33">
        <v>1207.5</v>
      </c>
      <c r="L381" s="33">
        <v>718.4</v>
      </c>
      <c r="M381" s="33">
        <v>1210.2</v>
      </c>
      <c r="N381" s="32">
        <v>62.34</v>
      </c>
      <c r="O381" s="32">
        <v>62.22</v>
      </c>
      <c r="P381" s="32">
        <v>62.24</v>
      </c>
      <c r="Q381" s="32">
        <v>62.36</v>
      </c>
      <c r="R381" s="32">
        <v>63.594999999999999</v>
      </c>
      <c r="S381" s="32">
        <v>9.4</v>
      </c>
      <c r="T381" s="42">
        <f t="shared" si="15"/>
        <v>0.92928374872238384</v>
      </c>
      <c r="U381" s="32"/>
    </row>
    <row r="382" spans="5:26">
      <c r="E382" s="30" t="s">
        <v>126</v>
      </c>
      <c r="F382" s="303"/>
      <c r="G382" s="30" t="s">
        <v>324</v>
      </c>
      <c r="H382" s="31" t="s">
        <v>310</v>
      </c>
      <c r="I382" s="30">
        <v>4.5999999999999996</v>
      </c>
      <c r="J382" s="32">
        <v>4.3977055449330802</v>
      </c>
      <c r="K382" s="33">
        <v>1202.5</v>
      </c>
      <c r="L382" s="33">
        <v>715.9</v>
      </c>
      <c r="M382" s="33">
        <v>1206.5</v>
      </c>
      <c r="N382" s="32">
        <v>63.48</v>
      </c>
      <c r="O382" s="32">
        <v>63.61</v>
      </c>
      <c r="P382" s="32">
        <v>63.34</v>
      </c>
      <c r="Q382" s="32">
        <v>63.55</v>
      </c>
      <c r="R382" s="32">
        <v>64.16</v>
      </c>
      <c r="S382" s="32">
        <v>10.11</v>
      </c>
      <c r="T382" s="42">
        <f t="shared" si="15"/>
        <v>0.99067284912718201</v>
      </c>
      <c r="U382" s="32"/>
    </row>
    <row r="383" spans="5:26">
      <c r="E383" s="30" t="s">
        <v>126</v>
      </c>
      <c r="F383" s="303"/>
      <c r="G383" s="30" t="s">
        <v>324</v>
      </c>
      <c r="H383" s="31" t="s">
        <v>451</v>
      </c>
      <c r="I383" s="30">
        <v>4.5999999999999996</v>
      </c>
      <c r="J383" s="32">
        <v>4.3977055449330802</v>
      </c>
      <c r="K383" s="33">
        <v>1204.4000000000001</v>
      </c>
      <c r="L383" s="33">
        <v>716.7</v>
      </c>
      <c r="M383" s="33">
        <v>1207.4000000000001</v>
      </c>
      <c r="N383" s="32">
        <v>62.77</v>
      </c>
      <c r="O383" s="32">
        <v>62.8</v>
      </c>
      <c r="P383" s="32">
        <v>62.93</v>
      </c>
      <c r="Q383" s="32">
        <v>62.56</v>
      </c>
      <c r="R383" s="32">
        <v>64.362499999999997</v>
      </c>
      <c r="S383" s="32">
        <v>9.1199999999999992</v>
      </c>
      <c r="T383" s="42">
        <f t="shared" si="15"/>
        <v>0.89085166051660514</v>
      </c>
      <c r="U383" s="32"/>
    </row>
    <row r="384" spans="5:26">
      <c r="E384" s="30" t="s">
        <v>126</v>
      </c>
      <c r="F384" s="303"/>
      <c r="G384" s="30" t="s">
        <v>324</v>
      </c>
      <c r="H384" s="31" t="s">
        <v>437</v>
      </c>
      <c r="I384" s="30">
        <v>4.5999999999999996</v>
      </c>
      <c r="J384" s="32">
        <v>4.3977055449330802</v>
      </c>
      <c r="K384" s="33">
        <v>1208.8</v>
      </c>
      <c r="L384" s="33">
        <v>720.4</v>
      </c>
      <c r="M384" s="33">
        <v>1212</v>
      </c>
      <c r="N384" s="32">
        <v>63.38</v>
      </c>
      <c r="O384" s="32">
        <v>63.52</v>
      </c>
      <c r="P384" s="32">
        <v>63.55</v>
      </c>
      <c r="Q384" s="32">
        <v>63.3</v>
      </c>
      <c r="R384" s="32">
        <v>64.762500000000003</v>
      </c>
      <c r="S384" s="32">
        <v>11.11</v>
      </c>
      <c r="T384" s="42">
        <f t="shared" si="15"/>
        <v>1.0785341825902335</v>
      </c>
      <c r="U384" s="32"/>
    </row>
    <row r="385" spans="5:22">
      <c r="E385" s="30" t="s">
        <v>129</v>
      </c>
      <c r="F385" s="303" t="s">
        <v>254</v>
      </c>
      <c r="G385" s="30" t="s">
        <v>306</v>
      </c>
      <c r="H385" s="31" t="s">
        <v>449</v>
      </c>
      <c r="I385" s="31">
        <v>4.5999999999999996</v>
      </c>
      <c r="J385" s="32">
        <v>4.3977055449330802</v>
      </c>
      <c r="K385" s="33">
        <v>1204.0999999999999</v>
      </c>
      <c r="L385" s="33">
        <v>716.3</v>
      </c>
      <c r="M385" s="33">
        <v>1206.5999999999999</v>
      </c>
      <c r="N385" s="32">
        <v>63.44</v>
      </c>
      <c r="O385" s="32">
        <v>63.36</v>
      </c>
      <c r="P385" s="32">
        <v>63.28</v>
      </c>
      <c r="Q385" s="32">
        <v>63.51</v>
      </c>
      <c r="R385" s="32">
        <v>63.397500000000001</v>
      </c>
      <c r="S385" s="32">
        <v>11.65</v>
      </c>
      <c r="T385" s="32">
        <f t="shared" si="15"/>
        <v>1.155306597263299</v>
      </c>
      <c r="U385" s="32">
        <f>V385/V386</f>
        <v>0.80199360027582922</v>
      </c>
      <c r="V385" s="32">
        <f>AVERAGE(T385,T387,T389)</f>
        <v>1.1472963401122731</v>
      </c>
    </row>
    <row r="386" spans="5:22">
      <c r="E386" s="30" t="s">
        <v>129</v>
      </c>
      <c r="F386" s="303"/>
      <c r="G386" s="30" t="s">
        <v>306</v>
      </c>
      <c r="H386" s="31" t="s">
        <v>308</v>
      </c>
      <c r="I386" s="31">
        <v>4.5999999999999996</v>
      </c>
      <c r="J386" s="32">
        <v>4.3977055449330802</v>
      </c>
      <c r="K386" s="33">
        <v>1195.0999999999999</v>
      </c>
      <c r="L386" s="33">
        <v>711.2</v>
      </c>
      <c r="M386" s="33">
        <v>1197.9000000000001</v>
      </c>
      <c r="N386" s="32">
        <v>61.66</v>
      </c>
      <c r="O386" s="32">
        <v>61.9</v>
      </c>
      <c r="P386" s="32">
        <v>62.09</v>
      </c>
      <c r="Q386" s="32">
        <v>61.95</v>
      </c>
      <c r="R386" s="32">
        <v>61.9</v>
      </c>
      <c r="S386" s="32">
        <v>15.02</v>
      </c>
      <c r="T386" s="32">
        <f t="shared" si="15"/>
        <v>1.5255369951534734</v>
      </c>
      <c r="U386" s="32"/>
      <c r="V386" s="32">
        <f>AVERAGE(T386,T388,T390)</f>
        <v>1.4305554803899734</v>
      </c>
    </row>
    <row r="387" spans="5:22">
      <c r="E387" s="30" t="s">
        <v>129</v>
      </c>
      <c r="F387" s="303"/>
      <c r="G387" s="30" t="s">
        <v>306</v>
      </c>
      <c r="H387" s="31" t="s">
        <v>450</v>
      </c>
      <c r="I387" s="31">
        <v>4.5999999999999996</v>
      </c>
      <c r="J387" s="32">
        <v>4.3977055449330802</v>
      </c>
      <c r="K387" s="33">
        <v>1207.5</v>
      </c>
      <c r="L387" s="33">
        <v>718.4</v>
      </c>
      <c r="M387" s="33">
        <v>1210.2</v>
      </c>
      <c r="N387" s="32">
        <v>63.25</v>
      </c>
      <c r="O387" s="32">
        <v>63</v>
      </c>
      <c r="P387" s="32">
        <v>63.14</v>
      </c>
      <c r="Q387" s="32">
        <v>63.23</v>
      </c>
      <c r="R387" s="32">
        <v>63.155000000000001</v>
      </c>
      <c r="S387" s="32">
        <v>10.65</v>
      </c>
      <c r="T387" s="32">
        <f t="shared" si="15"/>
        <v>1.0601939672234979</v>
      </c>
      <c r="U387" s="32"/>
    </row>
    <row r="388" spans="5:22">
      <c r="E388" s="30" t="s">
        <v>129</v>
      </c>
      <c r="F388" s="303"/>
      <c r="G388" s="30" t="s">
        <v>306</v>
      </c>
      <c r="H388" s="31" t="s">
        <v>310</v>
      </c>
      <c r="I388" s="31">
        <v>4.5999999999999996</v>
      </c>
      <c r="J388" s="32">
        <v>4.3977055449330802</v>
      </c>
      <c r="K388" s="33">
        <v>1202.5</v>
      </c>
      <c r="L388" s="33">
        <v>715.9</v>
      </c>
      <c r="M388" s="33">
        <v>1206.5</v>
      </c>
      <c r="N388" s="32">
        <v>62.98</v>
      </c>
      <c r="O388" s="32">
        <v>62.8</v>
      </c>
      <c r="P388" s="32">
        <v>63.02</v>
      </c>
      <c r="Q388" s="32">
        <v>63.09</v>
      </c>
      <c r="R388" s="32">
        <v>62.972499999999997</v>
      </c>
      <c r="S388" s="32">
        <v>14.37</v>
      </c>
      <c r="T388" s="32">
        <f t="shared" si="15"/>
        <v>1.4346610028186908</v>
      </c>
      <c r="U388" s="32"/>
    </row>
    <row r="389" spans="5:22">
      <c r="E389" s="30" t="s">
        <v>129</v>
      </c>
      <c r="F389" s="303"/>
      <c r="G389" s="30" t="s">
        <v>306</v>
      </c>
      <c r="H389" s="31" t="s">
        <v>451</v>
      </c>
      <c r="I389" s="31">
        <v>4.5999999999999996</v>
      </c>
      <c r="J389" s="32">
        <v>4.3977055449330802</v>
      </c>
      <c r="K389" s="33">
        <v>1204.4000000000001</v>
      </c>
      <c r="L389" s="33">
        <v>716.7</v>
      </c>
      <c r="M389" s="33">
        <v>1207.4000000000001</v>
      </c>
      <c r="N389" s="32">
        <v>62.65</v>
      </c>
      <c r="O389" s="32">
        <v>62.51</v>
      </c>
      <c r="P389" s="32">
        <v>62.45</v>
      </c>
      <c r="Q389" s="32">
        <v>62.56</v>
      </c>
      <c r="R389" s="32">
        <v>62.542499999999997</v>
      </c>
      <c r="S389" s="32">
        <v>12.2</v>
      </c>
      <c r="T389" s="32">
        <f t="shared" si="15"/>
        <v>1.226388455850022</v>
      </c>
      <c r="U389" s="32"/>
    </row>
    <row r="390" spans="5:22">
      <c r="E390" s="30" t="s">
        <v>129</v>
      </c>
      <c r="F390" s="303"/>
      <c r="G390" s="30" t="s">
        <v>306</v>
      </c>
      <c r="H390" s="31" t="s">
        <v>437</v>
      </c>
      <c r="I390" s="31">
        <v>4.5999999999999996</v>
      </c>
      <c r="J390" s="32">
        <v>4.3977055449330802</v>
      </c>
      <c r="K390" s="33">
        <v>1208.8</v>
      </c>
      <c r="L390" s="33">
        <v>720.4</v>
      </c>
      <c r="M390" s="33">
        <v>1212</v>
      </c>
      <c r="N390" s="32">
        <v>63.99</v>
      </c>
      <c r="O390" s="32">
        <v>64.319999999999993</v>
      </c>
      <c r="P390" s="32">
        <v>64.290000000000006</v>
      </c>
      <c r="Q390" s="32">
        <v>64.08</v>
      </c>
      <c r="R390" s="32">
        <v>64.17</v>
      </c>
      <c r="S390" s="32">
        <v>13.59</v>
      </c>
      <c r="T390" s="32">
        <f t="shared" si="15"/>
        <v>1.3314684431977559</v>
      </c>
      <c r="U390" s="32"/>
    </row>
    <row r="391" spans="5:22">
      <c r="E391" s="30" t="s">
        <v>129</v>
      </c>
      <c r="F391" s="303" t="s">
        <v>255</v>
      </c>
      <c r="G391" s="30" t="s">
        <v>312</v>
      </c>
      <c r="H391" s="31" t="s">
        <v>449</v>
      </c>
      <c r="I391" s="31">
        <v>4.8</v>
      </c>
      <c r="J391" s="32">
        <v>4.5801526717557302</v>
      </c>
      <c r="K391" s="33">
        <v>1209.3</v>
      </c>
      <c r="L391" s="33">
        <v>722.8</v>
      </c>
      <c r="M391" s="33">
        <v>1211.0999999999999</v>
      </c>
      <c r="N391" s="32">
        <v>63.65</v>
      </c>
      <c r="O391" s="32">
        <v>63.71</v>
      </c>
      <c r="P391" s="32">
        <v>63.7</v>
      </c>
      <c r="Q391" s="32">
        <v>63.54</v>
      </c>
      <c r="R391" s="32">
        <v>63.65</v>
      </c>
      <c r="S391" s="32">
        <v>11.69</v>
      </c>
      <c r="T391" s="42">
        <f t="shared" si="15"/>
        <v>1.1546744697564808</v>
      </c>
      <c r="U391" s="32">
        <f>V391/V392</f>
        <v>0.81033524229921994</v>
      </c>
      <c r="V391" s="32">
        <f>AVERAGE(T391,T397,T393,T395)</f>
        <v>1.1477485032026784</v>
      </c>
    </row>
    <row r="392" spans="5:22">
      <c r="E392" s="30" t="s">
        <v>129</v>
      </c>
      <c r="F392" s="303"/>
      <c r="G392" s="30" t="s">
        <v>312</v>
      </c>
      <c r="H392" s="31" t="s">
        <v>308</v>
      </c>
      <c r="I392" s="31">
        <v>4.8</v>
      </c>
      <c r="J392" s="32">
        <v>4.5801526717557302</v>
      </c>
      <c r="K392" s="33">
        <v>1213.5</v>
      </c>
      <c r="L392" s="33">
        <v>726.4</v>
      </c>
      <c r="M392" s="33">
        <v>1216.2</v>
      </c>
      <c r="N392" s="32">
        <v>63.66</v>
      </c>
      <c r="O392" s="32">
        <v>63.35</v>
      </c>
      <c r="P392" s="32">
        <v>63.28</v>
      </c>
      <c r="Q392" s="32">
        <v>63.48</v>
      </c>
      <c r="R392" s="32">
        <v>63.442500000000003</v>
      </c>
      <c r="S392" s="32">
        <v>14.64</v>
      </c>
      <c r="T392" s="42">
        <f t="shared" si="15"/>
        <v>1.4507889821491902</v>
      </c>
      <c r="U392" s="32"/>
      <c r="V392" s="32">
        <f>AVERAGE(T392,T394,T396)</f>
        <v>1.4163872472658261</v>
      </c>
    </row>
    <row r="393" spans="5:22">
      <c r="E393" s="30" t="s">
        <v>129</v>
      </c>
      <c r="F393" s="303"/>
      <c r="G393" s="30" t="s">
        <v>312</v>
      </c>
      <c r="H393" s="31" t="s">
        <v>450</v>
      </c>
      <c r="I393" s="31">
        <v>4.8</v>
      </c>
      <c r="J393" s="32">
        <v>4.5801526717557302</v>
      </c>
      <c r="K393" s="33">
        <v>1212.8</v>
      </c>
      <c r="L393" s="33">
        <v>723.8</v>
      </c>
      <c r="M393" s="33">
        <v>1215.5999999999999</v>
      </c>
      <c r="N393" s="32">
        <v>63.41</v>
      </c>
      <c r="O393" s="32">
        <v>63.68</v>
      </c>
      <c r="P393" s="32">
        <v>63.74</v>
      </c>
      <c r="Q393" s="32">
        <v>63.38</v>
      </c>
      <c r="R393" s="32">
        <v>63.552500000000002</v>
      </c>
      <c r="S393" s="32">
        <v>11.29</v>
      </c>
      <c r="T393" s="42">
        <f t="shared" si="15"/>
        <v>1.1168754966366388</v>
      </c>
      <c r="U393" s="32"/>
    </row>
    <row r="394" spans="5:22">
      <c r="E394" s="30" t="s">
        <v>129</v>
      </c>
      <c r="F394" s="303"/>
      <c r="G394" s="30" t="s">
        <v>312</v>
      </c>
      <c r="H394" s="31" t="s">
        <v>310</v>
      </c>
      <c r="I394" s="31">
        <v>4.8</v>
      </c>
      <c r="J394" s="32">
        <v>4.5801526717557302</v>
      </c>
      <c r="K394" s="33">
        <v>1214.7</v>
      </c>
      <c r="L394" s="33">
        <v>723.3</v>
      </c>
      <c r="M394" s="33">
        <v>1222.3</v>
      </c>
      <c r="N394" s="32">
        <v>64.42</v>
      </c>
      <c r="O394" s="32">
        <v>64.510000000000005</v>
      </c>
      <c r="P394" s="32">
        <v>64.63</v>
      </c>
      <c r="Q394" s="32">
        <v>64.63</v>
      </c>
      <c r="R394" s="32">
        <v>64.547499999999999</v>
      </c>
      <c r="S394" s="32">
        <v>13.89</v>
      </c>
      <c r="T394" s="42">
        <f t="shared" si="15"/>
        <v>1.352901816491731</v>
      </c>
      <c r="U394" s="32"/>
    </row>
    <row r="395" spans="5:22">
      <c r="E395" s="30" t="s">
        <v>129</v>
      </c>
      <c r="F395" s="303"/>
      <c r="G395" s="30" t="s">
        <v>312</v>
      </c>
      <c r="H395" s="31" t="s">
        <v>451</v>
      </c>
      <c r="I395" s="31">
        <v>4.8</v>
      </c>
      <c r="J395" s="32">
        <v>4.5801526717557302</v>
      </c>
      <c r="K395" s="33">
        <v>1212.8</v>
      </c>
      <c r="L395" s="33">
        <v>722.5</v>
      </c>
      <c r="M395" s="33">
        <v>1215.5</v>
      </c>
      <c r="N395" s="32">
        <v>63.41</v>
      </c>
      <c r="O395" s="32">
        <v>63.38</v>
      </c>
      <c r="P395" s="32">
        <v>63.62</v>
      </c>
      <c r="Q395" s="32">
        <v>63.45</v>
      </c>
      <c r="R395" s="32">
        <v>63.465000000000003</v>
      </c>
      <c r="S395" s="32">
        <v>11.02</v>
      </c>
      <c r="T395" s="42">
        <f t="shared" si="15"/>
        <v>1.0916684786890409</v>
      </c>
      <c r="U395" s="32"/>
    </row>
    <row r="396" spans="5:22">
      <c r="E396" s="30" t="s">
        <v>129</v>
      </c>
      <c r="F396" s="303"/>
      <c r="G396" s="30" t="s">
        <v>312</v>
      </c>
      <c r="H396" s="31" t="s">
        <v>437</v>
      </c>
      <c r="I396" s="31">
        <v>4.8</v>
      </c>
      <c r="J396" s="32">
        <v>4.5801526717557302</v>
      </c>
      <c r="K396" s="33">
        <v>1215.3</v>
      </c>
      <c r="L396" s="33">
        <v>722.1</v>
      </c>
      <c r="M396" s="33">
        <v>1219.2</v>
      </c>
      <c r="N396" s="32">
        <v>63.03</v>
      </c>
      <c r="O396" s="32">
        <v>63.17</v>
      </c>
      <c r="P396" s="32">
        <v>62.89</v>
      </c>
      <c r="Q396" s="32">
        <v>62.83</v>
      </c>
      <c r="R396" s="32">
        <v>62.98</v>
      </c>
      <c r="S396" s="32">
        <v>14.48</v>
      </c>
      <c r="T396" s="42">
        <f t="shared" si="15"/>
        <v>1.4454709431565576</v>
      </c>
      <c r="U396" s="32"/>
    </row>
    <row r="397" spans="5:22" ht="14.4">
      <c r="E397" s="30" t="s">
        <v>134</v>
      </c>
      <c r="F397" s="30" t="s">
        <v>218</v>
      </c>
      <c r="G397" s="30" t="s">
        <v>305</v>
      </c>
      <c r="H397" s="31" t="s">
        <v>294</v>
      </c>
      <c r="I397" s="30">
        <v>4.8</v>
      </c>
      <c r="J397" s="32">
        <v>4.5801526717557302</v>
      </c>
      <c r="K397" s="33">
        <v>1145</v>
      </c>
      <c r="L397" s="33">
        <v>670.9</v>
      </c>
      <c r="M397" s="33">
        <v>1149.2</v>
      </c>
      <c r="N397" s="32">
        <v>62.66</v>
      </c>
      <c r="O397" s="32">
        <v>62.77</v>
      </c>
      <c r="P397" s="32">
        <v>62.6</v>
      </c>
      <c r="Q397" s="32">
        <v>62.57</v>
      </c>
      <c r="R397" s="32">
        <v>62.676666666666698</v>
      </c>
      <c r="S397" s="32">
        <v>12.24</v>
      </c>
      <c r="T397" s="42">
        <f t="shared" si="15"/>
        <v>1.2277755677285533</v>
      </c>
      <c r="U397" s="32">
        <f>V398/V397</f>
        <v>0.88392121124263168</v>
      </c>
      <c r="V397" s="32">
        <f>AVERAGE(T397,T399,T401)</f>
        <v>1.1591096376079044</v>
      </c>
    </row>
    <row r="398" spans="5:22">
      <c r="E398" s="30" t="s">
        <v>134</v>
      </c>
      <c r="F398" s="30" t="s">
        <v>218</v>
      </c>
      <c r="G398" s="30" t="s">
        <v>305</v>
      </c>
      <c r="H398" s="31" t="s">
        <v>452</v>
      </c>
      <c r="I398" s="30">
        <v>4.8</v>
      </c>
      <c r="J398" s="32">
        <v>4.5801526717557302</v>
      </c>
      <c r="K398" s="33">
        <v>1153.0999999999999</v>
      </c>
      <c r="L398" s="33">
        <v>678.1</v>
      </c>
      <c r="M398" s="33">
        <v>1158.5</v>
      </c>
      <c r="N398" s="32">
        <v>63.36</v>
      </c>
      <c r="O398" s="32">
        <v>63.87</v>
      </c>
      <c r="P398" s="32">
        <v>63.56</v>
      </c>
      <c r="Q398" s="32">
        <v>63.35</v>
      </c>
      <c r="R398" s="32">
        <v>63.5966666666667</v>
      </c>
      <c r="S398" s="32">
        <v>10.16</v>
      </c>
      <c r="T398" s="42">
        <f t="shared" si="15"/>
        <v>1.0043910058179144</v>
      </c>
      <c r="U398" s="32"/>
      <c r="V398" s="32">
        <f>AVERAGE(T398,T400,T402)</f>
        <v>1.0245615948373867</v>
      </c>
    </row>
    <row r="399" spans="5:22">
      <c r="E399" s="30" t="s">
        <v>134</v>
      </c>
      <c r="F399" s="30" t="s">
        <v>218</v>
      </c>
      <c r="G399" s="30" t="s">
        <v>305</v>
      </c>
      <c r="H399" s="31" t="s">
        <v>309</v>
      </c>
      <c r="I399" s="30">
        <v>4.8</v>
      </c>
      <c r="J399" s="32">
        <v>4.5801526717557302</v>
      </c>
      <c r="K399" s="33">
        <v>1152.5999999999999</v>
      </c>
      <c r="L399" s="33">
        <v>679</v>
      </c>
      <c r="M399" s="33">
        <v>1157.5</v>
      </c>
      <c r="N399" s="32">
        <v>63.84</v>
      </c>
      <c r="O399" s="32">
        <v>63.3</v>
      </c>
      <c r="P399" s="32">
        <v>63.69</v>
      </c>
      <c r="Q399" s="32">
        <v>63.76</v>
      </c>
      <c r="R399" s="32">
        <v>63.61</v>
      </c>
      <c r="S399" s="32">
        <v>11.43</v>
      </c>
      <c r="T399" s="42">
        <f t="shared" si="15"/>
        <v>1.129703034114133</v>
      </c>
      <c r="U399" s="32"/>
    </row>
    <row r="400" spans="5:22" ht="14.4">
      <c r="E400" s="30" t="s">
        <v>134</v>
      </c>
      <c r="F400" s="30" t="s">
        <v>218</v>
      </c>
      <c r="G400" s="30" t="s">
        <v>305</v>
      </c>
      <c r="H400" s="31" t="s">
        <v>453</v>
      </c>
      <c r="I400" s="30">
        <v>4.8</v>
      </c>
      <c r="J400" s="32">
        <v>4.5801526717557302</v>
      </c>
      <c r="K400" s="33">
        <v>1148</v>
      </c>
      <c r="L400" s="33">
        <v>676.3</v>
      </c>
      <c r="M400" s="33">
        <v>1152.9000000000001</v>
      </c>
      <c r="N400" s="32">
        <v>64.209999999999994</v>
      </c>
      <c r="O400" s="32">
        <v>63.43</v>
      </c>
      <c r="P400" s="32">
        <v>63.69</v>
      </c>
      <c r="Q400" s="32">
        <v>63.24</v>
      </c>
      <c r="R400" s="32">
        <v>63.776666666666699</v>
      </c>
      <c r="S400" s="32">
        <v>10.65</v>
      </c>
      <c r="T400" s="42">
        <f t="shared" si="15"/>
        <v>1.0498596665447129</v>
      </c>
      <c r="U400" s="32"/>
    </row>
    <row r="401" spans="5:22">
      <c r="E401" s="30" t="s">
        <v>134</v>
      </c>
      <c r="F401" s="30" t="s">
        <v>218</v>
      </c>
      <c r="G401" s="30" t="s">
        <v>305</v>
      </c>
      <c r="H401" s="31" t="s">
        <v>311</v>
      </c>
      <c r="I401" s="30">
        <v>4.8</v>
      </c>
      <c r="J401" s="32">
        <v>4.5801526717557302</v>
      </c>
      <c r="K401" s="33">
        <v>1149</v>
      </c>
      <c r="L401" s="33">
        <v>678.1</v>
      </c>
      <c r="M401" s="33">
        <v>1153.8</v>
      </c>
      <c r="N401" s="32">
        <v>64.14</v>
      </c>
      <c r="O401" s="32">
        <v>63.8</v>
      </c>
      <c r="P401" s="32">
        <v>63.39</v>
      </c>
      <c r="Q401" s="32">
        <v>63.64</v>
      </c>
      <c r="R401" s="32">
        <v>63.776666666666699</v>
      </c>
      <c r="S401" s="32">
        <v>11.36</v>
      </c>
      <c r="T401" s="42">
        <f t="shared" si="15"/>
        <v>1.1198503109810267</v>
      </c>
      <c r="U401" s="32"/>
    </row>
    <row r="402" spans="5:22">
      <c r="E402" s="30" t="s">
        <v>134</v>
      </c>
      <c r="F402" s="30" t="s">
        <v>218</v>
      </c>
      <c r="G402" s="30" t="s">
        <v>305</v>
      </c>
      <c r="H402" s="31" t="s">
        <v>454</v>
      </c>
      <c r="I402" s="30">
        <v>4.8</v>
      </c>
      <c r="J402" s="32">
        <v>4.5801526717557302</v>
      </c>
      <c r="K402" s="33">
        <v>1147.5999999999999</v>
      </c>
      <c r="L402" s="33">
        <v>678.3</v>
      </c>
      <c r="M402" s="33">
        <v>1151.5</v>
      </c>
      <c r="N402" s="32">
        <v>64.59</v>
      </c>
      <c r="O402" s="32">
        <v>63.92</v>
      </c>
      <c r="P402" s="32">
        <v>64.09</v>
      </c>
      <c r="Q402" s="32">
        <v>64.42</v>
      </c>
      <c r="R402" s="32">
        <v>64.2</v>
      </c>
      <c r="S402" s="32">
        <v>10.41</v>
      </c>
      <c r="T402" s="42">
        <f t="shared" si="15"/>
        <v>1.0194341121495327</v>
      </c>
      <c r="U402" s="32"/>
    </row>
    <row r="403" spans="5:22" ht="14.4">
      <c r="E403" s="115" t="s">
        <v>135</v>
      </c>
      <c r="F403" s="30" t="s">
        <v>254</v>
      </c>
      <c r="G403" s="115" t="s">
        <v>455</v>
      </c>
      <c r="H403" s="31" t="s">
        <v>294</v>
      </c>
      <c r="I403" s="116">
        <v>4.8</v>
      </c>
      <c r="J403" s="117">
        <v>4.5801526717557302</v>
      </c>
      <c r="K403" s="118">
        <v>1224.2</v>
      </c>
      <c r="L403" s="118">
        <v>728.8</v>
      </c>
      <c r="M403" s="118">
        <v>1227.3</v>
      </c>
      <c r="N403" s="117">
        <v>63.57</v>
      </c>
      <c r="O403" s="117">
        <v>63.61</v>
      </c>
      <c r="P403" s="117">
        <v>63.75</v>
      </c>
      <c r="Q403" s="117">
        <v>63.75</v>
      </c>
      <c r="R403" s="117">
        <f t="shared" ref="R403:R444" si="16">AVERAGE(N403:Q403)</f>
        <v>63.67</v>
      </c>
      <c r="S403" s="117">
        <v>9.2799999999999994</v>
      </c>
      <c r="T403" s="42">
        <f t="shared" si="15"/>
        <v>0.91633987749332491</v>
      </c>
      <c r="U403" s="32">
        <f>V404/V403</f>
        <v>0.866307550738457</v>
      </c>
      <c r="V403" s="32">
        <f>AVERAGE(T403,T405,T407)</f>
        <v>1.0661779692434139</v>
      </c>
    </row>
    <row r="404" spans="5:22" ht="14.4">
      <c r="E404" s="115" t="s">
        <v>135</v>
      </c>
      <c r="F404" s="30" t="s">
        <v>254</v>
      </c>
      <c r="G404" s="115" t="s">
        <v>455</v>
      </c>
      <c r="H404" s="31" t="s">
        <v>452</v>
      </c>
      <c r="I404" s="116">
        <v>4.8</v>
      </c>
      <c r="J404" s="117">
        <v>4.5801526717557302</v>
      </c>
      <c r="K404" s="118">
        <v>1224.2</v>
      </c>
      <c r="L404" s="118">
        <v>727.9</v>
      </c>
      <c r="M404" s="118">
        <v>1227.5999999999999</v>
      </c>
      <c r="N404" s="117">
        <v>63.82</v>
      </c>
      <c r="O404" s="117">
        <v>63.94</v>
      </c>
      <c r="P404" s="117">
        <v>63.9</v>
      </c>
      <c r="Q404" s="117">
        <v>63.79</v>
      </c>
      <c r="R404" s="117">
        <f t="shared" si="16"/>
        <v>63.862499999999997</v>
      </c>
      <c r="S404" s="117">
        <v>9.98</v>
      </c>
      <c r="T404" s="42">
        <f t="shared" si="15"/>
        <v>0.9824898806028578</v>
      </c>
      <c r="U404" s="32"/>
      <c r="V404" s="32">
        <f>AVERAGE(T404,T406,T408)</f>
        <v>0.92363802518656379</v>
      </c>
    </row>
    <row r="405" spans="5:22" ht="14.4">
      <c r="E405" s="115" t="s">
        <v>135</v>
      </c>
      <c r="F405" s="30" t="s">
        <v>254</v>
      </c>
      <c r="G405" s="115" t="s">
        <v>455</v>
      </c>
      <c r="H405" s="31" t="s">
        <v>309</v>
      </c>
      <c r="I405" s="116">
        <v>4.8</v>
      </c>
      <c r="J405" s="117">
        <v>4.5801526717557302</v>
      </c>
      <c r="K405" s="118">
        <v>1220.7</v>
      </c>
      <c r="L405" s="118">
        <v>723.9</v>
      </c>
      <c r="M405" s="118">
        <v>1224</v>
      </c>
      <c r="N405" s="117">
        <v>64.069999999999993</v>
      </c>
      <c r="O405" s="117">
        <v>64.36</v>
      </c>
      <c r="P405" s="117">
        <v>64.33</v>
      </c>
      <c r="Q405" s="117">
        <v>64.34</v>
      </c>
      <c r="R405" s="117">
        <f t="shared" si="16"/>
        <v>64.275000000000006</v>
      </c>
      <c r="S405" s="117">
        <v>11.08</v>
      </c>
      <c r="T405" s="42">
        <f t="shared" si="15"/>
        <v>1.0837800077790742</v>
      </c>
      <c r="U405" s="32"/>
    </row>
    <row r="406" spans="5:22" ht="14.4">
      <c r="E406" s="115" t="s">
        <v>135</v>
      </c>
      <c r="F406" s="30" t="s">
        <v>254</v>
      </c>
      <c r="G406" s="115" t="s">
        <v>455</v>
      </c>
      <c r="H406" s="31" t="s">
        <v>453</v>
      </c>
      <c r="I406" s="116">
        <v>4.8</v>
      </c>
      <c r="J406" s="117">
        <v>4.5801526717557302</v>
      </c>
      <c r="K406" s="118">
        <v>1215.0999999999999</v>
      </c>
      <c r="L406" s="118">
        <v>721</v>
      </c>
      <c r="M406" s="118">
        <v>1218.5</v>
      </c>
      <c r="N406" s="117">
        <v>63.8</v>
      </c>
      <c r="O406" s="117">
        <v>64</v>
      </c>
      <c r="P406" s="117">
        <v>63.74</v>
      </c>
      <c r="Q406" s="117">
        <v>63.64</v>
      </c>
      <c r="R406" s="117">
        <f t="shared" si="16"/>
        <v>63.795000000000002</v>
      </c>
      <c r="S406" s="117">
        <v>8.31</v>
      </c>
      <c r="T406" s="42">
        <f t="shared" si="15"/>
        <v>0.81895085821772873</v>
      </c>
      <c r="U406" s="32"/>
    </row>
    <row r="407" spans="5:22" ht="14.4">
      <c r="E407" s="115" t="s">
        <v>135</v>
      </c>
      <c r="F407" s="30" t="s">
        <v>254</v>
      </c>
      <c r="G407" s="115" t="s">
        <v>455</v>
      </c>
      <c r="H407" s="31" t="s">
        <v>311</v>
      </c>
      <c r="I407" s="116">
        <v>4.8</v>
      </c>
      <c r="J407" s="117">
        <v>4.5801526717557302</v>
      </c>
      <c r="K407" s="118">
        <v>1221.0999999999999</v>
      </c>
      <c r="L407" s="118">
        <v>722.9</v>
      </c>
      <c r="M407" s="118">
        <v>1223.2</v>
      </c>
      <c r="N407" s="117">
        <v>63.65</v>
      </c>
      <c r="O407" s="117">
        <v>64.709999999999994</v>
      </c>
      <c r="P407" s="117">
        <v>63.66</v>
      </c>
      <c r="Q407" s="117">
        <v>63.57</v>
      </c>
      <c r="R407" s="117">
        <f t="shared" si="16"/>
        <v>63.897499999999994</v>
      </c>
      <c r="S407" s="117">
        <v>12.18</v>
      </c>
      <c r="T407" s="42">
        <f t="shared" si="15"/>
        <v>1.1984140224578428</v>
      </c>
      <c r="U407" s="32"/>
    </row>
    <row r="408" spans="5:22" ht="14.4">
      <c r="E408" s="115" t="s">
        <v>135</v>
      </c>
      <c r="F408" s="30" t="s">
        <v>254</v>
      </c>
      <c r="G408" s="115" t="s">
        <v>455</v>
      </c>
      <c r="H408" s="31" t="s">
        <v>454</v>
      </c>
      <c r="I408" s="116">
        <v>4.8</v>
      </c>
      <c r="J408" s="117">
        <v>4.5801526717557302</v>
      </c>
      <c r="K408" s="118">
        <v>1213.4000000000001</v>
      </c>
      <c r="L408" s="118">
        <v>719.7</v>
      </c>
      <c r="M408" s="118">
        <v>1217.5999999999999</v>
      </c>
      <c r="N408" s="117">
        <v>63.72</v>
      </c>
      <c r="O408" s="117">
        <v>63.62</v>
      </c>
      <c r="P408" s="117">
        <v>63.6</v>
      </c>
      <c r="Q408" s="117">
        <v>63.53</v>
      </c>
      <c r="R408" s="117">
        <f t="shared" si="16"/>
        <v>63.6175</v>
      </c>
      <c r="S408" s="117">
        <v>9.81</v>
      </c>
      <c r="T408" s="42">
        <f t="shared" si="15"/>
        <v>0.96947333673910485</v>
      </c>
      <c r="U408" s="32"/>
    </row>
    <row r="409" spans="5:22" ht="14.4">
      <c r="E409" s="115" t="s">
        <v>135</v>
      </c>
      <c r="F409" s="30" t="s">
        <v>255</v>
      </c>
      <c r="G409" s="115" t="s">
        <v>457</v>
      </c>
      <c r="H409" s="31" t="s">
        <v>294</v>
      </c>
      <c r="I409" s="116">
        <v>4.8</v>
      </c>
      <c r="J409" s="117">
        <v>4.5801526717557302</v>
      </c>
      <c r="K409" s="118">
        <v>1228.3</v>
      </c>
      <c r="L409" s="118">
        <v>727.6</v>
      </c>
      <c r="M409" s="118">
        <v>1234.5999999999999</v>
      </c>
      <c r="N409" s="117">
        <v>64.77</v>
      </c>
      <c r="O409" s="117">
        <v>64.77</v>
      </c>
      <c r="P409" s="117">
        <v>64.77</v>
      </c>
      <c r="Q409" s="117">
        <v>64.8</v>
      </c>
      <c r="R409" s="117">
        <f t="shared" si="16"/>
        <v>64.777500000000003</v>
      </c>
      <c r="S409" s="117">
        <v>11.75</v>
      </c>
      <c r="T409" s="42">
        <f t="shared" si="15"/>
        <v>1.140399830187951</v>
      </c>
      <c r="U409" s="32">
        <f>V410/V409</f>
        <v>0.89866962469163481</v>
      </c>
      <c r="V409" s="32">
        <f>AVERAGE(T409,T411,T413)</f>
        <v>1.1400497818018256</v>
      </c>
    </row>
    <row r="410" spans="5:22" ht="14.4">
      <c r="E410" s="115" t="s">
        <v>135</v>
      </c>
      <c r="F410" s="30" t="s">
        <v>255</v>
      </c>
      <c r="G410" s="115" t="s">
        <v>457</v>
      </c>
      <c r="H410" s="31" t="s">
        <v>452</v>
      </c>
      <c r="I410" s="116">
        <v>4.8</v>
      </c>
      <c r="J410" s="119">
        <v>4.5801526717557302</v>
      </c>
      <c r="K410" s="118">
        <v>1222</v>
      </c>
      <c r="L410" s="118">
        <v>724.7</v>
      </c>
      <c r="M410" s="118">
        <v>1228</v>
      </c>
      <c r="N410" s="117">
        <v>64.209999999999994</v>
      </c>
      <c r="O410" s="117">
        <v>64.31</v>
      </c>
      <c r="P410" s="117">
        <v>64.47</v>
      </c>
      <c r="Q410" s="117">
        <v>64.47</v>
      </c>
      <c r="R410" s="117">
        <f t="shared" si="16"/>
        <v>64.364999999999995</v>
      </c>
      <c r="S410" s="117">
        <v>9.4499999999999993</v>
      </c>
      <c r="T410" s="42">
        <f t="shared" si="15"/>
        <v>0.92305057096247967</v>
      </c>
      <c r="U410" s="32"/>
      <c r="V410" s="32">
        <f>AVERAGE(T410,T412,T414)</f>
        <v>1.0245281095416268</v>
      </c>
    </row>
    <row r="411" spans="5:22" ht="14.4">
      <c r="E411" s="115" t="s">
        <v>135</v>
      </c>
      <c r="F411" s="30" t="s">
        <v>255</v>
      </c>
      <c r="G411" s="115" t="s">
        <v>457</v>
      </c>
      <c r="H411" s="31" t="s">
        <v>309</v>
      </c>
      <c r="I411" s="116">
        <v>4.8</v>
      </c>
      <c r="J411" s="119">
        <v>4.5801526717557302</v>
      </c>
      <c r="K411" s="118">
        <v>1220.5</v>
      </c>
      <c r="L411" s="118">
        <v>722.6</v>
      </c>
      <c r="M411" s="118">
        <v>1225</v>
      </c>
      <c r="N411" s="117">
        <v>65.14</v>
      </c>
      <c r="O411" s="117">
        <v>65.3</v>
      </c>
      <c r="P411" s="117">
        <v>65.209999999999994</v>
      </c>
      <c r="Q411" s="117">
        <v>65.209999999999994</v>
      </c>
      <c r="R411" s="117">
        <f t="shared" si="16"/>
        <v>65.214999999999989</v>
      </c>
      <c r="S411" s="117">
        <v>11.99</v>
      </c>
      <c r="T411" s="42">
        <f t="shared" si="15"/>
        <v>1.1558863758337807</v>
      </c>
      <c r="U411" s="32"/>
    </row>
    <row r="412" spans="5:22" ht="14.4">
      <c r="E412" s="115" t="s">
        <v>135</v>
      </c>
      <c r="F412" s="30" t="s">
        <v>255</v>
      </c>
      <c r="G412" s="115" t="s">
        <v>457</v>
      </c>
      <c r="H412" s="31" t="s">
        <v>453</v>
      </c>
      <c r="I412" s="116">
        <v>4.8</v>
      </c>
      <c r="J412" s="119">
        <v>4.5801526717557302</v>
      </c>
      <c r="K412" s="118">
        <v>1217.9000000000001</v>
      </c>
      <c r="L412" s="118">
        <v>719.5</v>
      </c>
      <c r="M412" s="118">
        <v>1221.7</v>
      </c>
      <c r="N412" s="117">
        <v>64.8</v>
      </c>
      <c r="O412" s="117">
        <v>64.77</v>
      </c>
      <c r="P412" s="117">
        <v>64.900000000000006</v>
      </c>
      <c r="Q412" s="117">
        <v>64.900000000000006</v>
      </c>
      <c r="R412" s="117">
        <f t="shared" si="16"/>
        <v>64.842500000000001</v>
      </c>
      <c r="S412" s="117">
        <v>9.3800000000000008</v>
      </c>
      <c r="T412" s="42">
        <f t="shared" si="15"/>
        <v>0.90946616802251623</v>
      </c>
      <c r="U412" s="32"/>
    </row>
    <row r="413" spans="5:22" ht="14.4">
      <c r="E413" s="115" t="s">
        <v>135</v>
      </c>
      <c r="F413" s="30" t="s">
        <v>255</v>
      </c>
      <c r="G413" s="115" t="s">
        <v>457</v>
      </c>
      <c r="H413" s="31" t="s">
        <v>311</v>
      </c>
      <c r="I413" s="116">
        <v>4.8</v>
      </c>
      <c r="J413" s="119">
        <v>4.5801526717557302</v>
      </c>
      <c r="K413" s="118">
        <v>1216.5</v>
      </c>
      <c r="L413" s="118">
        <v>717.3</v>
      </c>
      <c r="M413" s="118">
        <v>1220.0999999999999</v>
      </c>
      <c r="N413" s="117">
        <v>65.17</v>
      </c>
      <c r="O413" s="117">
        <v>65.52</v>
      </c>
      <c r="P413" s="117">
        <v>65.37</v>
      </c>
      <c r="Q413" s="117">
        <v>65.52</v>
      </c>
      <c r="R413" s="117">
        <f t="shared" si="16"/>
        <v>65.394999999999996</v>
      </c>
      <c r="S413" s="117">
        <v>11.69</v>
      </c>
      <c r="T413" s="42">
        <f t="shared" si="15"/>
        <v>1.123863139383745</v>
      </c>
      <c r="U413" s="32"/>
    </row>
    <row r="414" spans="5:22" ht="14.4">
      <c r="E414" s="115" t="s">
        <v>135</v>
      </c>
      <c r="F414" s="30" t="s">
        <v>255</v>
      </c>
      <c r="G414" s="115" t="s">
        <v>457</v>
      </c>
      <c r="H414" s="31" t="s">
        <v>454</v>
      </c>
      <c r="I414" s="116">
        <v>4.8</v>
      </c>
      <c r="J414" s="119">
        <v>4.5801526717557302</v>
      </c>
      <c r="K414" s="120">
        <v>1212</v>
      </c>
      <c r="L414" s="120">
        <v>716.1</v>
      </c>
      <c r="M414" s="120">
        <v>1217.9000000000001</v>
      </c>
      <c r="N414" s="121">
        <v>64</v>
      </c>
      <c r="O414" s="121">
        <v>64.38</v>
      </c>
      <c r="P414" s="121">
        <v>64.38</v>
      </c>
      <c r="Q414" s="121">
        <v>64.38</v>
      </c>
      <c r="R414" s="117">
        <f t="shared" si="16"/>
        <v>64.284999999999997</v>
      </c>
      <c r="S414" s="117">
        <v>12.69</v>
      </c>
      <c r="T414" s="42">
        <f t="shared" si="15"/>
        <v>1.2410675896398848</v>
      </c>
      <c r="U414" s="32"/>
    </row>
    <row r="415" spans="5:22" ht="14.4">
      <c r="E415" s="115" t="s">
        <v>135</v>
      </c>
      <c r="F415" s="30" t="s">
        <v>257</v>
      </c>
      <c r="G415" s="115" t="s">
        <v>458</v>
      </c>
      <c r="H415" s="31" t="s">
        <v>294</v>
      </c>
      <c r="I415" s="116">
        <v>4.8</v>
      </c>
      <c r="J415" s="119">
        <v>4.5801526717557302</v>
      </c>
      <c r="K415" s="118">
        <v>1248.5999999999999</v>
      </c>
      <c r="L415" s="118">
        <v>740.3</v>
      </c>
      <c r="M415" s="118">
        <v>1249.5999999999999</v>
      </c>
      <c r="N415" s="117">
        <v>63.72</v>
      </c>
      <c r="O415" s="117">
        <v>63.59</v>
      </c>
      <c r="P415" s="117">
        <v>63.39</v>
      </c>
      <c r="Q415" s="117">
        <v>63.64</v>
      </c>
      <c r="R415" s="117">
        <f t="shared" si="16"/>
        <v>63.584999999999994</v>
      </c>
      <c r="S415" s="117">
        <v>18</v>
      </c>
      <c r="T415" s="42">
        <f t="shared" si="15"/>
        <v>1.7797593772116067</v>
      </c>
      <c r="U415" s="32">
        <f>V416/V415</f>
        <v>0.92744571067276038</v>
      </c>
      <c r="V415" s="32">
        <f>AVERAGE(T415,T417,T419)</f>
        <v>1.8101795617859946</v>
      </c>
    </row>
    <row r="416" spans="5:22" ht="14.4">
      <c r="E416" s="115" t="s">
        <v>135</v>
      </c>
      <c r="F416" s="30" t="s">
        <v>257</v>
      </c>
      <c r="G416" s="115" t="s">
        <v>458</v>
      </c>
      <c r="H416" s="31" t="s">
        <v>452</v>
      </c>
      <c r="I416" s="116">
        <v>4.8</v>
      </c>
      <c r="J416" s="119">
        <v>4.5801526717557302</v>
      </c>
      <c r="K416" s="118">
        <v>1250.3</v>
      </c>
      <c r="L416" s="118">
        <v>740.6</v>
      </c>
      <c r="M416" s="118">
        <v>1251.5</v>
      </c>
      <c r="N416" s="117">
        <v>63.39</v>
      </c>
      <c r="O416" s="117">
        <v>63.72</v>
      </c>
      <c r="P416" s="117">
        <v>63.65</v>
      </c>
      <c r="Q416" s="117">
        <v>64.02</v>
      </c>
      <c r="R416" s="117">
        <f t="shared" si="16"/>
        <v>63.694999999999993</v>
      </c>
      <c r="S416" s="117">
        <v>15.01</v>
      </c>
      <c r="T416" s="42">
        <f t="shared" si="15"/>
        <v>1.4815585210770077</v>
      </c>
      <c r="U416" s="32"/>
      <c r="V416" s="32">
        <f>AVERAGE(T416,T418,T420)</f>
        <v>1.6788432701259177</v>
      </c>
    </row>
    <row r="417" spans="5:22" ht="14.4">
      <c r="E417" s="115" t="s">
        <v>135</v>
      </c>
      <c r="F417" s="30" t="s">
        <v>257</v>
      </c>
      <c r="G417" s="115" t="s">
        <v>458</v>
      </c>
      <c r="H417" s="31" t="s">
        <v>309</v>
      </c>
      <c r="I417" s="116">
        <v>4.8</v>
      </c>
      <c r="J417" s="119">
        <v>4.5801526717557302</v>
      </c>
      <c r="K417" s="118">
        <v>1247.9000000000001</v>
      </c>
      <c r="L417" s="118">
        <v>741.6</v>
      </c>
      <c r="M417" s="118">
        <v>1250.3</v>
      </c>
      <c r="N417" s="117">
        <v>63.82</v>
      </c>
      <c r="O417" s="117">
        <v>63.5</v>
      </c>
      <c r="P417" s="117">
        <v>63.75</v>
      </c>
      <c r="Q417" s="117">
        <v>64.16</v>
      </c>
      <c r="R417" s="117">
        <f t="shared" si="16"/>
        <v>63.807499999999997</v>
      </c>
      <c r="S417" s="117">
        <v>18.36</v>
      </c>
      <c r="T417" s="42">
        <f t="shared" si="15"/>
        <v>1.8090243309955725</v>
      </c>
      <c r="U417" s="32"/>
    </row>
    <row r="418" spans="5:22" ht="14.4">
      <c r="E418" s="115" t="s">
        <v>135</v>
      </c>
      <c r="F418" s="30" t="s">
        <v>257</v>
      </c>
      <c r="G418" s="115" t="s">
        <v>458</v>
      </c>
      <c r="H418" s="31" t="s">
        <v>453</v>
      </c>
      <c r="I418" s="116">
        <v>4.8</v>
      </c>
      <c r="J418" s="119">
        <v>4.5801526717557302</v>
      </c>
      <c r="K418" s="118">
        <v>1246.0999999999999</v>
      </c>
      <c r="L418" s="118">
        <v>740.4</v>
      </c>
      <c r="M418" s="118">
        <v>1247.9000000000001</v>
      </c>
      <c r="N418" s="117">
        <v>63.54</v>
      </c>
      <c r="O418" s="117">
        <v>63.42</v>
      </c>
      <c r="P418" s="117">
        <v>63.28</v>
      </c>
      <c r="Q418" s="117">
        <v>63.4</v>
      </c>
      <c r="R418" s="117">
        <f t="shared" si="16"/>
        <v>63.410000000000004</v>
      </c>
      <c r="S418" s="117">
        <v>15.78</v>
      </c>
      <c r="T418" s="42">
        <f t="shared" si="15"/>
        <v>1.5645617410503074</v>
      </c>
      <c r="U418" s="32"/>
    </row>
    <row r="419" spans="5:22" ht="14.4">
      <c r="E419" s="115" t="s">
        <v>135</v>
      </c>
      <c r="F419" s="30" t="s">
        <v>257</v>
      </c>
      <c r="G419" s="115" t="s">
        <v>458</v>
      </c>
      <c r="H419" s="31" t="s">
        <v>311</v>
      </c>
      <c r="I419" s="116">
        <v>4.8</v>
      </c>
      <c r="J419" s="119">
        <v>4.5801526717557302</v>
      </c>
      <c r="K419" s="118">
        <v>1237.9000000000001</v>
      </c>
      <c r="L419" s="118">
        <v>735.9</v>
      </c>
      <c r="M419" s="118">
        <v>1239.2</v>
      </c>
      <c r="N419" s="117">
        <v>63.13</v>
      </c>
      <c r="O419" s="117">
        <v>63.21</v>
      </c>
      <c r="P419" s="117">
        <v>62.51</v>
      </c>
      <c r="Q419" s="117">
        <v>62.8</v>
      </c>
      <c r="R419" s="117">
        <f t="shared" si="16"/>
        <v>62.912499999999994</v>
      </c>
      <c r="S419" s="117">
        <v>18.43</v>
      </c>
      <c r="T419" s="42">
        <f t="shared" si="15"/>
        <v>1.8417549771508048</v>
      </c>
      <c r="U419" s="32"/>
    </row>
    <row r="420" spans="5:22" ht="14.4">
      <c r="E420" s="115" t="s">
        <v>135</v>
      </c>
      <c r="F420" s="30" t="s">
        <v>257</v>
      </c>
      <c r="G420" s="115" t="s">
        <v>458</v>
      </c>
      <c r="H420" s="31" t="s">
        <v>454</v>
      </c>
      <c r="I420" s="116">
        <v>4.8</v>
      </c>
      <c r="J420" s="119">
        <v>4.5801526717557302</v>
      </c>
      <c r="K420" s="33">
        <v>1219.4000000000001</v>
      </c>
      <c r="L420" s="33">
        <v>725.6</v>
      </c>
      <c r="M420" s="33">
        <v>1220.3</v>
      </c>
      <c r="N420" s="32">
        <v>61.51</v>
      </c>
      <c r="O420" s="32">
        <v>61.51</v>
      </c>
      <c r="P420" s="32">
        <v>61.33</v>
      </c>
      <c r="Q420" s="32">
        <v>61.14</v>
      </c>
      <c r="R420" s="117">
        <f t="shared" si="16"/>
        <v>61.372500000000002</v>
      </c>
      <c r="S420" s="117">
        <v>19.43</v>
      </c>
      <c r="T420" s="42">
        <f t="shared" si="15"/>
        <v>1.9904095482504378</v>
      </c>
      <c r="U420" s="32"/>
    </row>
    <row r="421" spans="5:22" ht="14.4">
      <c r="E421" s="115" t="s">
        <v>135</v>
      </c>
      <c r="F421" s="30" t="s">
        <v>266</v>
      </c>
      <c r="G421" s="115" t="s">
        <v>459</v>
      </c>
      <c r="H421" s="31" t="s">
        <v>294</v>
      </c>
      <c r="I421" s="116">
        <v>5.2</v>
      </c>
      <c r="J421" s="117">
        <v>4.9429657794676798</v>
      </c>
      <c r="K421" s="118">
        <v>1239.3</v>
      </c>
      <c r="L421" s="118">
        <v>731.9</v>
      </c>
      <c r="M421" s="118">
        <v>1240.8</v>
      </c>
      <c r="N421" s="122">
        <v>64.31</v>
      </c>
      <c r="O421" s="122">
        <v>64.03</v>
      </c>
      <c r="P421" s="122">
        <v>63.82</v>
      </c>
      <c r="Q421" s="122">
        <v>64.14</v>
      </c>
      <c r="R421" s="122">
        <f t="shared" si="16"/>
        <v>64.075000000000003</v>
      </c>
      <c r="S421" s="122">
        <v>11.24</v>
      </c>
      <c r="T421" s="42">
        <f t="shared" si="15"/>
        <v>1.1028619586422161</v>
      </c>
      <c r="U421" s="32">
        <f>V422/V421</f>
        <v>0.83350934395935761</v>
      </c>
      <c r="V421" s="32">
        <f>AVERAGE(T421,T423,T425)</f>
        <v>1.110232701513288</v>
      </c>
    </row>
    <row r="422" spans="5:22" ht="14.4">
      <c r="E422" s="115" t="s">
        <v>135</v>
      </c>
      <c r="F422" s="30" t="s">
        <v>266</v>
      </c>
      <c r="G422" s="115" t="s">
        <v>459</v>
      </c>
      <c r="H422" s="31" t="s">
        <v>452</v>
      </c>
      <c r="I422" s="116">
        <v>5.2</v>
      </c>
      <c r="J422" s="117">
        <v>4.9429657794676798</v>
      </c>
      <c r="K422" s="118">
        <v>1225.4000000000001</v>
      </c>
      <c r="L422" s="118">
        <v>723</v>
      </c>
      <c r="M422" s="118">
        <v>1226.9000000000001</v>
      </c>
      <c r="N422" s="122">
        <v>63.72</v>
      </c>
      <c r="O422" s="122">
        <v>63.13</v>
      </c>
      <c r="P422" s="122">
        <v>63.61</v>
      </c>
      <c r="Q422" s="122">
        <v>63.77</v>
      </c>
      <c r="R422" s="122">
        <f t="shared" si="16"/>
        <v>63.557499999999997</v>
      </c>
      <c r="S422" s="122">
        <v>9.16</v>
      </c>
      <c r="T422" s="42">
        <f t="shared" si="15"/>
        <v>0.90609164929394648</v>
      </c>
      <c r="U422" s="32"/>
      <c r="V422" s="32">
        <f>AVERAGE(T422,T424,T426)</f>
        <v>0.92538933068056595</v>
      </c>
    </row>
    <row r="423" spans="5:22" ht="14.4">
      <c r="E423" s="115" t="s">
        <v>135</v>
      </c>
      <c r="F423" s="30" t="s">
        <v>266</v>
      </c>
      <c r="G423" s="115" t="s">
        <v>459</v>
      </c>
      <c r="H423" s="31" t="s">
        <v>309</v>
      </c>
      <c r="I423" s="116">
        <v>5.2</v>
      </c>
      <c r="J423" s="117">
        <v>4.9429657794676798</v>
      </c>
      <c r="K423" s="118">
        <v>1225.4000000000001</v>
      </c>
      <c r="L423" s="118">
        <v>717.6</v>
      </c>
      <c r="M423" s="118">
        <v>1227.5</v>
      </c>
      <c r="N423" s="122">
        <v>64.25</v>
      </c>
      <c r="O423" s="122">
        <v>64.38</v>
      </c>
      <c r="P423" s="122">
        <v>64.47</v>
      </c>
      <c r="Q423" s="122">
        <v>64.33</v>
      </c>
      <c r="R423" s="122">
        <f t="shared" si="16"/>
        <v>64.357500000000002</v>
      </c>
      <c r="S423" s="122">
        <v>11.43</v>
      </c>
      <c r="T423" s="42">
        <f t="shared" si="15"/>
        <v>1.1165817503787436</v>
      </c>
      <c r="U423" s="32"/>
    </row>
    <row r="424" spans="5:22" ht="14.4">
      <c r="E424" s="115" t="s">
        <v>135</v>
      </c>
      <c r="F424" s="30" t="s">
        <v>266</v>
      </c>
      <c r="G424" s="115" t="s">
        <v>459</v>
      </c>
      <c r="H424" s="31" t="s">
        <v>453</v>
      </c>
      <c r="I424" s="116">
        <v>5.2</v>
      </c>
      <c r="J424" s="117">
        <v>4.9429657794676798</v>
      </c>
      <c r="K424" s="118">
        <v>1235.9000000000001</v>
      </c>
      <c r="L424" s="118">
        <v>728.6</v>
      </c>
      <c r="M424" s="118">
        <v>1232.5999999999999</v>
      </c>
      <c r="N424" s="122">
        <v>64.260000000000005</v>
      </c>
      <c r="O424" s="122">
        <v>64.03</v>
      </c>
      <c r="P424" s="122">
        <v>63.84</v>
      </c>
      <c r="Q424" s="122">
        <v>64.25</v>
      </c>
      <c r="R424" s="122">
        <f t="shared" si="16"/>
        <v>64.094999999999999</v>
      </c>
      <c r="S424" s="122">
        <v>9.65</v>
      </c>
      <c r="T424" s="42">
        <f t="shared" si="15"/>
        <v>0.94655667368749519</v>
      </c>
      <c r="U424" s="32"/>
    </row>
    <row r="425" spans="5:22" ht="14.4">
      <c r="E425" s="115" t="s">
        <v>135</v>
      </c>
      <c r="F425" s="30" t="s">
        <v>266</v>
      </c>
      <c r="G425" s="115" t="s">
        <v>459</v>
      </c>
      <c r="H425" s="31" t="s">
        <v>311</v>
      </c>
      <c r="I425" s="116">
        <v>5.2</v>
      </c>
      <c r="J425" s="117">
        <v>4.9429657794676798</v>
      </c>
      <c r="K425" s="118">
        <v>1230.4000000000001</v>
      </c>
      <c r="L425" s="118">
        <v>722.5</v>
      </c>
      <c r="M425" s="118">
        <v>1232.0999999999999</v>
      </c>
      <c r="N425" s="122">
        <v>64.36</v>
      </c>
      <c r="O425" s="122">
        <v>64.14</v>
      </c>
      <c r="P425" s="122">
        <v>64.239999999999995</v>
      </c>
      <c r="Q425" s="122">
        <v>64.34</v>
      </c>
      <c r="R425" s="122">
        <f t="shared" si="16"/>
        <v>64.27000000000001</v>
      </c>
      <c r="S425" s="122">
        <v>11.36</v>
      </c>
      <c r="T425" s="42">
        <f t="shared" si="15"/>
        <v>1.1112543955189043</v>
      </c>
      <c r="U425" s="32"/>
    </row>
    <row r="426" spans="5:22" ht="14.4">
      <c r="E426" s="115" t="s">
        <v>135</v>
      </c>
      <c r="F426" s="30" t="s">
        <v>266</v>
      </c>
      <c r="G426" s="115" t="s">
        <v>459</v>
      </c>
      <c r="H426" s="31" t="s">
        <v>454</v>
      </c>
      <c r="I426" s="116">
        <v>5.2</v>
      </c>
      <c r="J426" s="117">
        <v>4.9429657794676798</v>
      </c>
      <c r="K426" s="118">
        <v>1210.3</v>
      </c>
      <c r="L426" s="118">
        <v>708.4</v>
      </c>
      <c r="M426" s="118">
        <v>1213.7</v>
      </c>
      <c r="N426" s="122">
        <v>63.68</v>
      </c>
      <c r="O426" s="122">
        <v>64.37</v>
      </c>
      <c r="P426" s="122">
        <v>64.27</v>
      </c>
      <c r="Q426" s="122">
        <v>63.92</v>
      </c>
      <c r="R426" s="122">
        <f t="shared" si="16"/>
        <v>64.06</v>
      </c>
      <c r="S426" s="122">
        <v>9.41</v>
      </c>
      <c r="T426" s="42">
        <f t="shared" si="15"/>
        <v>0.92351966906025607</v>
      </c>
      <c r="U426" s="32"/>
    </row>
    <row r="427" spans="5:22" ht="14.4">
      <c r="E427" s="115" t="s">
        <v>135</v>
      </c>
      <c r="F427" s="30" t="s">
        <v>267</v>
      </c>
      <c r="G427" s="115" t="s">
        <v>460</v>
      </c>
      <c r="H427" s="31" t="s">
        <v>294</v>
      </c>
      <c r="I427" s="116">
        <v>5.2</v>
      </c>
      <c r="J427" s="117">
        <v>4.9429657794676798</v>
      </c>
      <c r="K427" s="118">
        <v>1227.9000000000001</v>
      </c>
      <c r="L427" s="118">
        <v>729.1</v>
      </c>
      <c r="M427" s="118">
        <v>1229.3</v>
      </c>
      <c r="N427" s="122">
        <v>63.61</v>
      </c>
      <c r="O427" s="122">
        <v>63.84</v>
      </c>
      <c r="P427" s="122">
        <v>63.76</v>
      </c>
      <c r="Q427" s="122">
        <v>63.59</v>
      </c>
      <c r="R427" s="122">
        <f t="shared" si="16"/>
        <v>63.7</v>
      </c>
      <c r="S427" s="122">
        <v>18.55</v>
      </c>
      <c r="T427" s="42">
        <f t="shared" si="15"/>
        <v>1.8308296703296703</v>
      </c>
      <c r="U427" s="32">
        <f>V428/V427</f>
        <v>0.88695695713569589</v>
      </c>
      <c r="V427" s="32">
        <f>AVERAGE(T427,T429,T431)</f>
        <v>1.7286147188235665</v>
      </c>
    </row>
    <row r="428" spans="5:22" ht="14.4">
      <c r="E428" s="115" t="s">
        <v>135</v>
      </c>
      <c r="F428" s="30" t="s">
        <v>267</v>
      </c>
      <c r="G428" s="115" t="s">
        <v>460</v>
      </c>
      <c r="H428" s="31" t="s">
        <v>452</v>
      </c>
      <c r="I428" s="116">
        <v>5.2</v>
      </c>
      <c r="J428" s="117">
        <v>4.9429657794676798</v>
      </c>
      <c r="K428" s="118">
        <v>1229.9000000000001</v>
      </c>
      <c r="L428" s="118">
        <v>726.2</v>
      </c>
      <c r="M428" s="118">
        <v>1231.5</v>
      </c>
      <c r="N428" s="122">
        <v>63.81</v>
      </c>
      <c r="O428" s="122">
        <v>63.74</v>
      </c>
      <c r="P428" s="122">
        <v>63.87</v>
      </c>
      <c r="Q428" s="122">
        <v>63.87</v>
      </c>
      <c r="R428" s="122">
        <f t="shared" si="16"/>
        <v>63.822500000000005</v>
      </c>
      <c r="S428" s="122">
        <v>16.260000000000002</v>
      </c>
      <c r="T428" s="42">
        <f t="shared" si="15"/>
        <v>1.6017332445454189</v>
      </c>
      <c r="U428" s="32"/>
      <c r="V428" s="32">
        <f>AVERAGE(T428,T430,T432)</f>
        <v>1.533206851067727</v>
      </c>
    </row>
    <row r="429" spans="5:22" ht="14.4">
      <c r="E429" s="115" t="s">
        <v>135</v>
      </c>
      <c r="F429" s="30" t="s">
        <v>267</v>
      </c>
      <c r="G429" s="115" t="s">
        <v>460</v>
      </c>
      <c r="H429" s="31" t="s">
        <v>309</v>
      </c>
      <c r="I429" s="116">
        <v>5.2</v>
      </c>
      <c r="J429" s="117">
        <v>4.9429657794676798</v>
      </c>
      <c r="K429" s="118">
        <v>1224.4000000000001</v>
      </c>
      <c r="L429" s="118">
        <v>718</v>
      </c>
      <c r="M429" s="118">
        <v>1230.7</v>
      </c>
      <c r="N429" s="122">
        <v>65.44</v>
      </c>
      <c r="O429" s="122">
        <v>65.53</v>
      </c>
      <c r="P429" s="122">
        <v>65.790000000000006</v>
      </c>
      <c r="Q429" s="122">
        <v>65.349999999999994</v>
      </c>
      <c r="R429" s="122">
        <f t="shared" si="16"/>
        <v>65.527500000000003</v>
      </c>
      <c r="S429" s="122">
        <v>16.579999999999998</v>
      </c>
      <c r="T429" s="42">
        <f t="shared" si="15"/>
        <v>1.5907589943153635</v>
      </c>
      <c r="U429" s="32"/>
    </row>
    <row r="430" spans="5:22" ht="14.4">
      <c r="E430" s="115" t="s">
        <v>135</v>
      </c>
      <c r="F430" s="30" t="s">
        <v>267</v>
      </c>
      <c r="G430" s="115" t="s">
        <v>460</v>
      </c>
      <c r="H430" s="31" t="s">
        <v>453</v>
      </c>
      <c r="I430" s="116">
        <v>5.2</v>
      </c>
      <c r="J430" s="117">
        <v>4.9429657794676798</v>
      </c>
      <c r="K430" s="118">
        <v>1225.9000000000001</v>
      </c>
      <c r="L430" s="118">
        <v>714.2</v>
      </c>
      <c r="M430" s="118">
        <v>1231.4000000000001</v>
      </c>
      <c r="N430" s="122">
        <v>65.540000000000006</v>
      </c>
      <c r="O430" s="122">
        <v>65.59</v>
      </c>
      <c r="P430" s="122">
        <v>65.94</v>
      </c>
      <c r="Q430" s="122">
        <v>65.569999999999993</v>
      </c>
      <c r="R430" s="122">
        <f t="shared" si="16"/>
        <v>65.66</v>
      </c>
      <c r="S430" s="122">
        <v>14.32</v>
      </c>
      <c r="T430" s="42">
        <f t="shared" si="15"/>
        <v>1.3711519951264091</v>
      </c>
      <c r="U430" s="32"/>
    </row>
    <row r="431" spans="5:22" ht="14.4">
      <c r="E431" s="115" t="s">
        <v>135</v>
      </c>
      <c r="F431" s="30" t="s">
        <v>267</v>
      </c>
      <c r="G431" s="115" t="s">
        <v>460</v>
      </c>
      <c r="H431" s="31" t="s">
        <v>311</v>
      </c>
      <c r="I431" s="116">
        <v>5.2</v>
      </c>
      <c r="J431" s="117">
        <v>4.9429657794676798</v>
      </c>
      <c r="K431" s="118">
        <v>1226.3</v>
      </c>
      <c r="L431" s="118">
        <v>722.2</v>
      </c>
      <c r="M431" s="118">
        <v>1229.5999999999999</v>
      </c>
      <c r="N431" s="122">
        <v>64.06</v>
      </c>
      <c r="O431" s="122">
        <v>64.05</v>
      </c>
      <c r="P431" s="122">
        <v>64.14</v>
      </c>
      <c r="Q431" s="122">
        <v>64.040000000000006</v>
      </c>
      <c r="R431" s="122">
        <f t="shared" si="16"/>
        <v>64.072500000000005</v>
      </c>
      <c r="S431" s="122">
        <v>17.98</v>
      </c>
      <c r="T431" s="42">
        <f t="shared" si="15"/>
        <v>1.7642554918256661</v>
      </c>
      <c r="U431" s="32"/>
    </row>
    <row r="432" spans="5:22" ht="14.4">
      <c r="E432" s="115" t="s">
        <v>135</v>
      </c>
      <c r="F432" s="30" t="s">
        <v>267</v>
      </c>
      <c r="G432" s="115" t="s">
        <v>460</v>
      </c>
      <c r="H432" s="31" t="s">
        <v>454</v>
      </c>
      <c r="I432" s="116">
        <v>5.2</v>
      </c>
      <c r="J432" s="117">
        <v>4.9429657794676798</v>
      </c>
      <c r="K432" s="118">
        <v>1226.3</v>
      </c>
      <c r="L432" s="118">
        <v>720.1</v>
      </c>
      <c r="M432" s="118">
        <v>1229.0999999999999</v>
      </c>
      <c r="N432" s="119">
        <v>64.22</v>
      </c>
      <c r="O432" s="119">
        <v>64.44</v>
      </c>
      <c r="P432" s="119">
        <v>64.56</v>
      </c>
      <c r="Q432" s="119">
        <v>64.33</v>
      </c>
      <c r="R432" s="119">
        <f t="shared" si="16"/>
        <v>64.387500000000003</v>
      </c>
      <c r="S432" s="119">
        <v>16.66</v>
      </c>
      <c r="T432" s="42">
        <f t="shared" si="15"/>
        <v>1.6267353135313531</v>
      </c>
      <c r="U432" s="32"/>
    </row>
    <row r="433" spans="5:22" ht="14.4">
      <c r="E433" s="115" t="s">
        <v>135</v>
      </c>
      <c r="F433" s="30" t="s">
        <v>268</v>
      </c>
      <c r="G433" s="115" t="s">
        <v>461</v>
      </c>
      <c r="H433" s="31" t="s">
        <v>294</v>
      </c>
      <c r="I433" s="116">
        <v>5.2</v>
      </c>
      <c r="J433" s="117">
        <v>4.9429657794676798</v>
      </c>
      <c r="K433" s="118">
        <v>1224.8</v>
      </c>
      <c r="L433" s="118">
        <v>720.6</v>
      </c>
      <c r="M433" s="118">
        <v>1228.9000000000001</v>
      </c>
      <c r="N433" s="119">
        <v>64.569999999999993</v>
      </c>
      <c r="O433" s="119">
        <v>64.5</v>
      </c>
      <c r="P433" s="119">
        <v>64.849999999999994</v>
      </c>
      <c r="Q433" s="119">
        <v>64.66</v>
      </c>
      <c r="R433" s="119">
        <f t="shared" si="16"/>
        <v>64.644999999999996</v>
      </c>
      <c r="S433" s="119">
        <v>19.100000000000001</v>
      </c>
      <c r="T433" s="42">
        <f t="shared" si="15"/>
        <v>1.8575558821254547</v>
      </c>
      <c r="U433" s="32">
        <f>V434/V433</f>
        <v>0.8842472472402918</v>
      </c>
      <c r="V433" s="32">
        <f>AVERAGE(T433,T435,T437)</f>
        <v>1.6708790140302938</v>
      </c>
    </row>
    <row r="434" spans="5:22" ht="14.4">
      <c r="E434" s="115" t="s">
        <v>135</v>
      </c>
      <c r="F434" s="30" t="s">
        <v>268</v>
      </c>
      <c r="G434" s="115" t="s">
        <v>461</v>
      </c>
      <c r="H434" s="31" t="s">
        <v>452</v>
      </c>
      <c r="I434" s="116">
        <v>5.2</v>
      </c>
      <c r="J434" s="117">
        <v>4.9429657794676798</v>
      </c>
      <c r="K434" s="118">
        <v>1217.4000000000001</v>
      </c>
      <c r="L434" s="118">
        <v>714.6</v>
      </c>
      <c r="M434" s="118">
        <v>1221.0999999999999</v>
      </c>
      <c r="N434" s="119">
        <v>64.42</v>
      </c>
      <c r="O434" s="119">
        <v>64.72</v>
      </c>
      <c r="P434" s="119">
        <v>64.709999999999994</v>
      </c>
      <c r="Q434" s="119">
        <v>64.599999999999994</v>
      </c>
      <c r="R434" s="119">
        <f t="shared" si="16"/>
        <v>64.612499999999983</v>
      </c>
      <c r="S434" s="119">
        <v>15.84</v>
      </c>
      <c r="T434" s="42">
        <f t="shared" si="15"/>
        <v>1.5412819500870578</v>
      </c>
      <c r="U434" s="32"/>
      <c r="V434" s="32">
        <f>AVERAGE(T434,T436,T438)</f>
        <v>1.4774701686278602</v>
      </c>
    </row>
    <row r="435" spans="5:22" ht="14.4">
      <c r="E435" s="115" t="s">
        <v>135</v>
      </c>
      <c r="F435" s="30" t="s">
        <v>268</v>
      </c>
      <c r="G435" s="115" t="s">
        <v>461</v>
      </c>
      <c r="H435" s="31" t="s">
        <v>309</v>
      </c>
      <c r="I435" s="116">
        <v>5.2</v>
      </c>
      <c r="J435" s="117">
        <v>4.9429657794676798</v>
      </c>
      <c r="K435" s="118">
        <v>1214.8</v>
      </c>
      <c r="L435" s="118">
        <v>711</v>
      </c>
      <c r="M435" s="118">
        <v>1218.8</v>
      </c>
      <c r="N435" s="119">
        <v>65.16</v>
      </c>
      <c r="O435" s="119">
        <v>65.3</v>
      </c>
      <c r="P435" s="119">
        <v>65.33</v>
      </c>
      <c r="Q435" s="119">
        <v>65.12</v>
      </c>
      <c r="R435" s="119">
        <f t="shared" si="16"/>
        <v>65.227499999999992</v>
      </c>
      <c r="S435" s="119">
        <v>16.600000000000001</v>
      </c>
      <c r="T435" s="42">
        <f t="shared" si="15"/>
        <v>1.6000030661914073</v>
      </c>
      <c r="U435" s="32"/>
    </row>
    <row r="436" spans="5:22" ht="14.4">
      <c r="E436" s="115" t="s">
        <v>135</v>
      </c>
      <c r="F436" s="30" t="s">
        <v>268</v>
      </c>
      <c r="G436" s="115" t="s">
        <v>461</v>
      </c>
      <c r="H436" s="31" t="s">
        <v>453</v>
      </c>
      <c r="I436" s="116">
        <v>5.2</v>
      </c>
      <c r="J436" s="117">
        <v>4.9429657794676798</v>
      </c>
      <c r="K436" s="118">
        <v>1201.5999999999999</v>
      </c>
      <c r="L436" s="118">
        <v>704.6</v>
      </c>
      <c r="M436" s="118">
        <v>1205.5</v>
      </c>
      <c r="N436" s="119">
        <v>65.3</v>
      </c>
      <c r="O436" s="119">
        <v>65.25</v>
      </c>
      <c r="P436" s="119">
        <v>65.28</v>
      </c>
      <c r="Q436" s="119">
        <v>65.23</v>
      </c>
      <c r="R436" s="119">
        <f t="shared" si="16"/>
        <v>65.265000000000001</v>
      </c>
      <c r="S436" s="123">
        <v>15.71</v>
      </c>
      <c r="T436" s="42">
        <f t="shared" si="15"/>
        <v>1.5133497280318702</v>
      </c>
      <c r="U436" s="32"/>
    </row>
    <row r="437" spans="5:22" ht="14.4">
      <c r="E437" s="115" t="s">
        <v>135</v>
      </c>
      <c r="F437" s="30" t="s">
        <v>268</v>
      </c>
      <c r="G437" s="115" t="s">
        <v>461</v>
      </c>
      <c r="H437" s="31" t="s">
        <v>311</v>
      </c>
      <c r="I437" s="116">
        <v>5.2</v>
      </c>
      <c r="J437" s="117">
        <v>4.9429657794676798</v>
      </c>
      <c r="K437" s="118">
        <v>1202.3</v>
      </c>
      <c r="L437" s="118">
        <v>703.5</v>
      </c>
      <c r="M437" s="118">
        <v>1206.9000000000001</v>
      </c>
      <c r="N437" s="119">
        <v>65.06</v>
      </c>
      <c r="O437" s="119">
        <v>65.040000000000006</v>
      </c>
      <c r="P437" s="119">
        <v>64.94</v>
      </c>
      <c r="Q437" s="119">
        <v>65.16</v>
      </c>
      <c r="R437" s="119">
        <f t="shared" si="16"/>
        <v>65.050000000000011</v>
      </c>
      <c r="S437" s="119">
        <v>16.09</v>
      </c>
      <c r="T437" s="42">
        <f t="shared" si="15"/>
        <v>1.5550780937740198</v>
      </c>
      <c r="U437" s="32"/>
    </row>
    <row r="438" spans="5:22" ht="14.4">
      <c r="E438" s="115" t="s">
        <v>135</v>
      </c>
      <c r="F438" s="30" t="s">
        <v>268</v>
      </c>
      <c r="G438" s="115" t="s">
        <v>461</v>
      </c>
      <c r="H438" s="31" t="s">
        <v>454</v>
      </c>
      <c r="I438" s="116">
        <v>5.2</v>
      </c>
      <c r="J438" s="119">
        <v>4.9429657794676798</v>
      </c>
      <c r="K438" s="118">
        <v>1203</v>
      </c>
      <c r="L438" s="118">
        <v>702.3</v>
      </c>
      <c r="M438" s="118">
        <v>1206.3</v>
      </c>
      <c r="N438" s="119">
        <v>66.69</v>
      </c>
      <c r="O438" s="119">
        <v>66.58</v>
      </c>
      <c r="P438" s="119">
        <v>66.48</v>
      </c>
      <c r="Q438" s="119">
        <v>66.92</v>
      </c>
      <c r="R438" s="119">
        <f t="shared" si="16"/>
        <v>66.667500000000004</v>
      </c>
      <c r="S438" s="119">
        <v>14.61</v>
      </c>
      <c r="T438" s="42">
        <f t="shared" si="15"/>
        <v>1.3777788277646528</v>
      </c>
      <c r="U438" s="32"/>
    </row>
    <row r="439" spans="5:22" ht="14.4">
      <c r="E439" s="30" t="s">
        <v>137</v>
      </c>
      <c r="F439" s="30" t="s">
        <v>218</v>
      </c>
      <c r="G439" s="115" t="s">
        <v>462</v>
      </c>
      <c r="H439" s="31" t="s">
        <v>397</v>
      </c>
      <c r="I439" s="30">
        <v>4.8000000000000096</v>
      </c>
      <c r="J439" s="32">
        <v>4.5801526717557302</v>
      </c>
      <c r="K439" s="124">
        <v>1226.5999999999999</v>
      </c>
      <c r="L439" s="124">
        <v>730.4</v>
      </c>
      <c r="M439" s="124">
        <v>1229.5999999999999</v>
      </c>
      <c r="N439" s="119">
        <v>60.62</v>
      </c>
      <c r="O439" s="119">
        <v>60.96</v>
      </c>
      <c r="P439" s="119">
        <v>61</v>
      </c>
      <c r="Q439" s="119">
        <v>60.78</v>
      </c>
      <c r="R439" s="119">
        <f t="shared" si="16"/>
        <v>60.839999999999996</v>
      </c>
      <c r="S439" s="119">
        <v>12.35</v>
      </c>
      <c r="T439" s="42">
        <f t="shared" si="15"/>
        <v>1.2762072649572649</v>
      </c>
      <c r="U439" s="32">
        <f>V439/V440</f>
        <v>0.87731621162248774</v>
      </c>
      <c r="V439" s="32">
        <f>AVERAGE(T439,T441,T443)</f>
        <v>1.2165551255939624</v>
      </c>
    </row>
    <row r="440" spans="5:22" ht="14.4">
      <c r="E440" s="30" t="s">
        <v>137</v>
      </c>
      <c r="F440" s="30" t="s">
        <v>218</v>
      </c>
      <c r="G440" s="115" t="s">
        <v>462</v>
      </c>
      <c r="H440" s="31" t="s">
        <v>295</v>
      </c>
      <c r="I440" s="30">
        <v>4.8000000000000096</v>
      </c>
      <c r="J440" s="32">
        <v>4.5801526717557302</v>
      </c>
      <c r="K440" s="124">
        <v>1249</v>
      </c>
      <c r="L440" s="124">
        <v>743.5</v>
      </c>
      <c r="M440" s="124">
        <v>1253.7</v>
      </c>
      <c r="N440" s="119">
        <v>63.46</v>
      </c>
      <c r="O440" s="119">
        <v>63.28</v>
      </c>
      <c r="P440" s="119">
        <v>63.01</v>
      </c>
      <c r="Q440" s="119">
        <v>63.46</v>
      </c>
      <c r="R440" s="119">
        <f t="shared" si="16"/>
        <v>63.302500000000002</v>
      </c>
      <c r="S440" s="119">
        <v>15.35</v>
      </c>
      <c r="T440" s="42">
        <f t="shared" si="15"/>
        <v>1.5245124600134274</v>
      </c>
      <c r="U440" s="32"/>
      <c r="V440" s="32">
        <f>AVERAGE(T440,T442,T444)</f>
        <v>1.3866780409130868</v>
      </c>
    </row>
    <row r="441" spans="5:22" ht="14.4">
      <c r="E441" s="30" t="s">
        <v>137</v>
      </c>
      <c r="F441" s="30" t="s">
        <v>218</v>
      </c>
      <c r="G441" s="115" t="s">
        <v>462</v>
      </c>
      <c r="H441" s="31" t="s">
        <v>399</v>
      </c>
      <c r="I441" s="30">
        <v>4.8000000000000096</v>
      </c>
      <c r="J441" s="32">
        <v>4.5801526717557302</v>
      </c>
      <c r="K441" s="124">
        <v>1251.2</v>
      </c>
      <c r="L441" s="124">
        <v>744.7</v>
      </c>
      <c r="M441" s="124">
        <v>1254</v>
      </c>
      <c r="N441" s="119">
        <v>63.93</v>
      </c>
      <c r="O441" s="119">
        <v>64.28</v>
      </c>
      <c r="P441" s="119">
        <v>63.89</v>
      </c>
      <c r="Q441" s="119">
        <v>63.71</v>
      </c>
      <c r="R441" s="119">
        <f t="shared" si="16"/>
        <v>63.952500000000008</v>
      </c>
      <c r="S441" s="119">
        <v>11.8</v>
      </c>
      <c r="T441" s="42">
        <f t="shared" si="15"/>
        <v>1.1600265822289979</v>
      </c>
      <c r="U441" s="32"/>
    </row>
    <row r="442" spans="5:22" ht="14.4">
      <c r="E442" s="30" t="s">
        <v>137</v>
      </c>
      <c r="F442" s="30" t="s">
        <v>218</v>
      </c>
      <c r="G442" s="115" t="s">
        <v>462</v>
      </c>
      <c r="H442" s="31" t="s">
        <v>297</v>
      </c>
      <c r="I442" s="30">
        <v>4.8000000000000096</v>
      </c>
      <c r="J442" s="32">
        <v>4.5801526717557302</v>
      </c>
      <c r="K442" s="124">
        <v>1247.9000000000001</v>
      </c>
      <c r="L442" s="124">
        <v>745.1</v>
      </c>
      <c r="M442" s="124">
        <v>1251.7</v>
      </c>
      <c r="N442" s="119">
        <v>64.22</v>
      </c>
      <c r="O442" s="119">
        <v>63.9</v>
      </c>
      <c r="P442" s="119">
        <v>64.239999999999995</v>
      </c>
      <c r="Q442" s="119">
        <v>64.430000000000007</v>
      </c>
      <c r="R442" s="119">
        <f t="shared" si="16"/>
        <v>64.197500000000005</v>
      </c>
      <c r="S442" s="119">
        <v>12.95</v>
      </c>
      <c r="T442" s="42">
        <f t="shared" si="15"/>
        <v>1.2682215039526459</v>
      </c>
      <c r="U442" s="32"/>
    </row>
    <row r="443" spans="5:22" ht="14.4">
      <c r="E443" s="30" t="s">
        <v>137</v>
      </c>
      <c r="F443" s="30" t="s">
        <v>218</v>
      </c>
      <c r="G443" s="115" t="s">
        <v>462</v>
      </c>
      <c r="H443" s="31" t="s">
        <v>401</v>
      </c>
      <c r="I443" s="30">
        <v>4.8000000000000096</v>
      </c>
      <c r="J443" s="32">
        <v>4.5801526717557302</v>
      </c>
      <c r="K443" s="124">
        <v>1240.5</v>
      </c>
      <c r="L443" s="124">
        <v>738.6</v>
      </c>
      <c r="M443" s="124">
        <v>1243.2</v>
      </c>
      <c r="N443" s="119">
        <v>64.45</v>
      </c>
      <c r="O443" s="119">
        <v>64.06</v>
      </c>
      <c r="P443" s="119">
        <v>63.73</v>
      </c>
      <c r="Q443" s="119">
        <v>63.71</v>
      </c>
      <c r="R443" s="119">
        <f t="shared" si="16"/>
        <v>63.987499999999997</v>
      </c>
      <c r="S443" s="119">
        <v>12.35</v>
      </c>
      <c r="T443" s="42">
        <f t="shared" ref="T443:T456" si="17">6.287*S443/R443</f>
        <v>1.2134315295956242</v>
      </c>
      <c r="U443" s="32"/>
    </row>
    <row r="444" spans="5:22" ht="14.4">
      <c r="E444" s="30" t="s">
        <v>137</v>
      </c>
      <c r="F444" s="30" t="s">
        <v>218</v>
      </c>
      <c r="G444" s="115" t="s">
        <v>462</v>
      </c>
      <c r="H444" s="31" t="s">
        <v>299</v>
      </c>
      <c r="I444" s="30">
        <v>4.8000000000000096</v>
      </c>
      <c r="J444" s="32">
        <v>4.5801526717557302</v>
      </c>
      <c r="K444" s="124">
        <v>1231.4000000000001</v>
      </c>
      <c r="L444" s="124">
        <v>735.2</v>
      </c>
      <c r="M444" s="124">
        <v>1235.7</v>
      </c>
      <c r="N444" s="119">
        <v>64.67</v>
      </c>
      <c r="O444" s="119">
        <v>64.63</v>
      </c>
      <c r="P444" s="119">
        <v>64.52</v>
      </c>
      <c r="Q444" s="119">
        <v>64.41</v>
      </c>
      <c r="R444" s="119">
        <f t="shared" si="16"/>
        <v>64.557500000000005</v>
      </c>
      <c r="S444" s="119">
        <v>14.04</v>
      </c>
      <c r="T444" s="42">
        <f t="shared" si="17"/>
        <v>1.3673001587731863</v>
      </c>
      <c r="U444" s="32"/>
    </row>
    <row r="445" spans="5:22" ht="14.4">
      <c r="E445" s="30" t="s">
        <v>138</v>
      </c>
      <c r="F445" s="30" t="s">
        <v>94</v>
      </c>
      <c r="G445" s="30" t="s">
        <v>350</v>
      </c>
      <c r="H445" s="31" t="s">
        <v>294</v>
      </c>
      <c r="I445" s="30">
        <v>5</v>
      </c>
      <c r="J445" s="32">
        <v>4.76</v>
      </c>
      <c r="K445" s="33">
        <v>1204.5999999999999</v>
      </c>
      <c r="L445" s="33">
        <v>702.6</v>
      </c>
      <c r="M445" s="33">
        <v>1212.3</v>
      </c>
      <c r="N445" s="32">
        <v>64.430000000000007</v>
      </c>
      <c r="O445" s="32">
        <v>64.2</v>
      </c>
      <c r="P445" s="32">
        <v>64.36</v>
      </c>
      <c r="Q445" s="32">
        <v>64.900000000000006</v>
      </c>
      <c r="R445" s="32">
        <v>64.472499999999997</v>
      </c>
      <c r="S445" s="32">
        <v>17.16</v>
      </c>
      <c r="T445" s="42">
        <f t="shared" si="17"/>
        <v>1.6733478614913335</v>
      </c>
      <c r="U445" s="32">
        <f>V446/V445</f>
        <v>0.85302799267689267</v>
      </c>
      <c r="V445" s="32">
        <f>AVERAGE(T445,T447,T449)</f>
        <v>1.7134305600599931</v>
      </c>
    </row>
    <row r="446" spans="5:22" ht="14.4">
      <c r="E446" s="30" t="s">
        <v>138</v>
      </c>
      <c r="F446" s="30" t="s">
        <v>94</v>
      </c>
      <c r="G446" s="30" t="s">
        <v>350</v>
      </c>
      <c r="H446" s="31" t="s">
        <v>452</v>
      </c>
      <c r="I446" s="30">
        <v>5</v>
      </c>
      <c r="J446" s="32">
        <v>4.76</v>
      </c>
      <c r="K446" s="33">
        <v>1201.0999999999999</v>
      </c>
      <c r="L446" s="33">
        <v>701</v>
      </c>
      <c r="M446" s="33">
        <v>1207.8</v>
      </c>
      <c r="N446" s="32">
        <v>64.3</v>
      </c>
      <c r="O446" s="32">
        <v>64.78</v>
      </c>
      <c r="P446" s="32">
        <v>64.2</v>
      </c>
      <c r="Q446" s="32">
        <v>64.58</v>
      </c>
      <c r="R446" s="32">
        <v>64.465000000000003</v>
      </c>
      <c r="S446" s="32">
        <v>14.42</v>
      </c>
      <c r="T446" s="42">
        <f t="shared" si="17"/>
        <v>1.4063218800899713</v>
      </c>
      <c r="U446" s="32"/>
      <c r="V446" s="32">
        <f>AVERAGE(T446,T448,T450)</f>
        <v>1.4616042312392199</v>
      </c>
    </row>
    <row r="447" spans="5:22" ht="14.4">
      <c r="E447" s="30" t="s">
        <v>138</v>
      </c>
      <c r="F447" s="30" t="s">
        <v>94</v>
      </c>
      <c r="G447" s="30" t="s">
        <v>350</v>
      </c>
      <c r="H447" s="31" t="s">
        <v>309</v>
      </c>
      <c r="I447" s="30">
        <v>5</v>
      </c>
      <c r="J447" s="32">
        <v>4.76</v>
      </c>
      <c r="K447" s="33">
        <v>1206.5999999999999</v>
      </c>
      <c r="L447" s="33">
        <v>707.7</v>
      </c>
      <c r="M447" s="33">
        <v>1209.2</v>
      </c>
      <c r="N447" s="32">
        <v>64.34</v>
      </c>
      <c r="O447" s="32">
        <v>64.08</v>
      </c>
      <c r="P447" s="32">
        <v>64.599999999999994</v>
      </c>
      <c r="Q447" s="32">
        <v>63.89</v>
      </c>
      <c r="R447" s="32">
        <v>64.227500000000006</v>
      </c>
      <c r="S447" s="32">
        <v>16.91</v>
      </c>
      <c r="T447" s="42">
        <f t="shared" si="17"/>
        <v>1.6552593515238798</v>
      </c>
      <c r="U447" s="32"/>
    </row>
    <row r="448" spans="5:22" ht="14.4">
      <c r="E448" s="30" t="s">
        <v>138</v>
      </c>
      <c r="F448" s="30" t="s">
        <v>94</v>
      </c>
      <c r="G448" s="30" t="s">
        <v>350</v>
      </c>
      <c r="H448" s="31" t="s">
        <v>453</v>
      </c>
      <c r="I448" s="30">
        <v>5</v>
      </c>
      <c r="J448" s="32">
        <v>4.76</v>
      </c>
      <c r="K448" s="33">
        <v>1201.0999999999999</v>
      </c>
      <c r="L448" s="33">
        <v>702.5</v>
      </c>
      <c r="M448" s="33">
        <v>1204.8</v>
      </c>
      <c r="N448" s="32">
        <v>63.38</v>
      </c>
      <c r="O448" s="32">
        <v>63.63</v>
      </c>
      <c r="P448" s="32">
        <v>63.86</v>
      </c>
      <c r="Q448" s="32">
        <v>63.56</v>
      </c>
      <c r="R448" s="32">
        <v>63.607500000000002</v>
      </c>
      <c r="S448" s="32">
        <v>14.9</v>
      </c>
      <c r="T448" s="42">
        <f t="shared" si="17"/>
        <v>1.4727241284439727</v>
      </c>
      <c r="U448" s="32"/>
    </row>
    <row r="449" spans="5:22" ht="14.4">
      <c r="E449" s="30" t="s">
        <v>138</v>
      </c>
      <c r="F449" s="30" t="s">
        <v>94</v>
      </c>
      <c r="G449" s="30" t="s">
        <v>350</v>
      </c>
      <c r="H449" s="31" t="s">
        <v>311</v>
      </c>
      <c r="I449" s="30">
        <v>5</v>
      </c>
      <c r="J449" s="32">
        <v>4.76</v>
      </c>
      <c r="K449" s="33">
        <v>1200.2</v>
      </c>
      <c r="L449" s="33">
        <v>701.2</v>
      </c>
      <c r="M449" s="33">
        <v>1204.0999999999999</v>
      </c>
      <c r="N449" s="32">
        <v>63.8</v>
      </c>
      <c r="O449" s="32">
        <v>63.49</v>
      </c>
      <c r="P449" s="32">
        <v>63.26</v>
      </c>
      <c r="Q449" s="32">
        <v>63.75</v>
      </c>
      <c r="R449" s="32">
        <v>63.575000000000003</v>
      </c>
      <c r="S449" s="32">
        <v>18.32</v>
      </c>
      <c r="T449" s="42">
        <f t="shared" si="17"/>
        <v>1.8116844671647661</v>
      </c>
      <c r="U449" s="32"/>
    </row>
    <row r="450" spans="5:22" ht="14.4">
      <c r="E450" s="30" t="s">
        <v>138</v>
      </c>
      <c r="F450" s="30" t="s">
        <v>94</v>
      </c>
      <c r="G450" s="30" t="s">
        <v>350</v>
      </c>
      <c r="H450" s="31" t="s">
        <v>454</v>
      </c>
      <c r="I450" s="30">
        <v>5</v>
      </c>
      <c r="J450" s="32">
        <v>4.76</v>
      </c>
      <c r="K450" s="33">
        <v>1200</v>
      </c>
      <c r="L450" s="33">
        <v>703.1</v>
      </c>
      <c r="M450" s="33">
        <v>1202.5999999999999</v>
      </c>
      <c r="N450" s="32">
        <v>63.12</v>
      </c>
      <c r="O450" s="32">
        <v>63.12</v>
      </c>
      <c r="P450" s="32">
        <v>62.68</v>
      </c>
      <c r="Q450" s="32">
        <v>63.1</v>
      </c>
      <c r="R450" s="32">
        <v>63.005000000000003</v>
      </c>
      <c r="S450" s="32">
        <v>15.09</v>
      </c>
      <c r="T450" s="42">
        <f t="shared" si="17"/>
        <v>1.5057666851837155</v>
      </c>
      <c r="U450" s="32"/>
    </row>
    <row r="451" spans="5:22" ht="14.4">
      <c r="E451" s="30" t="s">
        <v>139</v>
      </c>
      <c r="F451" s="30" t="s">
        <v>218</v>
      </c>
      <c r="G451" s="30" t="s">
        <v>445</v>
      </c>
      <c r="H451" s="31" t="s">
        <v>294</v>
      </c>
      <c r="I451" s="30">
        <v>4.8000000000000096</v>
      </c>
      <c r="J451" s="32">
        <v>4.5801526717557302</v>
      </c>
      <c r="K451" s="118">
        <v>1200.5</v>
      </c>
      <c r="L451" s="118">
        <v>709.6</v>
      </c>
      <c r="M451" s="118">
        <v>1202.7</v>
      </c>
      <c r="N451" s="119">
        <v>63.73</v>
      </c>
      <c r="O451" s="119">
        <v>63.79</v>
      </c>
      <c r="P451" s="119">
        <v>63.64</v>
      </c>
      <c r="Q451" s="119">
        <v>63.68</v>
      </c>
      <c r="R451" s="119">
        <f t="shared" ref="R451:R456" si="18">AVERAGE(N451:Q451)</f>
        <v>63.71</v>
      </c>
      <c r="S451" s="119">
        <v>14.07</v>
      </c>
      <c r="T451" s="42">
        <f t="shared" si="17"/>
        <v>1.3884490660806781</v>
      </c>
      <c r="U451" s="32">
        <f>V452/V451</f>
        <v>0.89440461361476364</v>
      </c>
      <c r="V451" s="32">
        <f>AVERAGE(T451,T453,T455)</f>
        <v>1.4467746357584963</v>
      </c>
    </row>
    <row r="452" spans="5:22" ht="14.4">
      <c r="E452" s="30" t="s">
        <v>139</v>
      </c>
      <c r="F452" s="30" t="s">
        <v>218</v>
      </c>
      <c r="G452" s="30" t="s">
        <v>445</v>
      </c>
      <c r="H452" s="31" t="s">
        <v>452</v>
      </c>
      <c r="I452" s="30">
        <v>4.8000000000000096</v>
      </c>
      <c r="J452" s="32">
        <v>4.5801526717557302</v>
      </c>
      <c r="K452" s="118">
        <v>1200.5999999999999</v>
      </c>
      <c r="L452" s="118">
        <v>714.2</v>
      </c>
      <c r="M452" s="118">
        <v>1203.8</v>
      </c>
      <c r="N452" s="119">
        <v>63.86</v>
      </c>
      <c r="O452" s="119">
        <v>64.569999999999993</v>
      </c>
      <c r="P452" s="119">
        <v>64.13</v>
      </c>
      <c r="Q452" s="119">
        <v>63.93</v>
      </c>
      <c r="R452" s="119">
        <f t="shared" si="18"/>
        <v>64.122500000000002</v>
      </c>
      <c r="S452" s="119">
        <v>12.52</v>
      </c>
      <c r="T452" s="42">
        <f t="shared" si="17"/>
        <v>1.2275447775741744</v>
      </c>
      <c r="U452" s="32"/>
      <c r="V452" s="32">
        <f>AVERAGE(T452,T454,T456)</f>
        <v>1.2940019090832182</v>
      </c>
    </row>
    <row r="453" spans="5:22" ht="14.4">
      <c r="E453" s="30" t="s">
        <v>139</v>
      </c>
      <c r="F453" s="30" t="s">
        <v>218</v>
      </c>
      <c r="G453" s="30" t="s">
        <v>445</v>
      </c>
      <c r="H453" s="31" t="s">
        <v>309</v>
      </c>
      <c r="I453" s="30">
        <v>4.8000000000000096</v>
      </c>
      <c r="J453" s="32">
        <v>4.5801526717557302</v>
      </c>
      <c r="K453" s="118">
        <v>1198.5999999999999</v>
      </c>
      <c r="L453" s="118">
        <v>708</v>
      </c>
      <c r="M453" s="118">
        <v>1202.3</v>
      </c>
      <c r="N453" s="119">
        <v>63.51</v>
      </c>
      <c r="O453" s="119">
        <v>63.62</v>
      </c>
      <c r="P453" s="119">
        <v>63.77</v>
      </c>
      <c r="Q453" s="119">
        <v>63.91</v>
      </c>
      <c r="R453" s="119">
        <f t="shared" si="18"/>
        <v>63.702500000000001</v>
      </c>
      <c r="S453" s="119">
        <v>14.64</v>
      </c>
      <c r="T453" s="42">
        <f t="shared" si="17"/>
        <v>1.4448676268592284</v>
      </c>
      <c r="U453" s="32"/>
    </row>
    <row r="454" spans="5:22" ht="14.4">
      <c r="E454" s="30" t="s">
        <v>139</v>
      </c>
      <c r="F454" s="30" t="s">
        <v>218</v>
      </c>
      <c r="G454" s="30" t="s">
        <v>445</v>
      </c>
      <c r="H454" s="31" t="s">
        <v>453</v>
      </c>
      <c r="I454" s="30">
        <v>4.8000000000000096</v>
      </c>
      <c r="J454" s="32">
        <v>4.5801526717557302</v>
      </c>
      <c r="K454" s="118">
        <v>1196.8</v>
      </c>
      <c r="L454" s="118">
        <v>715.7</v>
      </c>
      <c r="M454" s="118">
        <v>1200.2</v>
      </c>
      <c r="N454" s="119">
        <v>64.28</v>
      </c>
      <c r="O454" s="119">
        <v>64.459999999999994</v>
      </c>
      <c r="P454" s="119">
        <v>64</v>
      </c>
      <c r="Q454" s="119">
        <v>64.882000000000005</v>
      </c>
      <c r="R454" s="119">
        <f t="shared" si="18"/>
        <v>64.405500000000004</v>
      </c>
      <c r="S454" s="123">
        <v>13.24</v>
      </c>
      <c r="T454" s="42">
        <f t="shared" si="17"/>
        <v>1.2924343417875801</v>
      </c>
      <c r="U454" s="32"/>
    </row>
    <row r="455" spans="5:22" ht="14.4">
      <c r="E455" s="30" t="s">
        <v>139</v>
      </c>
      <c r="F455" s="30" t="s">
        <v>218</v>
      </c>
      <c r="G455" s="30" t="s">
        <v>445</v>
      </c>
      <c r="H455" s="31" t="s">
        <v>311</v>
      </c>
      <c r="I455" s="30">
        <v>4.8000000000000096</v>
      </c>
      <c r="J455" s="32">
        <v>4.5801526717557302</v>
      </c>
      <c r="K455" s="118">
        <v>1197.5999999999999</v>
      </c>
      <c r="L455" s="118">
        <v>710.6</v>
      </c>
      <c r="M455" s="118">
        <v>1200.4000000000001</v>
      </c>
      <c r="N455" s="119">
        <v>64.56</v>
      </c>
      <c r="O455" s="119">
        <v>64.680000000000007</v>
      </c>
      <c r="P455" s="119">
        <v>64.31</v>
      </c>
      <c r="Q455" s="119">
        <v>64.27</v>
      </c>
      <c r="R455" s="119">
        <f t="shared" si="18"/>
        <v>64.454999999999998</v>
      </c>
      <c r="S455" s="119">
        <v>15.45</v>
      </c>
      <c r="T455" s="42">
        <f t="shared" si="17"/>
        <v>1.5070072143355828</v>
      </c>
      <c r="U455" s="32"/>
    </row>
    <row r="456" spans="5:22" ht="14.4">
      <c r="E456" s="30" t="s">
        <v>139</v>
      </c>
      <c r="F456" s="30" t="s">
        <v>218</v>
      </c>
      <c r="G456" s="30" t="s">
        <v>445</v>
      </c>
      <c r="H456" s="31" t="s">
        <v>454</v>
      </c>
      <c r="I456" s="30">
        <v>4.8000000000000096</v>
      </c>
      <c r="J456" s="32">
        <v>4.5801526717557302</v>
      </c>
      <c r="K456" s="118">
        <v>1184.2</v>
      </c>
      <c r="L456" s="118">
        <v>704.6</v>
      </c>
      <c r="M456" s="118">
        <v>1186.0999999999999</v>
      </c>
      <c r="N456" s="119">
        <v>63.63</v>
      </c>
      <c r="O456" s="119">
        <v>63.46</v>
      </c>
      <c r="P456" s="119">
        <v>63.38</v>
      </c>
      <c r="Q456" s="119">
        <v>63.59</v>
      </c>
      <c r="R456" s="119">
        <f t="shared" si="18"/>
        <v>63.515000000000001</v>
      </c>
      <c r="S456" s="119">
        <v>13.76</v>
      </c>
      <c r="T456" s="42">
        <f t="shared" si="17"/>
        <v>1.3620266078879004</v>
      </c>
      <c r="U456" s="32"/>
    </row>
    <row r="457" spans="5:22" ht="14.4">
      <c r="E457" s="30" t="s">
        <v>140</v>
      </c>
      <c r="F457" s="30" t="s">
        <v>218</v>
      </c>
      <c r="G457" s="30" t="s">
        <v>445</v>
      </c>
      <c r="H457" s="31" t="s">
        <v>397</v>
      </c>
      <c r="I457" s="30">
        <v>4.8000000000000096</v>
      </c>
      <c r="J457" s="32">
        <v>4.5801526717557302</v>
      </c>
      <c r="K457" s="33">
        <v>1228.4000000000001</v>
      </c>
      <c r="L457" s="33">
        <v>732.3</v>
      </c>
      <c r="M457" s="33">
        <v>1231.7</v>
      </c>
      <c r="N457" s="32">
        <v>64.06</v>
      </c>
      <c r="O457" s="32">
        <v>63.9</v>
      </c>
      <c r="P457" s="32">
        <v>64.05</v>
      </c>
      <c r="Q457" s="32">
        <v>63.86</v>
      </c>
      <c r="R457" s="32">
        <v>63.967500000000001</v>
      </c>
      <c r="S457" s="32">
        <v>14.93</v>
      </c>
      <c r="T457" s="32">
        <v>1.4673843748778701</v>
      </c>
      <c r="U457" s="32">
        <f>V457/V458</f>
        <v>0.82199354865588825</v>
      </c>
      <c r="V457" s="32">
        <f>AVERAGE(T457,T459,T461)</f>
        <v>1.4609825635608835</v>
      </c>
    </row>
    <row r="458" spans="5:22" ht="14.4">
      <c r="E458" s="30" t="s">
        <v>140</v>
      </c>
      <c r="F458" s="30" t="s">
        <v>218</v>
      </c>
      <c r="G458" s="30" t="s">
        <v>445</v>
      </c>
      <c r="H458" s="31" t="s">
        <v>295</v>
      </c>
      <c r="I458" s="30">
        <v>4.8000000000000096</v>
      </c>
      <c r="J458" s="32">
        <v>4.5801526717557302</v>
      </c>
      <c r="K458" s="33">
        <v>1231.4000000000001</v>
      </c>
      <c r="L458" s="33">
        <v>737.1</v>
      </c>
      <c r="M458" s="33">
        <v>1234.7</v>
      </c>
      <c r="N458" s="32">
        <v>63.55</v>
      </c>
      <c r="O458" s="32">
        <v>63.87</v>
      </c>
      <c r="P458" s="32">
        <v>64.16</v>
      </c>
      <c r="Q458" s="32">
        <v>64.05</v>
      </c>
      <c r="R458" s="32">
        <v>63.907499999999999</v>
      </c>
      <c r="S458" s="32">
        <v>18.87</v>
      </c>
      <c r="T458" s="32">
        <v>1.8563656847787799</v>
      </c>
      <c r="U458" s="32"/>
      <c r="V458" s="32">
        <f>AVERAGE(T458,T460,T462)</f>
        <v>1.7773649999441732</v>
      </c>
    </row>
    <row r="459" spans="5:22" ht="14.4">
      <c r="E459" s="30" t="s">
        <v>140</v>
      </c>
      <c r="F459" s="30" t="s">
        <v>218</v>
      </c>
      <c r="G459" s="30" t="s">
        <v>445</v>
      </c>
      <c r="H459" s="31" t="s">
        <v>399</v>
      </c>
      <c r="I459" s="30">
        <v>4.8000000000000096</v>
      </c>
      <c r="J459" s="32">
        <v>4.5801526717557302</v>
      </c>
      <c r="K459" s="33">
        <v>1228.9000000000001</v>
      </c>
      <c r="L459" s="33">
        <v>733.4</v>
      </c>
      <c r="M459" s="33">
        <v>1231.3</v>
      </c>
      <c r="N459" s="32">
        <v>63.32</v>
      </c>
      <c r="O459" s="32">
        <v>63.66</v>
      </c>
      <c r="P459" s="32">
        <v>63.51</v>
      </c>
      <c r="Q459" s="32">
        <v>63.36</v>
      </c>
      <c r="R459" s="32">
        <v>63.462499999999999</v>
      </c>
      <c r="S459" s="32">
        <v>14.33</v>
      </c>
      <c r="T459" s="32">
        <v>1.4196211936182801</v>
      </c>
      <c r="U459" s="32"/>
    </row>
    <row r="460" spans="5:22" ht="14.4">
      <c r="E460" s="30" t="s">
        <v>140</v>
      </c>
      <c r="F460" s="30" t="s">
        <v>218</v>
      </c>
      <c r="G460" s="30" t="s">
        <v>445</v>
      </c>
      <c r="H460" s="31" t="s">
        <v>297</v>
      </c>
      <c r="I460" s="30">
        <v>4.8000000000000096</v>
      </c>
      <c r="J460" s="32">
        <v>4.5801526717557302</v>
      </c>
      <c r="K460" s="33">
        <v>1228.5999999999999</v>
      </c>
      <c r="L460" s="33">
        <v>735</v>
      </c>
      <c r="M460" s="33">
        <v>1230.4000000000001</v>
      </c>
      <c r="N460" s="32">
        <v>62.93</v>
      </c>
      <c r="O460" s="32">
        <v>63.11</v>
      </c>
      <c r="P460" s="32">
        <v>63.35</v>
      </c>
      <c r="Q460" s="32">
        <v>63.16</v>
      </c>
      <c r="R460" s="32">
        <v>63.137500000000003</v>
      </c>
      <c r="S460" s="32">
        <v>18.5</v>
      </c>
      <c r="T460" s="32">
        <v>1.8421619481290801</v>
      </c>
      <c r="U460" s="32"/>
    </row>
    <row r="461" spans="5:22" ht="14.4">
      <c r="E461" s="30" t="s">
        <v>140</v>
      </c>
      <c r="F461" s="30" t="s">
        <v>218</v>
      </c>
      <c r="G461" s="30" t="s">
        <v>445</v>
      </c>
      <c r="H461" s="31" t="s">
        <v>401</v>
      </c>
      <c r="I461" s="30">
        <v>4.8000000000000096</v>
      </c>
      <c r="J461" s="32">
        <v>4.5801526717557302</v>
      </c>
      <c r="K461" s="33">
        <v>1220.4000000000001</v>
      </c>
      <c r="L461" s="33">
        <v>728.2</v>
      </c>
      <c r="M461" s="33">
        <v>1225.5999999999999</v>
      </c>
      <c r="N461" s="32">
        <v>64.010000000000005</v>
      </c>
      <c r="O461" s="32">
        <v>64.19</v>
      </c>
      <c r="P461" s="32">
        <v>63.1</v>
      </c>
      <c r="Q461" s="32">
        <v>63.72</v>
      </c>
      <c r="R461" s="32">
        <v>63.755000000000003</v>
      </c>
      <c r="S461" s="32">
        <v>15.17</v>
      </c>
      <c r="T461" s="32">
        <v>1.4959421221864999</v>
      </c>
      <c r="U461" s="32"/>
    </row>
    <row r="462" spans="5:22" ht="14.4">
      <c r="E462" s="30" t="s">
        <v>140</v>
      </c>
      <c r="F462" s="30" t="s">
        <v>218</v>
      </c>
      <c r="G462" s="30" t="s">
        <v>445</v>
      </c>
      <c r="H462" s="31" t="s">
        <v>299</v>
      </c>
      <c r="I462" s="30">
        <v>4.8000000000000096</v>
      </c>
      <c r="J462" s="32">
        <v>4.5801526717557302</v>
      </c>
      <c r="K462" s="33">
        <v>1228.7</v>
      </c>
      <c r="L462" s="33">
        <v>734.3</v>
      </c>
      <c r="M462" s="33">
        <v>1230.5999999999999</v>
      </c>
      <c r="N462" s="32">
        <v>63.51</v>
      </c>
      <c r="O462" s="32">
        <v>63.41</v>
      </c>
      <c r="P462" s="32">
        <v>63.19</v>
      </c>
      <c r="Q462" s="32">
        <v>63.13</v>
      </c>
      <c r="R462" s="32">
        <v>63.31</v>
      </c>
      <c r="S462" s="32">
        <v>16.45</v>
      </c>
      <c r="T462" s="32">
        <v>1.63356736692466</v>
      </c>
      <c r="U462" s="32"/>
    </row>
    <row r="463" spans="5:22" ht="14.4">
      <c r="E463" s="30" t="s">
        <v>141</v>
      </c>
      <c r="F463" s="30" t="s">
        <v>218</v>
      </c>
      <c r="G463" s="30" t="s">
        <v>336</v>
      </c>
      <c r="H463" s="31" t="s">
        <v>294</v>
      </c>
      <c r="I463" s="30">
        <v>4.8000000000000096</v>
      </c>
      <c r="J463" s="32">
        <v>4.5801526717557302</v>
      </c>
      <c r="K463" s="33">
        <v>1200.5999999999999</v>
      </c>
      <c r="L463" s="33">
        <v>707.8</v>
      </c>
      <c r="M463" s="33">
        <v>1202.5999999999999</v>
      </c>
      <c r="N463" s="32">
        <v>63.38</v>
      </c>
      <c r="O463" s="32">
        <v>63.15</v>
      </c>
      <c r="P463" s="32">
        <v>63.58</v>
      </c>
      <c r="Q463" s="32">
        <v>63.32</v>
      </c>
      <c r="R463" s="32">
        <v>63.357500000000002</v>
      </c>
      <c r="S463" s="32">
        <v>6.59</v>
      </c>
      <c r="T463" s="32">
        <v>0.65392936905654397</v>
      </c>
      <c r="U463" s="32">
        <f>V464/V463</f>
        <v>0.88925468926655071</v>
      </c>
      <c r="V463" s="32">
        <f>AVERAGE(T463,T465,T467)</f>
        <v>0.64468676409485837</v>
      </c>
    </row>
    <row r="464" spans="5:22" ht="14.4">
      <c r="E464" s="30" t="s">
        <v>141</v>
      </c>
      <c r="F464" s="30" t="s">
        <v>218</v>
      </c>
      <c r="G464" s="30" t="s">
        <v>336</v>
      </c>
      <c r="H464" s="31" t="s">
        <v>452</v>
      </c>
      <c r="I464" s="30">
        <v>4.8000000000000096</v>
      </c>
      <c r="J464" s="32">
        <v>4.5801526717557302</v>
      </c>
      <c r="K464" s="33">
        <v>1202.9000000000001</v>
      </c>
      <c r="L464" s="33">
        <v>710.5</v>
      </c>
      <c r="M464" s="33">
        <v>1205.3</v>
      </c>
      <c r="N464" s="32">
        <v>63.11</v>
      </c>
      <c r="O464" s="32">
        <v>63.54</v>
      </c>
      <c r="P464" s="32">
        <v>63</v>
      </c>
      <c r="Q464" s="32">
        <v>63.4</v>
      </c>
      <c r="R464" s="32">
        <v>63.262500000000003</v>
      </c>
      <c r="S464" s="32">
        <v>6.12</v>
      </c>
      <c r="T464" s="32">
        <v>0.60820296384113803</v>
      </c>
      <c r="U464" s="32"/>
      <c r="V464" s="32">
        <f>AVERAGE(T464,T466,T468)</f>
        <v>0.57329072807943138</v>
      </c>
    </row>
    <row r="465" spans="5:22" ht="14.4">
      <c r="E465" s="30" t="s">
        <v>141</v>
      </c>
      <c r="F465" s="30" t="s">
        <v>218</v>
      </c>
      <c r="G465" s="30" t="s">
        <v>336</v>
      </c>
      <c r="H465" s="31" t="s">
        <v>309</v>
      </c>
      <c r="I465" s="30">
        <v>4.8000000000000096</v>
      </c>
      <c r="J465" s="32">
        <v>4.5801526717557302</v>
      </c>
      <c r="K465" s="33">
        <v>1188.9000000000001</v>
      </c>
      <c r="L465" s="33">
        <v>702.2</v>
      </c>
      <c r="M465" s="33">
        <v>1191.2</v>
      </c>
      <c r="N465" s="32">
        <v>63.41</v>
      </c>
      <c r="O465" s="32">
        <v>63.37</v>
      </c>
      <c r="P465" s="32">
        <v>63.39</v>
      </c>
      <c r="Q465" s="32">
        <v>63.46</v>
      </c>
      <c r="R465" s="32">
        <v>63.407499999999999</v>
      </c>
      <c r="S465" s="32">
        <v>6.23</v>
      </c>
      <c r="T465" s="32">
        <v>0.61771888183574497</v>
      </c>
      <c r="U465" s="32"/>
    </row>
    <row r="466" spans="5:22" ht="14.4">
      <c r="E466" s="30" t="s">
        <v>141</v>
      </c>
      <c r="F466" s="30" t="s">
        <v>218</v>
      </c>
      <c r="G466" s="30" t="s">
        <v>336</v>
      </c>
      <c r="H466" s="31" t="s">
        <v>453</v>
      </c>
      <c r="I466" s="30">
        <v>4.8000000000000096</v>
      </c>
      <c r="J466" s="32">
        <v>4.5801526717557302</v>
      </c>
      <c r="K466" s="33">
        <v>1197.8</v>
      </c>
      <c r="L466" s="33">
        <v>707.1</v>
      </c>
      <c r="M466" s="33">
        <v>1201.4000000000001</v>
      </c>
      <c r="N466" s="32">
        <v>53.45</v>
      </c>
      <c r="O466" s="32">
        <v>63.92</v>
      </c>
      <c r="P466" s="32">
        <v>63.5</v>
      </c>
      <c r="Q466" s="32">
        <v>63.87</v>
      </c>
      <c r="R466" s="32">
        <v>61.185000000000002</v>
      </c>
      <c r="S466" s="32">
        <v>5.72</v>
      </c>
      <c r="T466" s="32">
        <v>0.58775255373048896</v>
      </c>
      <c r="U466" s="32"/>
    </row>
    <row r="467" spans="5:22" ht="14.4">
      <c r="E467" s="30" t="s">
        <v>141</v>
      </c>
      <c r="F467" s="30" t="s">
        <v>218</v>
      </c>
      <c r="G467" s="30" t="s">
        <v>336</v>
      </c>
      <c r="H467" s="31" t="s">
        <v>311</v>
      </c>
      <c r="I467" s="30">
        <v>4.8000000000000096</v>
      </c>
      <c r="J467" s="32">
        <v>4.5801526717557302</v>
      </c>
      <c r="K467" s="33">
        <v>1198.9000000000001</v>
      </c>
      <c r="L467" s="33">
        <v>708.3</v>
      </c>
      <c r="M467" s="33">
        <v>1201.0999999999999</v>
      </c>
      <c r="N467" s="32">
        <v>64.650000000000006</v>
      </c>
      <c r="O467" s="32">
        <v>63.25</v>
      </c>
      <c r="P467" s="32">
        <v>63.87</v>
      </c>
      <c r="Q467" s="32">
        <v>63.35</v>
      </c>
      <c r="R467" s="32">
        <v>63.78</v>
      </c>
      <c r="S467" s="32">
        <v>6.72</v>
      </c>
      <c r="T467" s="32">
        <v>0.66241204139228604</v>
      </c>
      <c r="U467" s="32"/>
    </row>
    <row r="468" spans="5:22" ht="14.4">
      <c r="E468" s="30" t="s">
        <v>141</v>
      </c>
      <c r="F468" s="30" t="s">
        <v>218</v>
      </c>
      <c r="G468" s="30" t="s">
        <v>336</v>
      </c>
      <c r="H468" s="31" t="s">
        <v>454</v>
      </c>
      <c r="I468" s="30">
        <v>4.8000000000000096</v>
      </c>
      <c r="J468" s="32">
        <v>4.5801526717557302</v>
      </c>
      <c r="K468" s="33">
        <v>1202.2</v>
      </c>
      <c r="L468" s="33">
        <v>710.3</v>
      </c>
      <c r="M468" s="33">
        <v>1205.9000000000001</v>
      </c>
      <c r="N468" s="32">
        <v>64.2</v>
      </c>
      <c r="O468" s="32">
        <v>64.17</v>
      </c>
      <c r="P468" s="32">
        <v>64.27</v>
      </c>
      <c r="Q468" s="32">
        <v>64.16</v>
      </c>
      <c r="R468" s="32">
        <v>64.2</v>
      </c>
      <c r="S468" s="32">
        <v>5.35</v>
      </c>
      <c r="T468" s="32">
        <v>0.52391666666666703</v>
      </c>
      <c r="U468" s="32"/>
    </row>
    <row r="469" spans="5:22" ht="14.4">
      <c r="E469" s="30" t="s">
        <v>141</v>
      </c>
      <c r="F469" s="30" t="s">
        <v>218</v>
      </c>
      <c r="G469" s="30" t="s">
        <v>354</v>
      </c>
      <c r="H469" s="31" t="s">
        <v>397</v>
      </c>
      <c r="I469" s="30">
        <v>4.8000000000000096</v>
      </c>
      <c r="J469" s="32">
        <v>4.5801526717557302</v>
      </c>
      <c r="K469" s="33">
        <v>1196.4000000000001</v>
      </c>
      <c r="L469" s="33">
        <v>706.1</v>
      </c>
      <c r="M469" s="33">
        <v>1199.9000000000001</v>
      </c>
      <c r="N469" s="32">
        <v>64.430000000000007</v>
      </c>
      <c r="O469" s="32">
        <v>64.52</v>
      </c>
      <c r="P469" s="32">
        <v>64.5</v>
      </c>
      <c r="Q469" s="32">
        <v>64.510000000000005</v>
      </c>
      <c r="R469" s="32">
        <v>64.489999999999995</v>
      </c>
      <c r="S469" s="32">
        <v>7.73</v>
      </c>
      <c r="T469" s="32">
        <v>0.75358210575283002</v>
      </c>
      <c r="U469" s="32">
        <f>V469/V470</f>
        <v>0.85622047901875953</v>
      </c>
      <c r="V469" s="32">
        <f>AVERAGE(T469,T471,T473)</f>
        <v>0.7278663583943441</v>
      </c>
    </row>
    <row r="470" spans="5:22" ht="14.4">
      <c r="E470" s="30" t="s">
        <v>141</v>
      </c>
      <c r="F470" s="30" t="s">
        <v>218</v>
      </c>
      <c r="G470" s="30" t="s">
        <v>354</v>
      </c>
      <c r="H470" s="31" t="s">
        <v>295</v>
      </c>
      <c r="I470" s="30">
        <v>4.8000000000000096</v>
      </c>
      <c r="J470" s="32">
        <v>4.5801526717557302</v>
      </c>
      <c r="K470" s="33">
        <v>1193.2</v>
      </c>
      <c r="L470" s="33">
        <v>703.7</v>
      </c>
      <c r="M470" s="33">
        <v>1196.3</v>
      </c>
      <c r="N470" s="32">
        <v>64.010000000000005</v>
      </c>
      <c r="O470" s="32">
        <v>63.8</v>
      </c>
      <c r="P470" s="32">
        <v>64.08</v>
      </c>
      <c r="Q470" s="32">
        <v>63.84</v>
      </c>
      <c r="R470" s="32">
        <v>63.932499999999997</v>
      </c>
      <c r="S470" s="32">
        <v>8.64</v>
      </c>
      <c r="T470" s="32">
        <v>0.84964110585383001</v>
      </c>
      <c r="U470" s="32"/>
      <c r="V470" s="32">
        <f>AVERAGE(T470,T472,T474)</f>
        <v>0.85009220899328286</v>
      </c>
    </row>
    <row r="471" spans="5:22" ht="14.4">
      <c r="E471" s="30" t="s">
        <v>141</v>
      </c>
      <c r="F471" s="30" t="s">
        <v>218</v>
      </c>
      <c r="G471" s="30" t="s">
        <v>354</v>
      </c>
      <c r="H471" s="31" t="s">
        <v>399</v>
      </c>
      <c r="I471" s="30">
        <v>4.8000000000000096</v>
      </c>
      <c r="J471" s="32">
        <v>4.5801526717557302</v>
      </c>
      <c r="K471" s="33">
        <v>1187.5</v>
      </c>
      <c r="L471" s="33">
        <v>700.4</v>
      </c>
      <c r="M471" s="33">
        <v>1191.5</v>
      </c>
      <c r="N471" s="32">
        <v>64</v>
      </c>
      <c r="O471" s="32">
        <v>63.8</v>
      </c>
      <c r="P471" s="32">
        <v>63.85</v>
      </c>
      <c r="Q471" s="32">
        <v>63.73</v>
      </c>
      <c r="R471" s="32">
        <v>63.844999999999999</v>
      </c>
      <c r="S471" s="32">
        <v>7.03</v>
      </c>
      <c r="T471" s="32">
        <v>0.69226423369097001</v>
      </c>
      <c r="U471" s="32"/>
    </row>
    <row r="472" spans="5:22" ht="14.4">
      <c r="E472" s="30" t="s">
        <v>141</v>
      </c>
      <c r="F472" s="30" t="s">
        <v>218</v>
      </c>
      <c r="G472" s="30" t="s">
        <v>354</v>
      </c>
      <c r="H472" s="31" t="s">
        <v>297</v>
      </c>
      <c r="I472" s="30">
        <v>4.8000000000000096</v>
      </c>
      <c r="J472" s="32">
        <v>4.5801526717557302</v>
      </c>
      <c r="K472" s="33">
        <v>1193.7</v>
      </c>
      <c r="L472" s="33">
        <v>703.1</v>
      </c>
      <c r="M472" s="33">
        <v>1195.5</v>
      </c>
      <c r="N472" s="32">
        <v>64.72</v>
      </c>
      <c r="O472" s="32">
        <v>64.599999999999994</v>
      </c>
      <c r="P472" s="32">
        <v>64.55</v>
      </c>
      <c r="Q472" s="32">
        <v>64.56</v>
      </c>
      <c r="R472" s="32">
        <v>64.607500000000002</v>
      </c>
      <c r="S472" s="32">
        <v>8.84</v>
      </c>
      <c r="T472" s="32">
        <v>0.86022644429826201</v>
      </c>
      <c r="U472" s="32"/>
    </row>
    <row r="473" spans="5:22" ht="14.4">
      <c r="E473" s="30" t="s">
        <v>141</v>
      </c>
      <c r="F473" s="30" t="s">
        <v>218</v>
      </c>
      <c r="G473" s="30" t="s">
        <v>354</v>
      </c>
      <c r="H473" s="31" t="s">
        <v>401</v>
      </c>
      <c r="I473" s="30">
        <v>4.7999999999999901</v>
      </c>
      <c r="J473" s="32">
        <v>4.5801526717557302</v>
      </c>
      <c r="K473" s="33">
        <v>1191.9000000000001</v>
      </c>
      <c r="L473" s="33">
        <v>701.2</v>
      </c>
      <c r="M473" s="33">
        <v>1194.0999999999999</v>
      </c>
      <c r="N473" s="32">
        <v>64.45</v>
      </c>
      <c r="O473" s="32">
        <v>64.400000000000006</v>
      </c>
      <c r="P473" s="32">
        <v>64.5</v>
      </c>
      <c r="Q473" s="32">
        <v>64.349999999999994</v>
      </c>
      <c r="R473" s="32">
        <v>64.424999999999997</v>
      </c>
      <c r="S473" s="32">
        <v>7.56</v>
      </c>
      <c r="T473" s="32">
        <v>0.73775273573923195</v>
      </c>
      <c r="U473" s="32"/>
    </row>
    <row r="474" spans="5:22" ht="14.4">
      <c r="E474" s="30" t="s">
        <v>141</v>
      </c>
      <c r="F474" s="30" t="s">
        <v>218</v>
      </c>
      <c r="G474" s="30" t="s">
        <v>354</v>
      </c>
      <c r="H474" s="31" t="s">
        <v>299</v>
      </c>
      <c r="I474" s="30">
        <v>4.7999999999999901</v>
      </c>
      <c r="J474" s="32">
        <v>4.5801526717557302</v>
      </c>
      <c r="K474" s="33">
        <v>1187.7</v>
      </c>
      <c r="L474" s="33">
        <v>700.5</v>
      </c>
      <c r="M474" s="33">
        <v>1191.8</v>
      </c>
      <c r="N474" s="32">
        <v>64.87</v>
      </c>
      <c r="O474" s="32">
        <v>64.400000000000006</v>
      </c>
      <c r="P474" s="32">
        <v>64.47</v>
      </c>
      <c r="Q474" s="32">
        <v>64.5</v>
      </c>
      <c r="R474" s="32">
        <v>64.56</v>
      </c>
      <c r="S474" s="32">
        <v>8.6300000000000008</v>
      </c>
      <c r="T474" s="32">
        <v>0.84040907682775701</v>
      </c>
      <c r="U474" s="32"/>
    </row>
    <row r="475" spans="5:22" ht="14.4">
      <c r="E475" s="30" t="s">
        <v>142</v>
      </c>
      <c r="F475" s="30" t="s">
        <v>218</v>
      </c>
      <c r="G475" s="30" t="s">
        <v>445</v>
      </c>
      <c r="H475" s="31" t="s">
        <v>397</v>
      </c>
      <c r="I475" s="30">
        <v>4.8000000000000096</v>
      </c>
      <c r="J475" s="32">
        <v>4.5801526717557302</v>
      </c>
      <c r="K475" s="33">
        <v>1207.3</v>
      </c>
      <c r="L475" s="33">
        <v>711.7</v>
      </c>
      <c r="M475" s="33">
        <v>1210.7</v>
      </c>
      <c r="N475" s="32">
        <v>65.13</v>
      </c>
      <c r="O475" s="32">
        <v>65.02</v>
      </c>
      <c r="P475" s="32">
        <v>65.05</v>
      </c>
      <c r="Q475" s="32">
        <v>64.900000000000006</v>
      </c>
      <c r="R475" s="32">
        <v>65.025000000000006</v>
      </c>
      <c r="S475" s="32">
        <v>12.01</v>
      </c>
      <c r="T475" s="32">
        <v>1.1611975394079199</v>
      </c>
      <c r="U475" s="32">
        <f>V475/V476</f>
        <v>0.91842633951634678</v>
      </c>
      <c r="V475" s="32">
        <f>AVERAGE(T475,T477,T479,T481)</f>
        <v>1.1909419304910775</v>
      </c>
    </row>
    <row r="476" spans="5:22" ht="14.4">
      <c r="E476" s="30" t="s">
        <v>142</v>
      </c>
      <c r="F476" s="30" t="s">
        <v>218</v>
      </c>
      <c r="G476" s="30" t="s">
        <v>445</v>
      </c>
      <c r="H476" s="31" t="s">
        <v>295</v>
      </c>
      <c r="I476" s="30">
        <v>4.8000000000000096</v>
      </c>
      <c r="J476" s="32">
        <v>4.5801526717557302</v>
      </c>
      <c r="K476" s="33">
        <v>1199.7</v>
      </c>
      <c r="L476" s="33">
        <v>707.3</v>
      </c>
      <c r="M476" s="33">
        <v>1202.9000000000001</v>
      </c>
      <c r="N476" s="32">
        <v>64.760000000000005</v>
      </c>
      <c r="O476" s="32">
        <v>64.7</v>
      </c>
      <c r="P476" s="32">
        <v>64.88</v>
      </c>
      <c r="Q476" s="32">
        <v>64.69</v>
      </c>
      <c r="R476" s="32">
        <v>64.757499999999993</v>
      </c>
      <c r="S476" s="32">
        <v>13.09</v>
      </c>
      <c r="T476" s="32">
        <v>1.2708463112380799</v>
      </c>
      <c r="U476" s="32"/>
      <c r="V476" s="32">
        <f>AVERAGE(T476,T478,T480)</f>
        <v>1.2967201388390499</v>
      </c>
    </row>
    <row r="477" spans="5:22" ht="14.4">
      <c r="E477" s="30" t="s">
        <v>142</v>
      </c>
      <c r="F477" s="30" t="s">
        <v>218</v>
      </c>
      <c r="G477" s="30" t="s">
        <v>445</v>
      </c>
      <c r="H477" s="31" t="s">
        <v>399</v>
      </c>
      <c r="I477" s="30">
        <v>4.8000000000000096</v>
      </c>
      <c r="J477" s="32">
        <v>4.5801526717557302</v>
      </c>
      <c r="K477" s="33">
        <v>1191.0999999999999</v>
      </c>
      <c r="L477" s="33">
        <v>704.1</v>
      </c>
      <c r="M477" s="33">
        <v>1194</v>
      </c>
      <c r="N477" s="32">
        <v>64.540000000000006</v>
      </c>
      <c r="O477" s="32">
        <v>64.75</v>
      </c>
      <c r="P477" s="32">
        <v>64.7</v>
      </c>
      <c r="Q477" s="32">
        <v>64.95</v>
      </c>
      <c r="R477" s="32">
        <v>64.734999999999999</v>
      </c>
      <c r="S477" s="32">
        <v>12.8</v>
      </c>
      <c r="T477" s="32">
        <v>1.24312350351433</v>
      </c>
      <c r="U477" s="32"/>
    </row>
    <row r="478" spans="5:22" ht="14.4">
      <c r="E478" s="30" t="s">
        <v>142</v>
      </c>
      <c r="F478" s="30" t="s">
        <v>218</v>
      </c>
      <c r="G478" s="30" t="s">
        <v>445</v>
      </c>
      <c r="H478" s="31" t="s">
        <v>297</v>
      </c>
      <c r="I478" s="30">
        <v>4.8000000000000096</v>
      </c>
      <c r="J478" s="32">
        <v>4.5801526717557302</v>
      </c>
      <c r="K478" s="33">
        <v>1193.7</v>
      </c>
      <c r="L478" s="33">
        <v>705.7</v>
      </c>
      <c r="M478" s="33">
        <v>1196.2</v>
      </c>
      <c r="N478" s="32">
        <v>64.84</v>
      </c>
      <c r="O478" s="32">
        <v>64.33</v>
      </c>
      <c r="P478" s="32">
        <v>64.52</v>
      </c>
      <c r="Q478" s="32">
        <v>64.819999999999993</v>
      </c>
      <c r="R478" s="32">
        <v>64.627499999999998</v>
      </c>
      <c r="S478" s="32">
        <v>13.92</v>
      </c>
      <c r="T478" s="32">
        <v>1.35414552628525</v>
      </c>
      <c r="U478" s="32"/>
    </row>
    <row r="479" spans="5:22" ht="14.4">
      <c r="E479" s="30" t="s">
        <v>142</v>
      </c>
      <c r="F479" s="30" t="s">
        <v>218</v>
      </c>
      <c r="G479" s="30" t="s">
        <v>445</v>
      </c>
      <c r="H479" s="31" t="s">
        <v>401</v>
      </c>
      <c r="I479" s="30">
        <v>4.8000000000000096</v>
      </c>
      <c r="J479" s="32">
        <v>4.5801526717557302</v>
      </c>
      <c r="K479" s="33">
        <v>1192.7</v>
      </c>
      <c r="L479" s="33">
        <v>704.5</v>
      </c>
      <c r="M479" s="33">
        <v>1195.9000000000001</v>
      </c>
      <c r="N479" s="32">
        <v>65.27</v>
      </c>
      <c r="O479" s="32">
        <v>65.25</v>
      </c>
      <c r="P479" s="32">
        <v>65.3</v>
      </c>
      <c r="Q479" s="32">
        <v>65.099999999999994</v>
      </c>
      <c r="R479" s="32">
        <v>65.23</v>
      </c>
      <c r="S479" s="32">
        <v>12.54</v>
      </c>
      <c r="T479" s="32">
        <v>1.2086306913996601</v>
      </c>
      <c r="U479" s="32"/>
    </row>
    <row r="480" spans="5:22" ht="14.4">
      <c r="E480" s="30" t="s">
        <v>142</v>
      </c>
      <c r="F480" s="30" t="s">
        <v>218</v>
      </c>
      <c r="G480" s="30" t="s">
        <v>445</v>
      </c>
      <c r="H480" s="31" t="s">
        <v>299</v>
      </c>
      <c r="I480" s="30">
        <v>4.8000000000000096</v>
      </c>
      <c r="J480" s="32">
        <v>4.5801526717557302</v>
      </c>
      <c r="K480" s="33">
        <v>1186.8</v>
      </c>
      <c r="L480" s="33">
        <v>703.8</v>
      </c>
      <c r="M480" s="33">
        <v>1191.8</v>
      </c>
      <c r="N480" s="32">
        <v>65.05</v>
      </c>
      <c r="O480" s="32">
        <v>65.09</v>
      </c>
      <c r="P480" s="32">
        <v>65.45</v>
      </c>
      <c r="Q480" s="32">
        <v>65</v>
      </c>
      <c r="R480" s="32">
        <v>65.147499999999994</v>
      </c>
      <c r="S480" s="32">
        <v>13.11</v>
      </c>
      <c r="T480" s="32">
        <v>1.2651685789938201</v>
      </c>
      <c r="U480" s="32"/>
    </row>
    <row r="481" spans="5:22" ht="14.4">
      <c r="E481" s="30" t="s">
        <v>142</v>
      </c>
      <c r="F481" s="30" t="s">
        <v>218</v>
      </c>
      <c r="G481" s="30" t="s">
        <v>445</v>
      </c>
      <c r="H481" s="31" t="s">
        <v>409</v>
      </c>
      <c r="I481" s="30">
        <v>4.8000000000000096</v>
      </c>
      <c r="J481" s="32">
        <v>4.5801526717557302</v>
      </c>
      <c r="K481" s="33">
        <v>1182.5999999999999</v>
      </c>
      <c r="L481" s="33">
        <v>703.1</v>
      </c>
      <c r="M481" s="33">
        <v>1186.5999999999999</v>
      </c>
      <c r="N481" s="32">
        <v>64.95</v>
      </c>
      <c r="O481" s="32">
        <v>64.62</v>
      </c>
      <c r="P481" s="32">
        <v>64.739999999999995</v>
      </c>
      <c r="Q481" s="32">
        <v>64.64</v>
      </c>
      <c r="R481" s="32">
        <v>64.737499999999997</v>
      </c>
      <c r="S481" s="32">
        <v>11.85</v>
      </c>
      <c r="T481" s="32">
        <v>1.1508159876424</v>
      </c>
      <c r="U481" s="32"/>
    </row>
    <row r="482" spans="5:22" ht="14.4">
      <c r="E482" s="30" t="s">
        <v>144</v>
      </c>
      <c r="F482" s="30" t="s">
        <v>197</v>
      </c>
      <c r="G482" s="30" t="s">
        <v>429</v>
      </c>
      <c r="H482" s="31" t="s">
        <v>397</v>
      </c>
      <c r="I482" s="30">
        <v>4.2</v>
      </c>
      <c r="J482" s="32">
        <v>4.0307101727447199</v>
      </c>
      <c r="K482" s="33">
        <v>1170.2</v>
      </c>
      <c r="L482" s="33">
        <v>699.9</v>
      </c>
      <c r="M482" s="33">
        <v>1173.0999999999999</v>
      </c>
      <c r="N482" s="32">
        <v>65.67</v>
      </c>
      <c r="O482" s="32">
        <v>65.41</v>
      </c>
      <c r="P482" s="32">
        <v>65.94</v>
      </c>
      <c r="Q482" s="32">
        <v>65.73</v>
      </c>
      <c r="R482" s="32">
        <v>65.6875</v>
      </c>
      <c r="S482" s="32">
        <v>8.9</v>
      </c>
      <c r="T482" s="32">
        <v>0.85182568981922002</v>
      </c>
      <c r="U482" s="32">
        <f>V482/V483</f>
        <v>0.8173530353836298</v>
      </c>
      <c r="V482" s="32">
        <f>AVERAGE(T482,T484,T486)</f>
        <v>0.90335699906417632</v>
      </c>
    </row>
    <row r="483" spans="5:22" ht="14.4">
      <c r="E483" s="30" t="s">
        <v>144</v>
      </c>
      <c r="F483" s="30" t="s">
        <v>197</v>
      </c>
      <c r="G483" s="30" t="s">
        <v>429</v>
      </c>
      <c r="H483" s="31" t="s">
        <v>295</v>
      </c>
      <c r="I483" s="30">
        <v>4.2</v>
      </c>
      <c r="J483" s="32">
        <v>4.0307101727447199</v>
      </c>
      <c r="K483" s="33">
        <v>1192.4000000000001</v>
      </c>
      <c r="L483" s="33">
        <v>712.4</v>
      </c>
      <c r="M483" s="33">
        <v>1195.9000000000001</v>
      </c>
      <c r="N483" s="32">
        <v>64.22</v>
      </c>
      <c r="O483" s="32">
        <v>64.510000000000005</v>
      </c>
      <c r="P483" s="32">
        <v>64.61</v>
      </c>
      <c r="Q483" s="32">
        <v>64.099999999999994</v>
      </c>
      <c r="R483" s="32">
        <v>64.36</v>
      </c>
      <c r="S483" s="32">
        <v>11.89</v>
      </c>
      <c r="T483" s="32">
        <v>1.1614734307023</v>
      </c>
      <c r="U483" s="32"/>
      <c r="V483" s="32">
        <f>AVERAGE(T483,T485,T487)</f>
        <v>1.1052225414935666</v>
      </c>
    </row>
    <row r="484" spans="5:22" ht="14.4">
      <c r="E484" s="30" t="s">
        <v>144</v>
      </c>
      <c r="F484" s="30" t="s">
        <v>197</v>
      </c>
      <c r="G484" s="30" t="s">
        <v>429</v>
      </c>
      <c r="H484" s="31" t="s">
        <v>399</v>
      </c>
      <c r="I484" s="30">
        <v>4.2</v>
      </c>
      <c r="J484" s="32">
        <v>4.0307101727447199</v>
      </c>
      <c r="K484" s="33">
        <v>1191.8</v>
      </c>
      <c r="L484" s="33">
        <v>712.7</v>
      </c>
      <c r="M484" s="33">
        <v>1195.2</v>
      </c>
      <c r="N484" s="32">
        <v>65.44</v>
      </c>
      <c r="O484" s="32">
        <v>65.55</v>
      </c>
      <c r="P484" s="32">
        <v>65.37</v>
      </c>
      <c r="Q484" s="32">
        <v>65.41</v>
      </c>
      <c r="R484" s="32">
        <v>65.442499999999995</v>
      </c>
      <c r="S484" s="32">
        <v>9.89</v>
      </c>
      <c r="T484" s="32">
        <v>0.95012308515108701</v>
      </c>
      <c r="U484" s="32"/>
    </row>
    <row r="485" spans="5:22" ht="14.4">
      <c r="E485" s="30" t="s">
        <v>144</v>
      </c>
      <c r="F485" s="30" t="s">
        <v>197</v>
      </c>
      <c r="G485" s="30" t="s">
        <v>429</v>
      </c>
      <c r="H485" s="31" t="s">
        <v>297</v>
      </c>
      <c r="I485" s="30">
        <v>4.2</v>
      </c>
      <c r="J485" s="32">
        <v>4.0307101727447199</v>
      </c>
      <c r="K485" s="33">
        <v>1192.8</v>
      </c>
      <c r="L485" s="33">
        <v>711.3</v>
      </c>
      <c r="M485" s="33">
        <v>1195.2</v>
      </c>
      <c r="N485" s="32">
        <v>64.2</v>
      </c>
      <c r="O485" s="32">
        <v>64.17</v>
      </c>
      <c r="P485" s="32">
        <v>64.319999999999993</v>
      </c>
      <c r="Q485" s="32">
        <v>64.150000000000006</v>
      </c>
      <c r="R485" s="32">
        <v>64.209999999999994</v>
      </c>
      <c r="S485" s="32">
        <v>10.89</v>
      </c>
      <c r="T485" s="32">
        <v>1.0662736333904399</v>
      </c>
      <c r="U485" s="32"/>
    </row>
    <row r="486" spans="5:22" ht="14.4">
      <c r="E486" s="30" t="s">
        <v>144</v>
      </c>
      <c r="F486" s="30" t="s">
        <v>197</v>
      </c>
      <c r="G486" s="30" t="s">
        <v>429</v>
      </c>
      <c r="H486" s="31" t="s">
        <v>401</v>
      </c>
      <c r="I486" s="30">
        <v>4.2</v>
      </c>
      <c r="J486" s="32">
        <v>4.0307101727447199</v>
      </c>
      <c r="K486" s="33">
        <v>1194.8</v>
      </c>
      <c r="L486" s="33">
        <v>713.3</v>
      </c>
      <c r="M486" s="33">
        <v>1196.9000000000001</v>
      </c>
      <c r="N486" s="32">
        <v>63.64</v>
      </c>
      <c r="O486" s="32">
        <v>64.31</v>
      </c>
      <c r="P486" s="32">
        <v>63.94</v>
      </c>
      <c r="Q486" s="32">
        <v>63.71</v>
      </c>
      <c r="R486" s="32">
        <v>63.9</v>
      </c>
      <c r="S486" s="32">
        <v>9.23</v>
      </c>
      <c r="T486" s="32">
        <v>0.90812222222222205</v>
      </c>
      <c r="U486" s="32"/>
    </row>
    <row r="487" spans="5:22" ht="14.4">
      <c r="E487" s="30" t="s">
        <v>144</v>
      </c>
      <c r="F487" s="30" t="s">
        <v>197</v>
      </c>
      <c r="G487" s="30" t="s">
        <v>429</v>
      </c>
      <c r="H487" s="31" t="s">
        <v>299</v>
      </c>
      <c r="I487" s="30">
        <v>4.2</v>
      </c>
      <c r="J487" s="32">
        <v>4.0307101727447199</v>
      </c>
      <c r="K487" s="33">
        <v>1204.0999999999999</v>
      </c>
      <c r="L487" s="33">
        <v>717.3</v>
      </c>
      <c r="M487" s="33">
        <v>1207</v>
      </c>
      <c r="N487" s="32">
        <v>65.239999999999995</v>
      </c>
      <c r="O487" s="32">
        <v>64.81</v>
      </c>
      <c r="P487" s="32">
        <v>64.88</v>
      </c>
      <c r="Q487" s="32">
        <v>64.89</v>
      </c>
      <c r="R487" s="32">
        <v>64.954999999999998</v>
      </c>
      <c r="S487" s="32">
        <v>11.24</v>
      </c>
      <c r="T487" s="32">
        <v>1.08792056038796</v>
      </c>
      <c r="U487" s="32"/>
    </row>
    <row r="488" spans="5:22" ht="14.4">
      <c r="E488" s="30" t="s">
        <v>145</v>
      </c>
      <c r="F488" s="30" t="s">
        <v>94</v>
      </c>
      <c r="G488" s="30" t="s">
        <v>357</v>
      </c>
      <c r="H488" s="31" t="s">
        <v>397</v>
      </c>
      <c r="I488" s="125">
        <v>5</v>
      </c>
      <c r="J488" s="32">
        <v>4.76</v>
      </c>
      <c r="K488" s="33">
        <v>1212.5999999999999</v>
      </c>
      <c r="L488" s="33">
        <v>699</v>
      </c>
      <c r="M488" s="33">
        <v>1215.0999999999999</v>
      </c>
      <c r="N488" s="32">
        <v>65.819999999999993</v>
      </c>
      <c r="O488" s="32">
        <v>65.77</v>
      </c>
      <c r="P488" s="32">
        <v>66.02</v>
      </c>
      <c r="Q488" s="32">
        <v>65.78</v>
      </c>
      <c r="R488" s="32">
        <v>65.847499999999997</v>
      </c>
      <c r="S488" s="32">
        <v>8.67</v>
      </c>
      <c r="T488" s="32">
        <v>0.827795892023236</v>
      </c>
      <c r="U488" s="32">
        <f>V488/V489</f>
        <v>0.81352138631647775</v>
      </c>
      <c r="V488" s="32">
        <f>AVERAGE(T488,T490,T492,T494)</f>
        <v>0.81773280797084957</v>
      </c>
    </row>
    <row r="489" spans="5:22" ht="14.4">
      <c r="E489" s="30" t="s">
        <v>145</v>
      </c>
      <c r="F489" s="30" t="s">
        <v>94</v>
      </c>
      <c r="G489" s="30" t="s">
        <v>357</v>
      </c>
      <c r="H489" s="31" t="s">
        <v>295</v>
      </c>
      <c r="I489" s="125">
        <v>5</v>
      </c>
      <c r="J489" s="32">
        <v>4.76</v>
      </c>
      <c r="K489" s="33">
        <v>1190.8</v>
      </c>
      <c r="L489" s="33">
        <v>689.1</v>
      </c>
      <c r="M489" s="33">
        <v>1193.0999999999999</v>
      </c>
      <c r="N489" s="32">
        <v>64.12</v>
      </c>
      <c r="O489" s="32">
        <v>64.08</v>
      </c>
      <c r="P489" s="32">
        <v>64.209999999999994</v>
      </c>
      <c r="Q489" s="32">
        <v>64.150000000000006</v>
      </c>
      <c r="R489" s="32">
        <v>64.14</v>
      </c>
      <c r="S489" s="32">
        <v>10.89</v>
      </c>
      <c r="T489" s="32">
        <v>1.06743732460243</v>
      </c>
      <c r="U489" s="32"/>
      <c r="V489" s="32">
        <f>AVERAGE(T489,T491,T493)</f>
        <v>1.0051767805065834</v>
      </c>
    </row>
    <row r="490" spans="5:22" ht="14.4">
      <c r="E490" s="30" t="s">
        <v>145</v>
      </c>
      <c r="F490" s="30" t="s">
        <v>94</v>
      </c>
      <c r="G490" s="30" t="s">
        <v>357</v>
      </c>
      <c r="H490" s="31" t="s">
        <v>399</v>
      </c>
      <c r="I490" s="125">
        <v>5</v>
      </c>
      <c r="J490" s="32">
        <v>4.76</v>
      </c>
      <c r="K490" s="33">
        <v>1225.3</v>
      </c>
      <c r="L490" s="33">
        <v>710.5</v>
      </c>
      <c r="M490" s="33">
        <v>1226.5999999999999</v>
      </c>
      <c r="N490" s="32">
        <v>65.45</v>
      </c>
      <c r="O490" s="32">
        <v>65.069999999999993</v>
      </c>
      <c r="P490" s="32">
        <v>65.400000000000006</v>
      </c>
      <c r="Q490" s="32">
        <v>65.319999999999993</v>
      </c>
      <c r="R490" s="32">
        <v>65.31</v>
      </c>
      <c r="S490" s="32">
        <v>8.26</v>
      </c>
      <c r="T490" s="32">
        <v>0.79514040728831703</v>
      </c>
      <c r="U490" s="32"/>
    </row>
    <row r="491" spans="5:22" ht="14.4">
      <c r="E491" s="30" t="s">
        <v>145</v>
      </c>
      <c r="F491" s="30" t="s">
        <v>94</v>
      </c>
      <c r="G491" s="30" t="s">
        <v>357</v>
      </c>
      <c r="H491" s="31" t="s">
        <v>297</v>
      </c>
      <c r="I491" s="125">
        <v>5</v>
      </c>
      <c r="J491" s="32">
        <v>4.76</v>
      </c>
      <c r="K491" s="33">
        <v>1180.9000000000001</v>
      </c>
      <c r="L491" s="33">
        <v>682.2</v>
      </c>
      <c r="M491" s="33">
        <v>1184.7</v>
      </c>
      <c r="N491" s="32">
        <v>64.709999999999994</v>
      </c>
      <c r="O491" s="32">
        <v>64.28</v>
      </c>
      <c r="P491" s="32">
        <v>64.349999999999994</v>
      </c>
      <c r="Q491" s="32">
        <v>64.42</v>
      </c>
      <c r="R491" s="32">
        <v>64.44</v>
      </c>
      <c r="S491" s="32">
        <v>9.5</v>
      </c>
      <c r="T491" s="32">
        <v>0.92685443823711999</v>
      </c>
      <c r="U491" s="32"/>
    </row>
    <row r="492" spans="5:22" ht="14.4">
      <c r="E492" s="30" t="s">
        <v>145</v>
      </c>
      <c r="F492" s="30" t="s">
        <v>94</v>
      </c>
      <c r="G492" s="30" t="s">
        <v>357</v>
      </c>
      <c r="H492" s="31" t="s">
        <v>401</v>
      </c>
      <c r="I492" s="125">
        <v>5</v>
      </c>
      <c r="J492" s="32">
        <v>4.76</v>
      </c>
      <c r="K492" s="33">
        <v>1179.3</v>
      </c>
      <c r="L492" s="33">
        <v>681.2</v>
      </c>
      <c r="M492" s="33">
        <v>1184.2</v>
      </c>
      <c r="N492" s="32">
        <v>64.430000000000007</v>
      </c>
      <c r="O492" s="32">
        <v>64.3</v>
      </c>
      <c r="P492" s="32">
        <v>64.47</v>
      </c>
      <c r="Q492" s="32">
        <v>64.45</v>
      </c>
      <c r="R492" s="32">
        <v>64.412499999999994</v>
      </c>
      <c r="S492" s="32">
        <v>8.4</v>
      </c>
      <c r="T492" s="32">
        <v>0.81988433921987203</v>
      </c>
      <c r="U492" s="32"/>
    </row>
    <row r="493" spans="5:22" ht="14.4">
      <c r="E493" s="30" t="s">
        <v>145</v>
      </c>
      <c r="F493" s="30" t="s">
        <v>94</v>
      </c>
      <c r="G493" s="30" t="s">
        <v>357</v>
      </c>
      <c r="H493" s="31" t="s">
        <v>299</v>
      </c>
      <c r="I493" s="125">
        <v>5</v>
      </c>
      <c r="J493" s="32">
        <v>4.76</v>
      </c>
      <c r="K493" s="33">
        <v>1175.0999999999999</v>
      </c>
      <c r="L493" s="33">
        <v>678.2</v>
      </c>
      <c r="M493" s="33">
        <v>1179.3</v>
      </c>
      <c r="N493" s="32">
        <v>64.3</v>
      </c>
      <c r="O493" s="32">
        <v>63.77</v>
      </c>
      <c r="P493" s="32">
        <v>63.78</v>
      </c>
      <c r="Q493" s="32">
        <v>64.25</v>
      </c>
      <c r="R493" s="32">
        <v>64.025000000000006</v>
      </c>
      <c r="S493" s="32">
        <v>10.4</v>
      </c>
      <c r="T493" s="32">
        <v>1.0212385786802001</v>
      </c>
      <c r="U493" s="32"/>
    </row>
    <row r="494" spans="5:22" ht="14.4">
      <c r="E494" s="30" t="s">
        <v>145</v>
      </c>
      <c r="F494" s="30" t="s">
        <v>218</v>
      </c>
      <c r="G494" s="30" t="s">
        <v>445</v>
      </c>
      <c r="H494" s="31" t="s">
        <v>404</v>
      </c>
      <c r="I494" s="125">
        <v>5</v>
      </c>
      <c r="J494" s="32">
        <v>4.5801526717557302</v>
      </c>
      <c r="K494" s="33">
        <v>1174.2</v>
      </c>
      <c r="L494" s="33">
        <v>677.4</v>
      </c>
      <c r="M494" s="33">
        <v>1176.5999999999999</v>
      </c>
      <c r="N494" s="32">
        <v>64.349999999999994</v>
      </c>
      <c r="O494" s="32">
        <v>64.37</v>
      </c>
      <c r="P494" s="32">
        <v>64.5</v>
      </c>
      <c r="Q494" s="32">
        <v>64.3</v>
      </c>
      <c r="R494" s="32">
        <v>64.38</v>
      </c>
      <c r="S494" s="32">
        <v>8.48</v>
      </c>
      <c r="T494" s="32">
        <v>0.82811059335197301</v>
      </c>
      <c r="U494" s="32"/>
    </row>
    <row r="495" spans="5:22" ht="14.4">
      <c r="E495" s="30" t="s">
        <v>146</v>
      </c>
      <c r="F495" s="30" t="s">
        <v>254</v>
      </c>
      <c r="G495" s="30" t="s">
        <v>336</v>
      </c>
      <c r="H495" s="31" t="s">
        <v>294</v>
      </c>
      <c r="I495" s="30">
        <v>4.8000000000000096</v>
      </c>
      <c r="J495" s="32">
        <v>4.5801526717557302</v>
      </c>
      <c r="K495" s="33">
        <v>1164.0999999999999</v>
      </c>
      <c r="L495" s="33">
        <v>692.9</v>
      </c>
      <c r="M495" s="33">
        <v>1167.4000000000001</v>
      </c>
      <c r="N495" s="32">
        <v>64.36</v>
      </c>
      <c r="O495" s="32">
        <v>64.55</v>
      </c>
      <c r="P495" s="32">
        <v>64.66</v>
      </c>
      <c r="Q495" s="32">
        <v>64.400000000000006</v>
      </c>
      <c r="R495" s="32">
        <v>64.492500000000007</v>
      </c>
      <c r="S495" s="32">
        <v>10.4</v>
      </c>
      <c r="T495" s="32">
        <v>1.01383571733147</v>
      </c>
      <c r="U495" s="32">
        <f>V496/V495</f>
        <v>0.80986398279669236</v>
      </c>
      <c r="V495" s="32">
        <f>AVERAGE(T495,T497,T499)</f>
        <v>1.0787801984931968</v>
      </c>
    </row>
    <row r="496" spans="5:22" ht="14.4">
      <c r="E496" s="30" t="s">
        <v>146</v>
      </c>
      <c r="F496" s="30" t="s">
        <v>254</v>
      </c>
      <c r="G496" s="30" t="s">
        <v>336</v>
      </c>
      <c r="H496" s="31" t="s">
        <v>452</v>
      </c>
      <c r="I496" s="30">
        <v>4.8000000000000096</v>
      </c>
      <c r="J496" s="32">
        <v>4.5801526717557302</v>
      </c>
      <c r="K496" s="33">
        <v>1152.0999999999999</v>
      </c>
      <c r="L496" s="33">
        <v>687.9</v>
      </c>
      <c r="M496" s="33">
        <v>1155</v>
      </c>
      <c r="N496" s="32">
        <v>64.040000000000006</v>
      </c>
      <c r="O496" s="32">
        <v>64.180000000000007</v>
      </c>
      <c r="P496" s="32">
        <v>64.16</v>
      </c>
      <c r="Q496" s="32">
        <v>64.22</v>
      </c>
      <c r="R496" s="32">
        <v>64.150000000000006</v>
      </c>
      <c r="S496" s="32">
        <v>8.9499999999999993</v>
      </c>
      <c r="T496" s="32">
        <v>0.87714185502728004</v>
      </c>
      <c r="U496" s="32"/>
      <c r="V496" s="32">
        <f>AVERAGE(T496,T498,T500)</f>
        <v>0.87366522811390668</v>
      </c>
    </row>
    <row r="497" spans="5:22" ht="14.4">
      <c r="E497" s="30" t="s">
        <v>146</v>
      </c>
      <c r="F497" s="30" t="s">
        <v>254</v>
      </c>
      <c r="G497" s="30" t="s">
        <v>336</v>
      </c>
      <c r="H497" s="31" t="s">
        <v>309</v>
      </c>
      <c r="I497" s="30">
        <v>4.8000000000000096</v>
      </c>
      <c r="J497" s="32">
        <v>4.5801526717557302</v>
      </c>
      <c r="K497" s="33">
        <v>1212.0999999999999</v>
      </c>
      <c r="L497" s="33">
        <v>721.2</v>
      </c>
      <c r="M497" s="33">
        <v>1216.2</v>
      </c>
      <c r="N497" s="32">
        <v>65.41</v>
      </c>
      <c r="O497" s="32">
        <v>65.44</v>
      </c>
      <c r="P497" s="32">
        <v>65.34</v>
      </c>
      <c r="Q497" s="32">
        <v>65.540000000000006</v>
      </c>
      <c r="R497" s="32">
        <v>65.432500000000005</v>
      </c>
      <c r="S497" s="32">
        <v>11.59</v>
      </c>
      <c r="T497" s="32">
        <v>1.1136106674817601</v>
      </c>
      <c r="U497" s="32"/>
    </row>
    <row r="498" spans="5:22" ht="14.4">
      <c r="E498" s="30" t="s">
        <v>146</v>
      </c>
      <c r="F498" s="30" t="s">
        <v>254</v>
      </c>
      <c r="G498" s="30" t="s">
        <v>336</v>
      </c>
      <c r="H498" s="31" t="s">
        <v>453</v>
      </c>
      <c r="I498" s="30">
        <v>4.8000000000000096</v>
      </c>
      <c r="J498" s="32">
        <v>4.5801526717557302</v>
      </c>
      <c r="K498" s="33">
        <v>1166.4000000000001</v>
      </c>
      <c r="L498" s="33">
        <v>694.5</v>
      </c>
      <c r="M498" s="33">
        <v>1170.7</v>
      </c>
      <c r="N498" s="32">
        <v>64.25</v>
      </c>
      <c r="O498" s="32">
        <v>64.33</v>
      </c>
      <c r="P498" s="32">
        <v>63.95</v>
      </c>
      <c r="Q498" s="32">
        <v>64.150000000000006</v>
      </c>
      <c r="R498" s="32">
        <v>64.17</v>
      </c>
      <c r="S498" s="32">
        <v>9.32</v>
      </c>
      <c r="T498" s="32">
        <v>0.913118902914134</v>
      </c>
      <c r="U498" s="32"/>
    </row>
    <row r="499" spans="5:22" ht="14.4">
      <c r="E499" s="30" t="s">
        <v>146</v>
      </c>
      <c r="F499" s="30" t="s">
        <v>254</v>
      </c>
      <c r="G499" s="30" t="s">
        <v>336</v>
      </c>
      <c r="H499" s="31" t="s">
        <v>311</v>
      </c>
      <c r="I499" s="30">
        <v>4.8000000000000096</v>
      </c>
      <c r="J499" s="32">
        <v>4.5801526717557302</v>
      </c>
      <c r="K499" s="33">
        <v>1195.5</v>
      </c>
      <c r="L499" s="33">
        <v>712.9</v>
      </c>
      <c r="M499" s="33">
        <v>1199.4000000000001</v>
      </c>
      <c r="N499" s="32">
        <v>65.8</v>
      </c>
      <c r="O499" s="32">
        <v>65.78</v>
      </c>
      <c r="P499" s="32">
        <v>65.67</v>
      </c>
      <c r="Q499" s="32">
        <v>65.819999999999993</v>
      </c>
      <c r="R499" s="32">
        <v>65.767499999999998</v>
      </c>
      <c r="S499" s="32">
        <v>11.6</v>
      </c>
      <c r="T499" s="32">
        <v>1.10889421066636</v>
      </c>
      <c r="U499" s="32"/>
    </row>
    <row r="500" spans="5:22" ht="14.4">
      <c r="E500" s="30" t="s">
        <v>146</v>
      </c>
      <c r="F500" s="30" t="s">
        <v>254</v>
      </c>
      <c r="G500" s="30" t="s">
        <v>463</v>
      </c>
      <c r="H500" s="31" t="s">
        <v>454</v>
      </c>
      <c r="I500" s="30">
        <v>4.8000000000000096</v>
      </c>
      <c r="J500" s="32">
        <v>4.5801526717557302</v>
      </c>
      <c r="K500" s="33">
        <v>1183</v>
      </c>
      <c r="L500" s="33">
        <v>707.6</v>
      </c>
      <c r="M500" s="33">
        <v>1189.0999999999999</v>
      </c>
      <c r="N500" s="32">
        <v>65.319999999999993</v>
      </c>
      <c r="O500" s="32">
        <v>65.44</v>
      </c>
      <c r="P500" s="32">
        <v>65.37</v>
      </c>
      <c r="Q500" s="32">
        <v>65.42</v>
      </c>
      <c r="R500" s="32">
        <v>65.387500000000003</v>
      </c>
      <c r="S500" s="32">
        <v>8.64</v>
      </c>
      <c r="T500" s="32">
        <v>0.830734926400306</v>
      </c>
      <c r="U500" s="32"/>
    </row>
    <row r="501" spans="5:22" ht="14.4">
      <c r="E501" s="30" t="s">
        <v>146</v>
      </c>
      <c r="F501" s="30" t="s">
        <v>255</v>
      </c>
      <c r="G501" s="30" t="s">
        <v>426</v>
      </c>
      <c r="H501" s="31" t="s">
        <v>397</v>
      </c>
      <c r="I501" s="30">
        <v>4.8000000000000096</v>
      </c>
      <c r="J501" s="32">
        <v>4.5801526717557302</v>
      </c>
      <c r="K501" s="33">
        <v>1207.3</v>
      </c>
      <c r="L501" s="33">
        <v>725.7</v>
      </c>
      <c r="M501" s="33">
        <v>1211.7</v>
      </c>
      <c r="N501" s="32">
        <v>65.13</v>
      </c>
      <c r="O501" s="32">
        <v>65.02</v>
      </c>
      <c r="P501" s="32">
        <v>65.05</v>
      </c>
      <c r="Q501" s="32">
        <v>64.900000000000006</v>
      </c>
      <c r="R501" s="32">
        <v>65.025000000000006</v>
      </c>
      <c r="S501" s="32">
        <v>14.36</v>
      </c>
      <c r="T501" s="32">
        <v>1.3884093810072999</v>
      </c>
      <c r="U501" s="32">
        <f>V501/V502</f>
        <v>0.89453300539813918</v>
      </c>
      <c r="V501" s="32">
        <f>AVERAGE(T501,T503,T505)</f>
        <v>1.5157676912723934</v>
      </c>
    </row>
    <row r="502" spans="5:22" ht="14.4">
      <c r="E502" s="30" t="s">
        <v>146</v>
      </c>
      <c r="F502" s="30" t="s">
        <v>255</v>
      </c>
      <c r="G502" s="30" t="s">
        <v>426</v>
      </c>
      <c r="H502" s="31" t="s">
        <v>295</v>
      </c>
      <c r="I502" s="30">
        <v>4.8000000000000096</v>
      </c>
      <c r="J502" s="32">
        <v>4.5801526717557302</v>
      </c>
      <c r="K502" s="33">
        <v>1199.7</v>
      </c>
      <c r="L502" s="33">
        <v>720.3</v>
      </c>
      <c r="M502" s="33">
        <v>1203.9000000000001</v>
      </c>
      <c r="N502" s="32">
        <v>64.760000000000005</v>
      </c>
      <c r="O502" s="32">
        <v>64.7</v>
      </c>
      <c r="P502" s="32">
        <v>64.88</v>
      </c>
      <c r="Q502" s="32">
        <v>64.69</v>
      </c>
      <c r="R502" s="32">
        <v>64.757499999999993</v>
      </c>
      <c r="S502" s="32">
        <v>17.100000000000001</v>
      </c>
      <c r="T502" s="32">
        <v>1.6601582828243799</v>
      </c>
      <c r="U502" s="32"/>
      <c r="V502" s="32">
        <f>AVERAGE(T502,T504,T506)</f>
        <v>1.6944793340495634</v>
      </c>
    </row>
    <row r="503" spans="5:22" ht="14.4">
      <c r="E503" s="30" t="s">
        <v>146</v>
      </c>
      <c r="F503" s="30" t="s">
        <v>255</v>
      </c>
      <c r="G503" s="30" t="s">
        <v>426</v>
      </c>
      <c r="H503" s="31" t="s">
        <v>399</v>
      </c>
      <c r="I503" s="30">
        <v>4.8000000000000096</v>
      </c>
      <c r="J503" s="32">
        <v>4.5801526717557302</v>
      </c>
      <c r="K503" s="33">
        <v>1191.7</v>
      </c>
      <c r="L503" s="33">
        <v>715.1</v>
      </c>
      <c r="M503" s="33">
        <v>1195</v>
      </c>
      <c r="N503" s="32">
        <v>64.540000000000006</v>
      </c>
      <c r="O503" s="32">
        <v>64.75</v>
      </c>
      <c r="P503" s="32">
        <v>64.7</v>
      </c>
      <c r="Q503" s="32">
        <v>64.95</v>
      </c>
      <c r="R503" s="32">
        <v>64.734999999999999</v>
      </c>
      <c r="S503" s="32">
        <v>16.309999999999999</v>
      </c>
      <c r="T503" s="32">
        <v>1.5840112767436501</v>
      </c>
      <c r="U503" s="32"/>
    </row>
    <row r="504" spans="5:22" ht="14.4">
      <c r="E504" s="30" t="s">
        <v>146</v>
      </c>
      <c r="F504" s="30" t="s">
        <v>255</v>
      </c>
      <c r="G504" s="30" t="s">
        <v>426</v>
      </c>
      <c r="H504" s="31" t="s">
        <v>297</v>
      </c>
      <c r="I504" s="30">
        <v>4.8000000000000096</v>
      </c>
      <c r="J504" s="32">
        <v>4.5801526717557302</v>
      </c>
      <c r="K504" s="33">
        <v>1193.7</v>
      </c>
      <c r="L504" s="33">
        <v>717.7</v>
      </c>
      <c r="M504" s="33">
        <v>1197.2</v>
      </c>
      <c r="N504" s="32">
        <v>64.84</v>
      </c>
      <c r="O504" s="32">
        <v>64.33</v>
      </c>
      <c r="P504" s="32">
        <v>64.52</v>
      </c>
      <c r="Q504" s="32">
        <v>64.819999999999993</v>
      </c>
      <c r="R504" s="32">
        <v>64.627499999999998</v>
      </c>
      <c r="S504" s="32">
        <v>17.760000000000002</v>
      </c>
      <c r="T504" s="32">
        <v>1.7277029128467001</v>
      </c>
      <c r="U504" s="32"/>
    </row>
    <row r="505" spans="5:22" ht="14.4">
      <c r="E505" s="30" t="s">
        <v>146</v>
      </c>
      <c r="F505" s="30" t="s">
        <v>255</v>
      </c>
      <c r="G505" s="30" t="s">
        <v>426</v>
      </c>
      <c r="H505" s="31" t="s">
        <v>401</v>
      </c>
      <c r="I505" s="30">
        <v>4.8000000000000096</v>
      </c>
      <c r="J505" s="32">
        <v>4.5801526717557302</v>
      </c>
      <c r="K505" s="33">
        <v>1192.7</v>
      </c>
      <c r="L505" s="33">
        <v>716.5</v>
      </c>
      <c r="M505" s="33">
        <v>1195.9000000000001</v>
      </c>
      <c r="N505" s="32">
        <v>65.27</v>
      </c>
      <c r="O505" s="32">
        <v>65.25</v>
      </c>
      <c r="P505" s="32">
        <v>65.3</v>
      </c>
      <c r="Q505" s="32">
        <v>65.099999999999994</v>
      </c>
      <c r="R505" s="32">
        <v>65.23</v>
      </c>
      <c r="S505" s="32">
        <v>16.34</v>
      </c>
      <c r="T505" s="32">
        <v>1.57488241606623</v>
      </c>
      <c r="U505" s="32"/>
    </row>
    <row r="506" spans="5:22" ht="14.4">
      <c r="E506" s="30" t="s">
        <v>146</v>
      </c>
      <c r="F506" s="30" t="s">
        <v>255</v>
      </c>
      <c r="G506" s="30" t="s">
        <v>426</v>
      </c>
      <c r="H506" s="31" t="s">
        <v>299</v>
      </c>
      <c r="I506" s="30">
        <v>4.7999999999999901</v>
      </c>
      <c r="J506" s="32">
        <v>4.5801526717557302</v>
      </c>
      <c r="K506" s="33">
        <v>1186.8</v>
      </c>
      <c r="L506" s="33">
        <v>710.8</v>
      </c>
      <c r="M506" s="33">
        <v>1191.8</v>
      </c>
      <c r="N506" s="32">
        <v>65.05</v>
      </c>
      <c r="O506" s="32">
        <v>65.09</v>
      </c>
      <c r="P506" s="32">
        <v>65.45</v>
      </c>
      <c r="Q506" s="32">
        <v>65</v>
      </c>
      <c r="R506" s="32">
        <v>65.147499999999994</v>
      </c>
      <c r="S506" s="32">
        <v>17.57</v>
      </c>
      <c r="T506" s="32">
        <v>1.69557680647761</v>
      </c>
      <c r="U506" s="32"/>
    </row>
    <row r="507" spans="5:22" ht="14.4">
      <c r="E507" s="30" t="s">
        <v>147</v>
      </c>
      <c r="F507" s="30" t="s">
        <v>218</v>
      </c>
      <c r="G507" s="30" t="s">
        <v>445</v>
      </c>
      <c r="H507" s="31" t="s">
        <v>397</v>
      </c>
      <c r="I507" s="30">
        <v>4.8000000000000096</v>
      </c>
      <c r="J507" s="32">
        <v>4.5801526717557302</v>
      </c>
      <c r="K507" s="33">
        <v>1197.5</v>
      </c>
      <c r="L507" s="33">
        <v>715.3</v>
      </c>
      <c r="M507" s="33">
        <v>1201.8</v>
      </c>
      <c r="N507" s="32">
        <v>64.540000000000006</v>
      </c>
      <c r="O507" s="32">
        <v>64.91</v>
      </c>
      <c r="P507" s="32">
        <v>64.900000000000006</v>
      </c>
      <c r="Q507" s="32">
        <v>65</v>
      </c>
      <c r="R507" s="32">
        <v>64.837500000000006</v>
      </c>
      <c r="S507" s="32">
        <v>9.9700000000000006</v>
      </c>
      <c r="T507" s="32">
        <v>0.96674594177752105</v>
      </c>
      <c r="U507" s="32">
        <f>V507/V508</f>
        <v>0.85373925939831763</v>
      </c>
      <c r="V507" s="32">
        <f>AVERAGE(T507,T509,T511)</f>
        <v>0.90625960091598401</v>
      </c>
    </row>
    <row r="508" spans="5:22" ht="14.4">
      <c r="E508" s="30" t="s">
        <v>147</v>
      </c>
      <c r="F508" s="30" t="s">
        <v>218</v>
      </c>
      <c r="G508" s="30" t="s">
        <v>445</v>
      </c>
      <c r="H508" s="31" t="s">
        <v>295</v>
      </c>
      <c r="I508" s="30">
        <v>4.8000000000000096</v>
      </c>
      <c r="J508" s="32">
        <v>4.5801526717557302</v>
      </c>
      <c r="K508" s="33">
        <v>1180</v>
      </c>
      <c r="L508" s="33">
        <v>705.4</v>
      </c>
      <c r="M508" s="33">
        <v>1184.5</v>
      </c>
      <c r="N508" s="32">
        <v>65.09</v>
      </c>
      <c r="O508" s="32">
        <v>65.180000000000007</v>
      </c>
      <c r="P508" s="32">
        <v>64.569999999999993</v>
      </c>
      <c r="Q508" s="32">
        <v>65.2</v>
      </c>
      <c r="R508" s="32">
        <v>65.010000000000005</v>
      </c>
      <c r="S508" s="32">
        <v>10.72</v>
      </c>
      <c r="T508" s="32">
        <v>1.0367118904783901</v>
      </c>
      <c r="U508" s="32"/>
      <c r="V508" s="32">
        <f>AVERAGE(T508,T510,T512)</f>
        <v>1.06151801142972</v>
      </c>
    </row>
    <row r="509" spans="5:22" ht="14.4">
      <c r="E509" s="30" t="s">
        <v>147</v>
      </c>
      <c r="F509" s="30" t="s">
        <v>218</v>
      </c>
      <c r="G509" s="30" t="s">
        <v>445</v>
      </c>
      <c r="H509" s="31" t="s">
        <v>399</v>
      </c>
      <c r="I509" s="30">
        <v>4.8000000000000096</v>
      </c>
      <c r="J509" s="32">
        <v>4.5801526717557302</v>
      </c>
      <c r="K509" s="33">
        <v>1166.7</v>
      </c>
      <c r="L509" s="33">
        <v>690.9</v>
      </c>
      <c r="M509" s="33">
        <v>1170.2</v>
      </c>
      <c r="N509" s="32">
        <v>63.59</v>
      </c>
      <c r="O509" s="32">
        <v>63.98</v>
      </c>
      <c r="P509" s="32">
        <v>64.48</v>
      </c>
      <c r="Q509" s="32">
        <v>64.31</v>
      </c>
      <c r="R509" s="32">
        <v>64.09</v>
      </c>
      <c r="S509" s="32">
        <v>8.6300000000000008</v>
      </c>
      <c r="T509" s="32">
        <v>0.84657216414417202</v>
      </c>
      <c r="U509" s="32"/>
    </row>
    <row r="510" spans="5:22" ht="14.4">
      <c r="E510" s="30" t="s">
        <v>147</v>
      </c>
      <c r="F510" s="30" t="s">
        <v>218</v>
      </c>
      <c r="G510" s="30" t="s">
        <v>445</v>
      </c>
      <c r="H510" s="31" t="s">
        <v>297</v>
      </c>
      <c r="I510" s="30">
        <v>4.8000000000000096</v>
      </c>
      <c r="J510" s="32">
        <v>4.5801526717557302</v>
      </c>
      <c r="K510" s="33">
        <v>1160.9000000000001</v>
      </c>
      <c r="L510" s="33">
        <v>685.1</v>
      </c>
      <c r="M510" s="33">
        <v>1164.5999999999999</v>
      </c>
      <c r="N510" s="32">
        <v>63.22</v>
      </c>
      <c r="O510" s="32">
        <v>63.57</v>
      </c>
      <c r="P510" s="32">
        <v>63.35</v>
      </c>
      <c r="Q510" s="32">
        <v>63.51</v>
      </c>
      <c r="R510" s="32">
        <v>63.412500000000001</v>
      </c>
      <c r="S510" s="32">
        <v>10.18</v>
      </c>
      <c r="T510" s="32">
        <v>1.0092909126749501</v>
      </c>
      <c r="U510" s="32"/>
    </row>
    <row r="511" spans="5:22" ht="14.4">
      <c r="E511" s="30" t="s">
        <v>147</v>
      </c>
      <c r="F511" s="30" t="s">
        <v>218</v>
      </c>
      <c r="G511" s="30" t="s">
        <v>445</v>
      </c>
      <c r="H511" s="31" t="s">
        <v>401</v>
      </c>
      <c r="I511" s="30">
        <v>4.8000000000000096</v>
      </c>
      <c r="J511" s="32">
        <v>4.5801526717557302</v>
      </c>
      <c r="K511" s="33">
        <v>1163.7</v>
      </c>
      <c r="L511" s="33">
        <v>688.2</v>
      </c>
      <c r="M511" s="33">
        <v>1166.3</v>
      </c>
      <c r="N511" s="32">
        <v>64.569999999999993</v>
      </c>
      <c r="O511" s="32">
        <v>64.400000000000006</v>
      </c>
      <c r="P511" s="32">
        <v>64.33</v>
      </c>
      <c r="Q511" s="32">
        <v>64.44</v>
      </c>
      <c r="R511" s="32">
        <v>64.435000000000002</v>
      </c>
      <c r="S511" s="32">
        <v>9.2799999999999994</v>
      </c>
      <c r="T511" s="32">
        <v>0.90546069682625896</v>
      </c>
      <c r="U511" s="32"/>
    </row>
    <row r="512" spans="5:22" ht="14.4">
      <c r="E512" s="30" t="s">
        <v>147</v>
      </c>
      <c r="F512" s="30" t="s">
        <v>218</v>
      </c>
      <c r="G512" s="30" t="s">
        <v>445</v>
      </c>
      <c r="H512" s="31" t="s">
        <v>299</v>
      </c>
      <c r="I512" s="30">
        <v>4.8000000000000096</v>
      </c>
      <c r="J512" s="32">
        <v>4.5801526717557302</v>
      </c>
      <c r="K512" s="33">
        <v>1153.5</v>
      </c>
      <c r="L512" s="33">
        <v>680.4</v>
      </c>
      <c r="M512" s="33">
        <v>1158.0999999999999</v>
      </c>
      <c r="N512" s="32">
        <v>63.04</v>
      </c>
      <c r="O512" s="32">
        <v>62.87</v>
      </c>
      <c r="P512" s="32">
        <v>62.83</v>
      </c>
      <c r="Q512" s="32">
        <v>63.06</v>
      </c>
      <c r="R512" s="32">
        <v>62.95</v>
      </c>
      <c r="S512" s="32">
        <v>11.4</v>
      </c>
      <c r="T512" s="32">
        <v>1.1385512311358199</v>
      </c>
      <c r="U512" s="32"/>
    </row>
    <row r="513" spans="5:22" ht="14.4">
      <c r="E513" s="30" t="s">
        <v>148</v>
      </c>
      <c r="F513" s="30" t="s">
        <v>218</v>
      </c>
      <c r="G513" s="30" t="s">
        <v>445</v>
      </c>
      <c r="H513" s="31" t="s">
        <v>397</v>
      </c>
      <c r="I513" s="30">
        <v>4.8000000000000096</v>
      </c>
      <c r="J513" s="32">
        <v>4.5801526717557302</v>
      </c>
      <c r="K513" s="33">
        <v>1177.0999999999999</v>
      </c>
      <c r="L513" s="33">
        <v>689.1</v>
      </c>
      <c r="M513" s="33">
        <v>1180.7</v>
      </c>
      <c r="N513" s="32">
        <v>63.57</v>
      </c>
      <c r="O513" s="32">
        <v>63.52</v>
      </c>
      <c r="P513" s="32">
        <v>63.6</v>
      </c>
      <c r="Q513" s="32">
        <v>63.39</v>
      </c>
      <c r="R513" s="32">
        <v>63.52</v>
      </c>
      <c r="S513" s="32">
        <v>10.93</v>
      </c>
      <c r="T513" s="32">
        <v>1.08181533375315</v>
      </c>
      <c r="U513" s="32">
        <f>V513/V514</f>
        <v>0.82207408972880203</v>
      </c>
      <c r="V513" s="32">
        <f>AVERAGE(T513,T515,T517)</f>
        <v>1.0487097427748202</v>
      </c>
    </row>
    <row r="514" spans="5:22" ht="14.4">
      <c r="E514" s="30" t="s">
        <v>148</v>
      </c>
      <c r="F514" s="30" t="s">
        <v>218</v>
      </c>
      <c r="G514" s="30" t="s">
        <v>445</v>
      </c>
      <c r="H514" s="31" t="s">
        <v>295</v>
      </c>
      <c r="I514" s="30">
        <v>4.8000000000000096</v>
      </c>
      <c r="J514" s="32">
        <v>4.5801526717557302</v>
      </c>
      <c r="K514" s="33">
        <v>1174.5</v>
      </c>
      <c r="L514" s="33">
        <v>685.4</v>
      </c>
      <c r="M514" s="33">
        <v>1177.4000000000001</v>
      </c>
      <c r="N514" s="32">
        <v>64.349999999999994</v>
      </c>
      <c r="O514" s="32">
        <v>64.239999999999995</v>
      </c>
      <c r="P514" s="32">
        <v>64.510000000000005</v>
      </c>
      <c r="Q514" s="32">
        <v>64.430000000000007</v>
      </c>
      <c r="R514" s="32">
        <v>64.382499999999993</v>
      </c>
      <c r="S514" s="32">
        <v>12.32</v>
      </c>
      <c r="T514" s="32">
        <v>1.2030573525414501</v>
      </c>
      <c r="U514" s="32"/>
      <c r="V514" s="32">
        <f>AVERAGE(T514,T516,T518)</f>
        <v>1.2756876246042301</v>
      </c>
    </row>
    <row r="515" spans="5:22" ht="14.4">
      <c r="E515" s="30" t="s">
        <v>148</v>
      </c>
      <c r="F515" s="30" t="s">
        <v>218</v>
      </c>
      <c r="G515" s="30" t="s">
        <v>445</v>
      </c>
      <c r="H515" s="31" t="s">
        <v>399</v>
      </c>
      <c r="I515" s="30">
        <v>4.8000000000000096</v>
      </c>
      <c r="J515" s="32">
        <v>4.5801526717557302</v>
      </c>
      <c r="K515" s="33">
        <v>1171.0999999999999</v>
      </c>
      <c r="L515" s="33">
        <v>684.6</v>
      </c>
      <c r="M515" s="33">
        <v>1174.3</v>
      </c>
      <c r="N515" s="32">
        <v>64.540000000000006</v>
      </c>
      <c r="O515" s="32">
        <v>64.13</v>
      </c>
      <c r="P515" s="32">
        <v>64.22</v>
      </c>
      <c r="Q515" s="32">
        <v>64.48</v>
      </c>
      <c r="R515" s="32">
        <v>64.342500000000001</v>
      </c>
      <c r="S515" s="32">
        <v>10.41</v>
      </c>
      <c r="T515" s="32">
        <v>1.0171763608812201</v>
      </c>
      <c r="U515" s="32"/>
    </row>
    <row r="516" spans="5:22" ht="14.4">
      <c r="E516" s="30" t="s">
        <v>148</v>
      </c>
      <c r="F516" s="30" t="s">
        <v>218</v>
      </c>
      <c r="G516" s="30" t="s">
        <v>445</v>
      </c>
      <c r="H516" s="31" t="s">
        <v>297</v>
      </c>
      <c r="I516" s="30">
        <v>4.8000000000000096</v>
      </c>
      <c r="J516" s="32">
        <v>4.5801526717557302</v>
      </c>
      <c r="K516" s="33">
        <v>1165.7</v>
      </c>
      <c r="L516" s="33">
        <v>680.8</v>
      </c>
      <c r="M516" s="33">
        <v>1168.2</v>
      </c>
      <c r="N516" s="32">
        <v>64.22</v>
      </c>
      <c r="O516" s="32">
        <v>64.33</v>
      </c>
      <c r="P516" s="32">
        <v>64.62</v>
      </c>
      <c r="Q516" s="32">
        <v>64.69</v>
      </c>
      <c r="R516" s="32">
        <v>64.465000000000003</v>
      </c>
      <c r="S516" s="32">
        <v>13.33</v>
      </c>
      <c r="T516" s="32">
        <v>1.30001876987513</v>
      </c>
      <c r="U516" s="32"/>
    </row>
    <row r="517" spans="5:22" ht="14.4">
      <c r="E517" s="30" t="s">
        <v>148</v>
      </c>
      <c r="F517" s="30" t="s">
        <v>218</v>
      </c>
      <c r="G517" s="30" t="s">
        <v>445</v>
      </c>
      <c r="H517" s="31" t="s">
        <v>401</v>
      </c>
      <c r="I517" s="30">
        <v>4.8000000000000096</v>
      </c>
      <c r="J517" s="32">
        <v>4.5801526717557302</v>
      </c>
      <c r="K517" s="33">
        <v>1160.4000000000001</v>
      </c>
      <c r="L517" s="33">
        <v>679.4</v>
      </c>
      <c r="M517" s="33">
        <v>1164.5</v>
      </c>
      <c r="N517" s="32">
        <v>64.39</v>
      </c>
      <c r="O517" s="32">
        <v>64.12</v>
      </c>
      <c r="P517" s="32">
        <v>64.41</v>
      </c>
      <c r="Q517" s="32">
        <v>63.09</v>
      </c>
      <c r="R517" s="32">
        <v>64.002499999999998</v>
      </c>
      <c r="S517" s="32">
        <v>10.66</v>
      </c>
      <c r="T517" s="32">
        <v>1.0471375336900901</v>
      </c>
      <c r="U517" s="32"/>
    </row>
    <row r="518" spans="5:22" ht="14.4">
      <c r="E518" s="30" t="s">
        <v>148</v>
      </c>
      <c r="F518" s="30" t="s">
        <v>218</v>
      </c>
      <c r="G518" s="30" t="s">
        <v>445</v>
      </c>
      <c r="H518" s="31" t="s">
        <v>299</v>
      </c>
      <c r="I518" s="30">
        <v>4.8000000000000096</v>
      </c>
      <c r="J518" s="32">
        <v>4.5801526717557302</v>
      </c>
      <c r="K518" s="33">
        <v>1164</v>
      </c>
      <c r="L518" s="33">
        <v>683.4</v>
      </c>
      <c r="M518" s="33">
        <v>1167.2</v>
      </c>
      <c r="N518" s="32">
        <v>64.87</v>
      </c>
      <c r="O518" s="32">
        <v>64.8</v>
      </c>
      <c r="P518" s="32">
        <v>64.849999999999994</v>
      </c>
      <c r="Q518" s="32">
        <v>65.13</v>
      </c>
      <c r="R518" s="32">
        <v>64.912499999999994</v>
      </c>
      <c r="S518" s="32">
        <v>13.67</v>
      </c>
      <c r="T518" s="32">
        <v>1.3239867513961101</v>
      </c>
      <c r="U518" s="32"/>
    </row>
    <row r="519" spans="5:22" ht="14.4">
      <c r="E519" s="30" t="s">
        <v>148</v>
      </c>
      <c r="F519" s="30" t="s">
        <v>218</v>
      </c>
      <c r="G519" s="30" t="s">
        <v>456</v>
      </c>
      <c r="H519" s="31" t="s">
        <v>397</v>
      </c>
      <c r="I519" s="30">
        <v>4.8000000000000096</v>
      </c>
      <c r="J519" s="32">
        <v>4.5801526717557302</v>
      </c>
      <c r="K519" s="33">
        <v>1185.2</v>
      </c>
      <c r="L519" s="33">
        <v>695</v>
      </c>
      <c r="M519" s="33">
        <v>1188.9000000000001</v>
      </c>
      <c r="N519" s="32">
        <v>63.4</v>
      </c>
      <c r="O519" s="32">
        <v>63.74</v>
      </c>
      <c r="P519" s="32">
        <v>63.64</v>
      </c>
      <c r="Q519" s="32">
        <v>63.62</v>
      </c>
      <c r="R519" s="32">
        <v>63.6</v>
      </c>
      <c r="S519" s="32">
        <v>6.86</v>
      </c>
      <c r="T519" s="32">
        <v>0.67812610062893097</v>
      </c>
      <c r="U519" s="32">
        <f>V519/V520</f>
        <v>0.80631096298080118</v>
      </c>
      <c r="V519" s="32">
        <f>AVERAGE(T519,T521,T523)</f>
        <v>0.66582052044792828</v>
      </c>
    </row>
    <row r="520" spans="5:22" ht="14.4">
      <c r="E520" s="30" t="s">
        <v>148</v>
      </c>
      <c r="F520" s="30" t="s">
        <v>218</v>
      </c>
      <c r="G520" s="30" t="s">
        <v>456</v>
      </c>
      <c r="H520" s="31" t="s">
        <v>295</v>
      </c>
      <c r="I520" s="30">
        <v>4.8000000000000096</v>
      </c>
      <c r="J520" s="32">
        <v>4.5801526717557302</v>
      </c>
      <c r="K520" s="33">
        <v>1188.0999999999999</v>
      </c>
      <c r="L520" s="33">
        <v>693.7</v>
      </c>
      <c r="M520" s="33">
        <v>1193.7</v>
      </c>
      <c r="N520" s="32">
        <v>64.599999999999994</v>
      </c>
      <c r="O520" s="32">
        <v>64.38</v>
      </c>
      <c r="P520" s="32">
        <v>64.430000000000007</v>
      </c>
      <c r="Q520" s="32">
        <v>64.709999999999994</v>
      </c>
      <c r="R520" s="32">
        <v>64.53</v>
      </c>
      <c r="S520" s="32">
        <v>8.2100000000000009</v>
      </c>
      <c r="T520" s="32">
        <v>0.79988021075468796</v>
      </c>
      <c r="U520" s="32"/>
      <c r="V520" s="32">
        <f>AVERAGE(T520,T522,T524)</f>
        <v>0.82576146302971931</v>
      </c>
    </row>
    <row r="521" spans="5:22" ht="14.4">
      <c r="E521" s="30" t="s">
        <v>148</v>
      </c>
      <c r="F521" s="30" t="s">
        <v>218</v>
      </c>
      <c r="G521" s="30" t="s">
        <v>456</v>
      </c>
      <c r="H521" s="31" t="s">
        <v>399</v>
      </c>
      <c r="I521" s="30">
        <v>4.8000000000000096</v>
      </c>
      <c r="J521" s="32">
        <v>4.5801526717557302</v>
      </c>
      <c r="K521" s="33">
        <v>1179.9000000000001</v>
      </c>
      <c r="L521" s="33">
        <v>690.9</v>
      </c>
      <c r="M521" s="33">
        <v>1186.4000000000001</v>
      </c>
      <c r="N521" s="32">
        <v>63.56</v>
      </c>
      <c r="O521" s="32">
        <v>63.85</v>
      </c>
      <c r="P521" s="32">
        <v>64.08</v>
      </c>
      <c r="Q521" s="32">
        <v>64.88</v>
      </c>
      <c r="R521" s="32">
        <v>64.092500000000001</v>
      </c>
      <c r="S521" s="32">
        <v>6.14</v>
      </c>
      <c r="T521" s="32">
        <v>0.60228856730506697</v>
      </c>
      <c r="U521" s="32"/>
    </row>
    <row r="522" spans="5:22" ht="14.4">
      <c r="E522" s="30" t="s">
        <v>148</v>
      </c>
      <c r="F522" s="30" t="s">
        <v>218</v>
      </c>
      <c r="G522" s="30" t="s">
        <v>456</v>
      </c>
      <c r="H522" s="31" t="s">
        <v>297</v>
      </c>
      <c r="I522" s="30">
        <v>4.8000000000000096</v>
      </c>
      <c r="J522" s="32">
        <v>4.5801526717557302</v>
      </c>
      <c r="K522" s="33">
        <v>1182.5999999999999</v>
      </c>
      <c r="L522" s="33">
        <v>690.7</v>
      </c>
      <c r="M522" s="33">
        <v>1187.4000000000001</v>
      </c>
      <c r="N522" s="32">
        <v>64.19</v>
      </c>
      <c r="O522" s="32">
        <v>64.53</v>
      </c>
      <c r="P522" s="32">
        <v>64.400000000000006</v>
      </c>
      <c r="Q522" s="32">
        <v>64.28</v>
      </c>
      <c r="R522" s="32">
        <v>64.349999999999994</v>
      </c>
      <c r="S522" s="32">
        <v>8.26</v>
      </c>
      <c r="T522" s="32">
        <v>0.80700264180264203</v>
      </c>
      <c r="U522" s="32"/>
    </row>
    <row r="523" spans="5:22" ht="14.4">
      <c r="E523" s="30" t="s">
        <v>148</v>
      </c>
      <c r="F523" s="30" t="s">
        <v>218</v>
      </c>
      <c r="G523" s="30" t="s">
        <v>456</v>
      </c>
      <c r="H523" s="31" t="s">
        <v>401</v>
      </c>
      <c r="I523" s="30">
        <v>4.8000000000000096</v>
      </c>
      <c r="J523" s="32">
        <v>4.5801526717557302</v>
      </c>
      <c r="K523" s="33">
        <v>1186.9000000000001</v>
      </c>
      <c r="L523" s="33">
        <v>696.1</v>
      </c>
      <c r="M523" s="33">
        <v>1190.0999999999999</v>
      </c>
      <c r="N523" s="32">
        <v>63.5</v>
      </c>
      <c r="O523" s="32">
        <v>63.56</v>
      </c>
      <c r="P523" s="32">
        <v>63.75</v>
      </c>
      <c r="Q523" s="32">
        <v>63.81</v>
      </c>
      <c r="R523" s="32">
        <v>63.655000000000001</v>
      </c>
      <c r="S523" s="32">
        <v>7.26</v>
      </c>
      <c r="T523" s="32">
        <v>0.717046893409787</v>
      </c>
      <c r="U523" s="32"/>
    </row>
    <row r="524" spans="5:22" ht="14.4">
      <c r="E524" s="30" t="s">
        <v>148</v>
      </c>
      <c r="F524" s="30" t="s">
        <v>218</v>
      </c>
      <c r="G524" s="30" t="s">
        <v>456</v>
      </c>
      <c r="H524" s="31" t="s">
        <v>299</v>
      </c>
      <c r="I524" s="30">
        <v>4.7999999999999901</v>
      </c>
      <c r="J524" s="32">
        <v>4.5801526717557302</v>
      </c>
      <c r="K524" s="33">
        <v>1188.5</v>
      </c>
      <c r="L524" s="33">
        <v>697.1</v>
      </c>
      <c r="M524" s="33">
        <v>1192</v>
      </c>
      <c r="N524" s="32">
        <v>64</v>
      </c>
      <c r="O524" s="32">
        <v>63.73</v>
      </c>
      <c r="P524" s="32">
        <v>63.65</v>
      </c>
      <c r="Q524" s="32">
        <v>63.74</v>
      </c>
      <c r="R524" s="32">
        <v>63.78</v>
      </c>
      <c r="S524" s="32">
        <v>8.83</v>
      </c>
      <c r="T524" s="32">
        <v>0.87040153653182795</v>
      </c>
      <c r="U524" s="32"/>
    </row>
    <row r="525" spans="5:22" ht="14.4">
      <c r="E525" s="30" t="s">
        <v>149</v>
      </c>
      <c r="F525" s="30" t="s">
        <v>218</v>
      </c>
      <c r="G525" s="30" t="s">
        <v>445</v>
      </c>
      <c r="H525" s="31" t="s">
        <v>397</v>
      </c>
      <c r="I525" s="30">
        <v>4.8000000000000096</v>
      </c>
      <c r="J525" s="32">
        <v>4.5801526717557302</v>
      </c>
      <c r="K525" s="33">
        <v>1225.3</v>
      </c>
      <c r="L525" s="33">
        <v>733</v>
      </c>
      <c r="M525" s="33">
        <v>1228.5</v>
      </c>
      <c r="N525" s="32">
        <v>64.41</v>
      </c>
      <c r="O525" s="32">
        <v>64.150000000000006</v>
      </c>
      <c r="P525" s="32">
        <v>64.45</v>
      </c>
      <c r="Q525" s="32">
        <v>64.63</v>
      </c>
      <c r="R525" s="32">
        <v>64.41</v>
      </c>
      <c r="S525" s="32">
        <v>11.03</v>
      </c>
      <c r="T525" s="32">
        <v>1.07662800807328</v>
      </c>
      <c r="U525" s="32">
        <f>V525/V526</f>
        <v>0.8498947130785881</v>
      </c>
      <c r="V525" s="32">
        <f>AVERAGE(T525,T527,T529)</f>
        <v>1.1072280666712866</v>
      </c>
    </row>
    <row r="526" spans="5:22" ht="14.4">
      <c r="E526" s="30" t="s">
        <v>149</v>
      </c>
      <c r="F526" s="30" t="s">
        <v>218</v>
      </c>
      <c r="G526" s="30" t="s">
        <v>445</v>
      </c>
      <c r="H526" s="31" t="s">
        <v>295</v>
      </c>
      <c r="I526" s="30">
        <v>4.8000000000000096</v>
      </c>
      <c r="J526" s="32">
        <v>4.5801526717557302</v>
      </c>
      <c r="K526" s="33">
        <v>1226.7</v>
      </c>
      <c r="L526" s="33">
        <v>733.1</v>
      </c>
      <c r="M526" s="33">
        <v>1229.7</v>
      </c>
      <c r="N526" s="32">
        <v>64.5</v>
      </c>
      <c r="O526" s="32">
        <v>63.93</v>
      </c>
      <c r="P526" s="32">
        <v>64.290000000000006</v>
      </c>
      <c r="Q526" s="32">
        <v>64</v>
      </c>
      <c r="R526" s="32">
        <v>64.180000000000007</v>
      </c>
      <c r="S526" s="32">
        <v>13.37</v>
      </c>
      <c r="T526" s="32">
        <v>1.3097100342785899</v>
      </c>
      <c r="U526" s="32"/>
      <c r="V526" s="32">
        <f>AVERAGE(T526,T528,T530)</f>
        <v>1.3027826266391933</v>
      </c>
    </row>
    <row r="527" spans="5:22" ht="14.4">
      <c r="E527" s="30" t="s">
        <v>149</v>
      </c>
      <c r="F527" s="30" t="s">
        <v>218</v>
      </c>
      <c r="G527" s="30" t="s">
        <v>445</v>
      </c>
      <c r="H527" s="31" t="s">
        <v>399</v>
      </c>
      <c r="I527" s="30">
        <v>4.8000000000000096</v>
      </c>
      <c r="J527" s="32">
        <v>4.5801526717557302</v>
      </c>
      <c r="K527" s="33">
        <v>1229.0999999999999</v>
      </c>
      <c r="L527" s="33">
        <v>736.7</v>
      </c>
      <c r="M527" s="33">
        <v>1232.5999999999999</v>
      </c>
      <c r="N527" s="32">
        <v>64.709999999999994</v>
      </c>
      <c r="O527" s="32">
        <v>64.36</v>
      </c>
      <c r="P527" s="32">
        <v>64.7</v>
      </c>
      <c r="Q527" s="32">
        <v>64.25</v>
      </c>
      <c r="R527" s="32">
        <v>64.504999999999995</v>
      </c>
      <c r="S527" s="32">
        <v>11.58</v>
      </c>
      <c r="T527" s="32">
        <v>1.1286483218355201</v>
      </c>
      <c r="U527" s="32"/>
    </row>
    <row r="528" spans="5:22" ht="14.4">
      <c r="E528" s="30" t="s">
        <v>149</v>
      </c>
      <c r="F528" s="30" t="s">
        <v>218</v>
      </c>
      <c r="G528" s="30" t="s">
        <v>445</v>
      </c>
      <c r="H528" s="31" t="s">
        <v>297</v>
      </c>
      <c r="I528" s="30">
        <v>4.8000000000000096</v>
      </c>
      <c r="J528" s="32">
        <v>4.5801526717557302</v>
      </c>
      <c r="K528" s="33">
        <v>1228.8</v>
      </c>
      <c r="L528" s="33">
        <v>734.9</v>
      </c>
      <c r="M528" s="33">
        <v>1231.5999999999999</v>
      </c>
      <c r="N528" s="32">
        <v>64.650000000000006</v>
      </c>
      <c r="O528" s="32">
        <v>64.08</v>
      </c>
      <c r="P528" s="32">
        <v>64.12</v>
      </c>
      <c r="Q528" s="32">
        <v>64.09</v>
      </c>
      <c r="R528" s="32">
        <v>64.234999999999999</v>
      </c>
      <c r="S528" s="32">
        <v>13.13</v>
      </c>
      <c r="T528" s="32">
        <v>1.28509862224644</v>
      </c>
      <c r="U528" s="32"/>
    </row>
    <row r="529" spans="5:21" ht="14.4">
      <c r="E529" s="30" t="s">
        <v>149</v>
      </c>
      <c r="F529" s="30" t="s">
        <v>218</v>
      </c>
      <c r="G529" s="30" t="s">
        <v>445</v>
      </c>
      <c r="H529" s="31" t="s">
        <v>401</v>
      </c>
      <c r="I529" s="30">
        <v>4.8000000000000096</v>
      </c>
      <c r="J529" s="32">
        <v>4.5801526717557302</v>
      </c>
      <c r="K529" s="33">
        <v>1243.3</v>
      </c>
      <c r="L529" s="33">
        <v>742.4</v>
      </c>
      <c r="M529" s="33">
        <v>1246.9000000000001</v>
      </c>
      <c r="N529" s="32">
        <v>65.2</v>
      </c>
      <c r="O529" s="32">
        <v>65.39</v>
      </c>
      <c r="P529" s="32">
        <v>65.599999999999994</v>
      </c>
      <c r="Q529" s="32">
        <v>65.56</v>
      </c>
      <c r="R529" s="32">
        <v>65.4375</v>
      </c>
      <c r="S529" s="32">
        <v>11.62</v>
      </c>
      <c r="T529" s="32">
        <v>1.1164078701050599</v>
      </c>
      <c r="U529" s="32"/>
    </row>
    <row r="530" spans="5:21" ht="14.4">
      <c r="E530" s="30" t="s">
        <v>149</v>
      </c>
      <c r="F530" s="30" t="s">
        <v>218</v>
      </c>
      <c r="G530" s="30" t="s">
        <v>445</v>
      </c>
      <c r="H530" s="31" t="s">
        <v>299</v>
      </c>
      <c r="I530" s="30">
        <v>4.8000000000000096</v>
      </c>
      <c r="J530" s="32">
        <v>4.5801526717557302</v>
      </c>
      <c r="K530" s="33">
        <v>1244</v>
      </c>
      <c r="L530" s="33">
        <v>749.2</v>
      </c>
      <c r="M530" s="33">
        <v>1246.5999999999999</v>
      </c>
      <c r="N530" s="32">
        <v>63.85</v>
      </c>
      <c r="O530" s="32">
        <v>63.6</v>
      </c>
      <c r="P530" s="32">
        <v>63.84</v>
      </c>
      <c r="Q530" s="32">
        <v>63.15</v>
      </c>
      <c r="R530" s="32">
        <v>63.61</v>
      </c>
      <c r="S530" s="32">
        <v>13.29</v>
      </c>
      <c r="T530" s="32">
        <v>1.31353922339255</v>
      </c>
      <c r="U530" s="32"/>
    </row>
  </sheetData>
  <sheetProtection formatCells="0" insertHyperlinks="0" autoFilter="0"/>
  <mergeCells count="53">
    <mergeCell ref="K1:S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T1:V1"/>
    <mergeCell ref="W1:W2"/>
    <mergeCell ref="X1:X2"/>
    <mergeCell ref="Y1:Y2"/>
    <mergeCell ref="Z1:Z2"/>
    <mergeCell ref="F105:F140"/>
    <mergeCell ref="F77:F104"/>
    <mergeCell ref="F71:F76"/>
    <mergeCell ref="F28:F70"/>
    <mergeCell ref="F3:F7"/>
    <mergeCell ref="F8:F27"/>
    <mergeCell ref="F147:F152"/>
    <mergeCell ref="F153:F158"/>
    <mergeCell ref="F159:F164"/>
    <mergeCell ref="F165:F170"/>
    <mergeCell ref="F141:F146"/>
    <mergeCell ref="F244:F249"/>
    <mergeCell ref="F171:F176"/>
    <mergeCell ref="F177:F183"/>
    <mergeCell ref="F184:F190"/>
    <mergeCell ref="F191:F197"/>
    <mergeCell ref="F198:F217"/>
    <mergeCell ref="F218:F224"/>
    <mergeCell ref="F225:F231"/>
    <mergeCell ref="F232:F237"/>
    <mergeCell ref="F238:F243"/>
    <mergeCell ref="F300:F306"/>
    <mergeCell ref="F307:F318"/>
    <mergeCell ref="F319:F330"/>
    <mergeCell ref="F250:F256"/>
    <mergeCell ref="F257:F263"/>
    <mergeCell ref="F264:F270"/>
    <mergeCell ref="F271:F275"/>
    <mergeCell ref="F276:F299"/>
    <mergeCell ref="F385:F390"/>
    <mergeCell ref="F391:F396"/>
    <mergeCell ref="F331:F342"/>
    <mergeCell ref="F343:F348"/>
    <mergeCell ref="F349:F354"/>
    <mergeCell ref="F355:F366"/>
    <mergeCell ref="F367:F378"/>
    <mergeCell ref="F379:F384"/>
  </mergeCells>
  <phoneticPr fontId="34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730BBD-9586-4C4E-B84E-5169E3E1B7F8}">
  <dimension ref="A1:O378"/>
  <sheetViews>
    <sheetView topLeftCell="E1" workbookViewId="0">
      <selection activeCell="I14" sqref="I14"/>
    </sheetView>
  </sheetViews>
  <sheetFormatPr defaultColWidth="9" defaultRowHeight="13.8"/>
  <cols>
    <col min="1" max="4" width="9" style="1" hidden="1" customWidth="1"/>
    <col min="5" max="5" width="9" style="35"/>
    <col min="6" max="6" width="13.5546875" style="35" customWidth="1"/>
    <col min="7" max="7" width="18.21875" style="35" customWidth="1"/>
    <col min="8" max="9" width="17.6640625" style="35" customWidth="1"/>
    <col min="10" max="10" width="13" style="36" customWidth="1"/>
    <col min="11" max="11" width="19.6640625" style="35" customWidth="1"/>
    <col min="12" max="15" width="9" style="1" hidden="1" customWidth="1"/>
  </cols>
  <sheetData>
    <row r="1" spans="1:15" ht="14.4">
      <c r="A1" s="312" t="s">
        <v>364</v>
      </c>
      <c r="B1" s="312" t="s">
        <v>279</v>
      </c>
      <c r="C1" s="312" t="s">
        <v>280</v>
      </c>
      <c r="D1" s="312" t="s">
        <v>365</v>
      </c>
      <c r="E1" s="326" t="s">
        <v>269</v>
      </c>
      <c r="F1" s="321" t="s">
        <v>166</v>
      </c>
      <c r="G1" s="326" t="s">
        <v>270</v>
      </c>
      <c r="H1" s="326" t="s">
        <v>271</v>
      </c>
      <c r="I1" s="326" t="s">
        <v>50</v>
      </c>
      <c r="J1" s="325" t="s">
        <v>49</v>
      </c>
      <c r="K1" s="35" t="s">
        <v>366</v>
      </c>
      <c r="L1" s="325" t="s">
        <v>364</v>
      </c>
      <c r="M1" s="325" t="s">
        <v>279</v>
      </c>
      <c r="N1" s="325" t="s">
        <v>280</v>
      </c>
      <c r="O1" s="325" t="s">
        <v>365</v>
      </c>
    </row>
    <row r="2" spans="1:15" ht="14.4">
      <c r="A2" s="312"/>
      <c r="B2" s="312"/>
      <c r="C2" s="312"/>
      <c r="D2" s="312"/>
      <c r="E2" s="326"/>
      <c r="F2" s="320"/>
      <c r="G2" s="326"/>
      <c r="H2" s="326"/>
      <c r="I2" s="326"/>
      <c r="J2" s="325"/>
      <c r="K2" s="35" t="s">
        <v>373</v>
      </c>
      <c r="L2" s="325"/>
      <c r="M2" s="325"/>
      <c r="N2" s="325"/>
      <c r="O2" s="325"/>
    </row>
    <row r="3" spans="1:15">
      <c r="A3" s="32">
        <v>161</v>
      </c>
      <c r="B3" s="32">
        <v>91</v>
      </c>
      <c r="C3" s="32">
        <v>44</v>
      </c>
      <c r="D3" s="32">
        <v>15</v>
      </c>
      <c r="E3" s="35" t="s">
        <v>60</v>
      </c>
      <c r="F3" s="324" t="s">
        <v>518</v>
      </c>
      <c r="G3" s="35" t="s">
        <v>324</v>
      </c>
      <c r="H3" s="35" t="s">
        <v>324</v>
      </c>
      <c r="I3" s="48">
        <f t="shared" ref="I3:I30" si="0">100*J3/(100-J3)</f>
        <v>4.2999999999999963</v>
      </c>
      <c r="J3" s="36">
        <v>4.1227229146692199</v>
      </c>
      <c r="K3" s="35">
        <v>5445</v>
      </c>
      <c r="L3" s="35">
        <v>161</v>
      </c>
      <c r="M3" s="35">
        <v>91</v>
      </c>
      <c r="N3" s="35">
        <v>44</v>
      </c>
      <c r="O3" s="35">
        <v>15</v>
      </c>
    </row>
    <row r="4" spans="1:15">
      <c r="A4" s="32">
        <v>161</v>
      </c>
      <c r="B4" s="32">
        <v>91</v>
      </c>
      <c r="C4" s="32">
        <v>44</v>
      </c>
      <c r="D4" s="32">
        <v>15</v>
      </c>
      <c r="E4" s="35" t="s">
        <v>60</v>
      </c>
      <c r="F4" s="320"/>
      <c r="G4" s="35" t="s">
        <v>524</v>
      </c>
      <c r="H4" s="35" t="s">
        <v>524</v>
      </c>
      <c r="I4" s="48">
        <f t="shared" si="0"/>
        <v>4.2999999999999963</v>
      </c>
      <c r="J4" s="36">
        <v>4.1227229146692199</v>
      </c>
      <c r="K4" s="35">
        <v>4458</v>
      </c>
      <c r="L4" s="35">
        <v>161</v>
      </c>
      <c r="M4" s="35">
        <v>91</v>
      </c>
      <c r="N4" s="35">
        <v>44</v>
      </c>
      <c r="O4" s="35">
        <v>15</v>
      </c>
    </row>
    <row r="5" spans="1:15" ht="27.6">
      <c r="A5" s="32">
        <v>161</v>
      </c>
      <c r="B5" s="32">
        <v>91</v>
      </c>
      <c r="C5" s="32">
        <v>44</v>
      </c>
      <c r="D5" s="32">
        <v>15</v>
      </c>
      <c r="E5" s="35" t="s">
        <v>60</v>
      </c>
      <c r="F5" s="52" t="s">
        <v>521</v>
      </c>
      <c r="G5" s="35" t="s">
        <v>380</v>
      </c>
      <c r="H5" s="35" t="s">
        <v>380</v>
      </c>
      <c r="I5" s="48">
        <f t="shared" si="0"/>
        <v>4.2999999999999963</v>
      </c>
      <c r="J5" s="36">
        <v>4.1227229146692199</v>
      </c>
      <c r="K5" s="35">
        <v>5887</v>
      </c>
      <c r="L5" s="35">
        <v>161</v>
      </c>
      <c r="M5" s="35">
        <v>91</v>
      </c>
      <c r="N5" s="35">
        <v>44</v>
      </c>
      <c r="O5" s="35">
        <v>15</v>
      </c>
    </row>
    <row r="6" spans="1:15" ht="14.4">
      <c r="A6" s="32">
        <v>161</v>
      </c>
      <c r="B6" s="32">
        <v>91</v>
      </c>
      <c r="C6" s="32">
        <v>44</v>
      </c>
      <c r="D6" s="32">
        <v>15</v>
      </c>
      <c r="E6" s="35" t="s">
        <v>69</v>
      </c>
      <c r="F6" s="321" t="s">
        <v>197</v>
      </c>
      <c r="G6" s="35" t="s">
        <v>382</v>
      </c>
      <c r="H6" s="54" t="s">
        <v>383</v>
      </c>
      <c r="I6" s="48">
        <f t="shared" si="0"/>
        <v>4.1999999999999984</v>
      </c>
      <c r="J6" s="36">
        <v>4.0307101727447199</v>
      </c>
      <c r="K6" s="35">
        <v>5052</v>
      </c>
      <c r="L6" s="35">
        <v>161</v>
      </c>
      <c r="M6" s="35">
        <v>91</v>
      </c>
      <c r="N6" s="35">
        <v>44</v>
      </c>
      <c r="O6" s="35">
        <v>15</v>
      </c>
    </row>
    <row r="7" spans="1:15" ht="14.4">
      <c r="A7" s="32">
        <v>161</v>
      </c>
      <c r="B7" s="32">
        <v>91</v>
      </c>
      <c r="C7" s="32">
        <v>44</v>
      </c>
      <c r="D7" s="32">
        <v>15</v>
      </c>
      <c r="E7" s="35" t="s">
        <v>69</v>
      </c>
      <c r="F7" s="322"/>
      <c r="G7" s="35" t="s">
        <v>382</v>
      </c>
      <c r="H7" s="54" t="s">
        <v>385</v>
      </c>
      <c r="I7" s="48">
        <f t="shared" si="0"/>
        <v>4.1999999999999984</v>
      </c>
      <c r="J7" s="36">
        <v>4.0307101727447199</v>
      </c>
      <c r="K7" s="35">
        <v>4323</v>
      </c>
      <c r="L7" s="35">
        <v>161</v>
      </c>
      <c r="M7" s="35">
        <v>91</v>
      </c>
      <c r="N7" s="35">
        <v>44</v>
      </c>
      <c r="O7" s="35">
        <v>15</v>
      </c>
    </row>
    <row r="8" spans="1:15" ht="14.4">
      <c r="A8" s="32">
        <v>161</v>
      </c>
      <c r="B8" s="32">
        <v>91</v>
      </c>
      <c r="C8" s="32">
        <v>44</v>
      </c>
      <c r="D8" s="32">
        <v>15</v>
      </c>
      <c r="E8" s="35" t="s">
        <v>69</v>
      </c>
      <c r="F8" s="322"/>
      <c r="G8" s="35" t="s">
        <v>382</v>
      </c>
      <c r="H8" s="54" t="s">
        <v>387</v>
      </c>
      <c r="I8" s="48">
        <f t="shared" si="0"/>
        <v>4.1999999999999984</v>
      </c>
      <c r="J8" s="36">
        <v>4.0307101727447199</v>
      </c>
      <c r="K8" s="35">
        <v>5040</v>
      </c>
      <c r="L8" s="35">
        <v>161</v>
      </c>
      <c r="M8" s="35">
        <v>91</v>
      </c>
      <c r="N8" s="35">
        <v>44</v>
      </c>
      <c r="O8" s="35">
        <v>15</v>
      </c>
    </row>
    <row r="9" spans="1:15" ht="14.4">
      <c r="A9" s="32">
        <v>161</v>
      </c>
      <c r="B9" s="32">
        <v>91</v>
      </c>
      <c r="C9" s="32">
        <v>44</v>
      </c>
      <c r="D9" s="32">
        <v>15</v>
      </c>
      <c r="E9" s="35" t="s">
        <v>69</v>
      </c>
      <c r="F9" s="322"/>
      <c r="G9" s="35" t="s">
        <v>382</v>
      </c>
      <c r="H9" s="54" t="s">
        <v>388</v>
      </c>
      <c r="I9" s="48">
        <f t="shared" si="0"/>
        <v>4.1999999999999984</v>
      </c>
      <c r="J9" s="36">
        <v>4.0307101727447199</v>
      </c>
      <c r="K9" s="35">
        <v>5150</v>
      </c>
      <c r="L9" s="35">
        <v>161</v>
      </c>
      <c r="M9" s="35">
        <v>91</v>
      </c>
      <c r="N9" s="35">
        <v>44</v>
      </c>
      <c r="O9" s="35">
        <v>15</v>
      </c>
    </row>
    <row r="10" spans="1:15" ht="14.4">
      <c r="A10" s="32">
        <v>161</v>
      </c>
      <c r="B10" s="32">
        <v>91</v>
      </c>
      <c r="C10" s="32">
        <v>44</v>
      </c>
      <c r="D10" s="32">
        <v>15</v>
      </c>
      <c r="E10" s="35" t="s">
        <v>69</v>
      </c>
      <c r="F10" s="322"/>
      <c r="G10" s="35" t="s">
        <v>389</v>
      </c>
      <c r="H10" s="54" t="s">
        <v>389</v>
      </c>
      <c r="I10" s="48">
        <f t="shared" si="0"/>
        <v>4.1999999999999984</v>
      </c>
      <c r="J10" s="36">
        <v>4.0307101727447199</v>
      </c>
      <c r="K10" s="35">
        <v>4375</v>
      </c>
      <c r="L10" s="35">
        <v>144</v>
      </c>
      <c r="M10" s="35">
        <v>107.8</v>
      </c>
      <c r="N10" s="35">
        <v>43.95</v>
      </c>
      <c r="O10" s="35">
        <v>60.3</v>
      </c>
    </row>
    <row r="11" spans="1:15" ht="14.4">
      <c r="A11" s="32">
        <v>161</v>
      </c>
      <c r="B11" s="32">
        <v>91</v>
      </c>
      <c r="C11" s="32">
        <v>44</v>
      </c>
      <c r="D11" s="32">
        <v>15</v>
      </c>
      <c r="E11" s="35" t="s">
        <v>69</v>
      </c>
      <c r="F11" s="322"/>
      <c r="G11" s="35" t="s">
        <v>390</v>
      </c>
      <c r="H11" s="35" t="s">
        <v>390</v>
      </c>
      <c r="I11" s="48">
        <f t="shared" si="0"/>
        <v>4.1999999999999984</v>
      </c>
      <c r="J11" s="36">
        <v>4.0307101727447199</v>
      </c>
      <c r="K11" s="35">
        <v>2666</v>
      </c>
      <c r="L11" s="35">
        <v>111</v>
      </c>
      <c r="M11" s="35">
        <v>124</v>
      </c>
      <c r="N11" s="35">
        <v>41.5</v>
      </c>
      <c r="O11" s="35">
        <v>56</v>
      </c>
    </row>
    <row r="12" spans="1:15">
      <c r="A12" s="32">
        <v>161</v>
      </c>
      <c r="B12" s="32">
        <v>91</v>
      </c>
      <c r="C12" s="32">
        <v>44</v>
      </c>
      <c r="D12" s="32">
        <v>15</v>
      </c>
      <c r="E12" s="35" t="s">
        <v>69</v>
      </c>
      <c r="F12" s="320"/>
      <c r="G12" s="35" t="s">
        <v>324</v>
      </c>
      <c r="H12" s="35" t="s">
        <v>324</v>
      </c>
      <c r="I12" s="48">
        <f t="shared" si="0"/>
        <v>4.1999999999999984</v>
      </c>
      <c r="J12" s="36">
        <v>4.0307101727447199</v>
      </c>
      <c r="K12" s="35">
        <v>4761</v>
      </c>
      <c r="L12" s="35">
        <v>161</v>
      </c>
      <c r="M12" s="35">
        <v>91</v>
      </c>
      <c r="N12" s="35">
        <v>44</v>
      </c>
      <c r="O12" s="35">
        <v>15</v>
      </c>
    </row>
    <row r="13" spans="1:15">
      <c r="A13" s="32">
        <v>161</v>
      </c>
      <c r="B13" s="32">
        <v>91</v>
      </c>
      <c r="C13" s="32">
        <v>44</v>
      </c>
      <c r="D13" s="32">
        <v>15</v>
      </c>
      <c r="E13" s="35" t="s">
        <v>78</v>
      </c>
      <c r="F13" s="57" t="s">
        <v>197</v>
      </c>
      <c r="G13" s="35" t="s">
        <v>324</v>
      </c>
      <c r="H13" s="35" t="s">
        <v>324</v>
      </c>
      <c r="I13" s="48">
        <f t="shared" si="0"/>
        <v>4.1999999999999984</v>
      </c>
      <c r="J13" s="36">
        <v>4.0307101727447199</v>
      </c>
      <c r="K13" s="35">
        <v>4846</v>
      </c>
      <c r="L13" s="35">
        <v>161</v>
      </c>
      <c r="M13" s="35">
        <v>91</v>
      </c>
      <c r="N13" s="35">
        <v>44</v>
      </c>
      <c r="O13" s="35">
        <v>15</v>
      </c>
    </row>
    <row r="14" spans="1:15" ht="14.4">
      <c r="A14" s="32">
        <v>161</v>
      </c>
      <c r="B14" s="32">
        <v>91</v>
      </c>
      <c r="C14" s="32">
        <v>44</v>
      </c>
      <c r="D14" s="32">
        <v>15</v>
      </c>
      <c r="E14" s="35" t="s">
        <v>80</v>
      </c>
      <c r="F14" s="321" t="s">
        <v>197</v>
      </c>
      <c r="G14" s="35" t="s">
        <v>392</v>
      </c>
      <c r="H14" s="35" t="s">
        <v>392</v>
      </c>
      <c r="I14" s="48">
        <f t="shared" si="0"/>
        <v>4.3999999999999995</v>
      </c>
      <c r="J14" s="36">
        <v>4.2145593869731801</v>
      </c>
      <c r="K14" s="35">
        <v>5464</v>
      </c>
      <c r="L14" s="35">
        <v>161</v>
      </c>
      <c r="M14" s="35">
        <v>91</v>
      </c>
      <c r="N14" s="35">
        <v>44</v>
      </c>
      <c r="O14" s="35">
        <v>15</v>
      </c>
    </row>
    <row r="15" spans="1:15" ht="14.4">
      <c r="A15" s="32">
        <v>161</v>
      </c>
      <c r="B15" s="32">
        <v>91</v>
      </c>
      <c r="C15" s="32">
        <v>44</v>
      </c>
      <c r="D15" s="32">
        <v>15</v>
      </c>
      <c r="E15" s="35" t="s">
        <v>80</v>
      </c>
      <c r="F15" s="322"/>
      <c r="G15" s="35" t="s">
        <v>393</v>
      </c>
      <c r="H15" s="35" t="s">
        <v>393</v>
      </c>
      <c r="I15" s="48">
        <f t="shared" si="0"/>
        <v>4.3999999999999995</v>
      </c>
      <c r="J15" s="36">
        <v>4.2145593869731801</v>
      </c>
      <c r="K15" s="35">
        <v>5640</v>
      </c>
      <c r="L15" s="35">
        <v>161</v>
      </c>
      <c r="M15" s="35">
        <v>91</v>
      </c>
      <c r="N15" s="35">
        <v>44</v>
      </c>
      <c r="O15" s="35">
        <v>15</v>
      </c>
    </row>
    <row r="16" spans="1:15">
      <c r="A16" s="32">
        <v>161</v>
      </c>
      <c r="B16" s="32">
        <v>91</v>
      </c>
      <c r="C16" s="32">
        <v>44</v>
      </c>
      <c r="D16" s="32">
        <v>15</v>
      </c>
      <c r="E16" s="35" t="s">
        <v>80</v>
      </c>
      <c r="F16" s="322"/>
      <c r="G16" s="35" t="s">
        <v>324</v>
      </c>
      <c r="H16" s="35" t="s">
        <v>324</v>
      </c>
      <c r="I16" s="48">
        <f t="shared" si="0"/>
        <v>4.3999999999999995</v>
      </c>
      <c r="J16" s="36">
        <v>4.2145593869731801</v>
      </c>
      <c r="K16" s="35">
        <v>4677</v>
      </c>
      <c r="L16" s="35">
        <v>161</v>
      </c>
      <c r="M16" s="35">
        <v>91</v>
      </c>
      <c r="N16" s="35">
        <v>44</v>
      </c>
      <c r="O16" s="35">
        <v>15</v>
      </c>
    </row>
    <row r="17" spans="1:15" ht="14.4">
      <c r="A17" s="32">
        <v>161</v>
      </c>
      <c r="B17" s="32">
        <v>91</v>
      </c>
      <c r="C17" s="32">
        <v>44</v>
      </c>
      <c r="D17" s="32">
        <v>15</v>
      </c>
      <c r="E17" s="35" t="s">
        <v>80</v>
      </c>
      <c r="F17" s="322"/>
      <c r="G17" s="35" t="s">
        <v>396</v>
      </c>
      <c r="H17" s="35" t="s">
        <v>396</v>
      </c>
      <c r="I17" s="48">
        <f t="shared" si="0"/>
        <v>4.3999999999999995</v>
      </c>
      <c r="J17" s="36">
        <v>4.2145593869731801</v>
      </c>
      <c r="K17" s="35">
        <v>5325</v>
      </c>
      <c r="L17" s="35">
        <v>258</v>
      </c>
      <c r="M17" s="35">
        <v>72</v>
      </c>
      <c r="N17" s="35">
        <v>47.6</v>
      </c>
      <c r="O17" s="35">
        <v>8.1999999999999993</v>
      </c>
    </row>
    <row r="18" spans="1:15">
      <c r="A18" s="32">
        <v>161</v>
      </c>
      <c r="B18" s="32">
        <v>91</v>
      </c>
      <c r="C18" s="32">
        <v>44</v>
      </c>
      <c r="D18" s="32">
        <v>15</v>
      </c>
      <c r="E18" s="35" t="s">
        <v>80</v>
      </c>
      <c r="F18" s="320"/>
      <c r="G18" s="35" t="s">
        <v>526</v>
      </c>
      <c r="H18" s="35" t="s">
        <v>526</v>
      </c>
      <c r="I18" s="48">
        <f t="shared" si="0"/>
        <v>4.3999999999999995</v>
      </c>
      <c r="J18" s="36">
        <v>4.2145593869731801</v>
      </c>
      <c r="K18" s="35">
        <v>3841</v>
      </c>
      <c r="L18" s="35">
        <v>161</v>
      </c>
      <c r="M18" s="35">
        <v>91</v>
      </c>
      <c r="N18" s="35">
        <v>44</v>
      </c>
      <c r="O18" s="35">
        <v>15</v>
      </c>
    </row>
    <row r="19" spans="1:15" ht="14.4">
      <c r="A19" s="32">
        <v>161</v>
      </c>
      <c r="B19" s="32">
        <v>91</v>
      </c>
      <c r="C19" s="32">
        <v>44</v>
      </c>
      <c r="D19" s="32">
        <v>15</v>
      </c>
      <c r="E19" s="58" t="s">
        <v>83</v>
      </c>
      <c r="F19" s="321" t="s">
        <v>197</v>
      </c>
      <c r="G19" s="58" t="s">
        <v>398</v>
      </c>
      <c r="H19" s="58" t="s">
        <v>398</v>
      </c>
      <c r="I19" s="48">
        <f t="shared" si="0"/>
        <v>4.5041279130525647</v>
      </c>
      <c r="J19" s="36">
        <v>4.3099999999999996</v>
      </c>
      <c r="K19" s="35">
        <v>1222</v>
      </c>
      <c r="L19" s="35">
        <v>161</v>
      </c>
      <c r="M19" s="35">
        <v>91</v>
      </c>
      <c r="N19" s="35">
        <v>44</v>
      </c>
      <c r="O19" s="35">
        <v>15</v>
      </c>
    </row>
    <row r="20" spans="1:15" ht="14.4">
      <c r="A20" s="32">
        <v>161</v>
      </c>
      <c r="B20" s="32">
        <v>91</v>
      </c>
      <c r="C20" s="32">
        <v>44</v>
      </c>
      <c r="D20" s="32">
        <v>15</v>
      </c>
      <c r="E20" s="58" t="s">
        <v>83</v>
      </c>
      <c r="F20" s="322"/>
      <c r="G20" s="58" t="s">
        <v>317</v>
      </c>
      <c r="H20" s="58" t="s">
        <v>317</v>
      </c>
      <c r="I20" s="48">
        <f t="shared" si="0"/>
        <v>4.5041279130525647</v>
      </c>
      <c r="J20" s="36">
        <v>4.3099999999999996</v>
      </c>
      <c r="K20" s="35">
        <v>1318</v>
      </c>
      <c r="L20" s="35">
        <v>161</v>
      </c>
      <c r="M20" s="35">
        <v>91</v>
      </c>
      <c r="N20" s="35">
        <v>44</v>
      </c>
      <c r="O20" s="35">
        <v>15</v>
      </c>
    </row>
    <row r="21" spans="1:15" ht="14.4">
      <c r="A21" s="32">
        <v>161</v>
      </c>
      <c r="B21" s="32">
        <v>91</v>
      </c>
      <c r="C21" s="32">
        <v>44</v>
      </c>
      <c r="D21" s="32">
        <v>15</v>
      </c>
      <c r="E21" s="58" t="s">
        <v>83</v>
      </c>
      <c r="F21" s="322"/>
      <c r="G21" s="58" t="s">
        <v>318</v>
      </c>
      <c r="H21" s="58" t="s">
        <v>318</v>
      </c>
      <c r="I21" s="48">
        <f t="shared" si="0"/>
        <v>4.5041279130525647</v>
      </c>
      <c r="J21" s="36">
        <v>4.3099999999999996</v>
      </c>
      <c r="K21" s="35">
        <v>1629</v>
      </c>
      <c r="L21" s="35">
        <v>161</v>
      </c>
      <c r="M21" s="35">
        <v>91</v>
      </c>
      <c r="N21" s="35">
        <v>44</v>
      </c>
      <c r="O21" s="35">
        <v>15</v>
      </c>
    </row>
    <row r="22" spans="1:15" ht="14.4">
      <c r="A22" s="32">
        <v>161</v>
      </c>
      <c r="B22" s="32">
        <v>91</v>
      </c>
      <c r="C22" s="32">
        <v>44</v>
      </c>
      <c r="D22" s="32">
        <v>15</v>
      </c>
      <c r="E22" s="58" t="s">
        <v>83</v>
      </c>
      <c r="F22" s="322"/>
      <c r="G22" s="58" t="s">
        <v>319</v>
      </c>
      <c r="H22" s="58" t="s">
        <v>319</v>
      </c>
      <c r="I22" s="48">
        <f t="shared" si="0"/>
        <v>4.5041279130525647</v>
      </c>
      <c r="J22" s="36">
        <v>4.3099999999999996</v>
      </c>
      <c r="K22" s="35">
        <v>7809</v>
      </c>
      <c r="L22" s="35">
        <v>161</v>
      </c>
      <c r="M22" s="35">
        <v>91</v>
      </c>
      <c r="N22" s="35">
        <v>44</v>
      </c>
      <c r="O22" s="35">
        <v>15</v>
      </c>
    </row>
    <row r="23" spans="1:15" ht="14.4">
      <c r="A23" s="32">
        <v>161</v>
      </c>
      <c r="B23" s="32">
        <v>91</v>
      </c>
      <c r="C23" s="32">
        <v>44</v>
      </c>
      <c r="D23" s="32">
        <v>15</v>
      </c>
      <c r="E23" s="58" t="s">
        <v>83</v>
      </c>
      <c r="F23" s="322"/>
      <c r="G23" s="58" t="s">
        <v>320</v>
      </c>
      <c r="H23" s="58" t="s">
        <v>320</v>
      </c>
      <c r="I23" s="48">
        <f t="shared" si="0"/>
        <v>4.5041279130525647</v>
      </c>
      <c r="J23" s="36">
        <v>4.3099999999999996</v>
      </c>
      <c r="K23" s="35">
        <v>6022</v>
      </c>
      <c r="L23" s="35">
        <v>162</v>
      </c>
      <c r="M23" s="35">
        <v>92</v>
      </c>
      <c r="N23" s="35">
        <v>45</v>
      </c>
      <c r="O23" s="35">
        <v>16</v>
      </c>
    </row>
    <row r="24" spans="1:15" ht="14.4">
      <c r="A24" s="32">
        <v>161</v>
      </c>
      <c r="B24" s="32">
        <v>91</v>
      </c>
      <c r="C24" s="32">
        <v>44</v>
      </c>
      <c r="D24" s="32">
        <v>15</v>
      </c>
      <c r="E24" s="58" t="s">
        <v>83</v>
      </c>
      <c r="F24" s="320"/>
      <c r="G24" s="58" t="s">
        <v>321</v>
      </c>
      <c r="H24" s="58" t="s">
        <v>321</v>
      </c>
      <c r="I24" s="48">
        <f t="shared" si="0"/>
        <v>4.5041279130525647</v>
      </c>
      <c r="J24" s="36">
        <v>4.3099999999999996</v>
      </c>
      <c r="K24" s="35">
        <v>6659</v>
      </c>
      <c r="L24" s="35">
        <v>163</v>
      </c>
      <c r="M24" s="35">
        <v>93</v>
      </c>
      <c r="N24" s="35">
        <v>46</v>
      </c>
      <c r="O24" s="35">
        <v>17</v>
      </c>
    </row>
    <row r="25" spans="1:15">
      <c r="A25" s="32">
        <v>161</v>
      </c>
      <c r="B25" s="32">
        <v>91</v>
      </c>
      <c r="C25" s="32">
        <v>44</v>
      </c>
      <c r="D25" s="32">
        <v>15</v>
      </c>
      <c r="E25" s="35" t="s">
        <v>84</v>
      </c>
      <c r="F25" s="57" t="s">
        <v>245</v>
      </c>
      <c r="G25" s="35" t="s">
        <v>324</v>
      </c>
      <c r="H25" s="35" t="s">
        <v>324</v>
      </c>
      <c r="I25" s="48">
        <f t="shared" si="0"/>
        <v>4.0000000000000044</v>
      </c>
      <c r="J25" s="59">
        <v>3.8461538461538498</v>
      </c>
      <c r="K25" s="35">
        <v>5597</v>
      </c>
      <c r="L25" s="35">
        <v>161</v>
      </c>
      <c r="M25" s="35">
        <v>91</v>
      </c>
      <c r="N25" s="35">
        <v>44</v>
      </c>
      <c r="O25" s="35">
        <v>15</v>
      </c>
    </row>
    <row r="26" spans="1:15">
      <c r="A26" s="32">
        <v>161</v>
      </c>
      <c r="B26" s="32">
        <v>91</v>
      </c>
      <c r="C26" s="32">
        <v>44</v>
      </c>
      <c r="D26" s="32">
        <v>15</v>
      </c>
      <c r="E26" s="35" t="s">
        <v>84</v>
      </c>
      <c r="F26" s="57" t="s">
        <v>246</v>
      </c>
      <c r="G26" s="35" t="s">
        <v>304</v>
      </c>
      <c r="H26" s="35" t="s">
        <v>304</v>
      </c>
      <c r="I26" s="48">
        <f t="shared" si="0"/>
        <v>4.1999999999999984</v>
      </c>
      <c r="J26" s="59">
        <v>4.0307101727447199</v>
      </c>
      <c r="K26" s="35">
        <v>4858</v>
      </c>
      <c r="L26" s="35">
        <v>144</v>
      </c>
      <c r="M26" s="35">
        <v>107.8</v>
      </c>
      <c r="N26" s="35">
        <v>43.95</v>
      </c>
      <c r="O26" s="35">
        <v>60.3</v>
      </c>
    </row>
    <row r="27" spans="1:15">
      <c r="A27" s="32">
        <v>161</v>
      </c>
      <c r="B27" s="32">
        <v>91</v>
      </c>
      <c r="C27" s="32">
        <v>44</v>
      </c>
      <c r="D27" s="32">
        <v>15</v>
      </c>
      <c r="E27" s="35" t="s">
        <v>84</v>
      </c>
      <c r="F27" s="57" t="s">
        <v>247</v>
      </c>
      <c r="G27" s="35" t="s">
        <v>305</v>
      </c>
      <c r="H27" s="35" t="s">
        <v>305</v>
      </c>
      <c r="I27" s="48">
        <f t="shared" si="0"/>
        <v>4.1999999999999984</v>
      </c>
      <c r="J27" s="59">
        <v>4.0307101727447199</v>
      </c>
      <c r="K27" s="35">
        <v>4394</v>
      </c>
      <c r="L27" s="35">
        <v>111</v>
      </c>
      <c r="M27" s="35">
        <v>124</v>
      </c>
      <c r="N27" s="35">
        <v>41.5</v>
      </c>
      <c r="O27" s="35">
        <v>56</v>
      </c>
    </row>
    <row r="28" spans="1:15">
      <c r="A28" s="32">
        <v>161</v>
      </c>
      <c r="B28" s="32">
        <v>91</v>
      </c>
      <c r="C28" s="32">
        <v>44</v>
      </c>
      <c r="D28" s="32">
        <v>15</v>
      </c>
      <c r="E28" s="58" t="s">
        <v>92</v>
      </c>
      <c r="F28" s="62" t="s">
        <v>249</v>
      </c>
      <c r="G28" s="58" t="s">
        <v>323</v>
      </c>
      <c r="H28" s="58" t="s">
        <v>323</v>
      </c>
      <c r="I28" s="48">
        <f t="shared" si="0"/>
        <v>4.1999999999999984</v>
      </c>
      <c r="J28" s="59">
        <v>4.0307101727447199</v>
      </c>
      <c r="K28" s="35">
        <v>4147</v>
      </c>
      <c r="L28" s="35">
        <v>161</v>
      </c>
      <c r="M28" s="35">
        <v>91</v>
      </c>
      <c r="N28" s="35">
        <v>44</v>
      </c>
      <c r="O28" s="35">
        <v>15</v>
      </c>
    </row>
    <row r="29" spans="1:15">
      <c r="A29" s="32">
        <v>161</v>
      </c>
      <c r="B29" s="32">
        <v>91</v>
      </c>
      <c r="C29" s="32">
        <v>44</v>
      </c>
      <c r="D29" s="32">
        <v>15</v>
      </c>
      <c r="E29" s="58" t="s">
        <v>92</v>
      </c>
      <c r="F29" s="62" t="s">
        <v>248</v>
      </c>
      <c r="G29" s="58" t="s">
        <v>322</v>
      </c>
      <c r="H29" s="58" t="s">
        <v>322</v>
      </c>
      <c r="I29" s="48">
        <f t="shared" si="0"/>
        <v>4.1999999999999984</v>
      </c>
      <c r="J29" s="59">
        <v>4.0307101727447199</v>
      </c>
      <c r="K29" s="35">
        <v>5394</v>
      </c>
      <c r="L29" s="35">
        <v>162</v>
      </c>
      <c r="M29" s="35">
        <v>92</v>
      </c>
      <c r="N29" s="35">
        <v>45</v>
      </c>
      <c r="O29" s="35">
        <v>16</v>
      </c>
    </row>
    <row r="30" spans="1:15">
      <c r="A30" s="32">
        <v>161</v>
      </c>
      <c r="B30" s="32">
        <v>91</v>
      </c>
      <c r="C30" s="32">
        <v>44</v>
      </c>
      <c r="D30" s="32">
        <v>15</v>
      </c>
      <c r="E30" s="62" t="s">
        <v>93</v>
      </c>
      <c r="F30" s="62" t="s">
        <v>94</v>
      </c>
      <c r="G30" s="62" t="s">
        <v>324</v>
      </c>
      <c r="H30" s="58" t="s">
        <v>94</v>
      </c>
      <c r="I30" s="48">
        <f t="shared" si="0"/>
        <v>6.255771770843694</v>
      </c>
      <c r="J30" s="59">
        <v>5.8874653739612297</v>
      </c>
      <c r="K30" s="35">
        <v>6846</v>
      </c>
      <c r="L30" s="35">
        <v>161</v>
      </c>
      <c r="M30" s="35">
        <v>91</v>
      </c>
      <c r="N30" s="35">
        <v>44</v>
      </c>
      <c r="O30" s="35">
        <v>15</v>
      </c>
    </row>
    <row r="31" spans="1:15" ht="14.4">
      <c r="A31" s="32">
        <v>161</v>
      </c>
      <c r="B31" s="32">
        <v>91</v>
      </c>
      <c r="C31" s="32">
        <v>44</v>
      </c>
      <c r="D31" s="32">
        <v>15</v>
      </c>
      <c r="E31" s="35" t="s">
        <v>95</v>
      </c>
      <c r="F31" s="321" t="s">
        <v>250</v>
      </c>
      <c r="G31" s="35" t="s">
        <v>324</v>
      </c>
      <c r="H31" s="35" t="s">
        <v>294</v>
      </c>
      <c r="I31" s="35">
        <v>4.8000000000000096</v>
      </c>
      <c r="J31" s="36">
        <v>4.5801526717557302</v>
      </c>
      <c r="K31" s="35">
        <v>10500</v>
      </c>
      <c r="L31" s="35">
        <v>161</v>
      </c>
      <c r="M31" s="35">
        <v>91</v>
      </c>
      <c r="N31" s="35">
        <v>44</v>
      </c>
      <c r="O31" s="35">
        <v>15</v>
      </c>
    </row>
    <row r="32" spans="1:15" ht="14.4">
      <c r="A32" s="32">
        <v>161</v>
      </c>
      <c r="B32" s="32">
        <v>91</v>
      </c>
      <c r="C32" s="32">
        <v>44</v>
      </c>
      <c r="D32" s="32">
        <v>15</v>
      </c>
      <c r="E32" s="35" t="s">
        <v>95</v>
      </c>
      <c r="F32" s="320"/>
      <c r="G32" s="35" t="s">
        <v>324</v>
      </c>
      <c r="H32" s="35" t="s">
        <v>295</v>
      </c>
      <c r="I32" s="35">
        <v>4.8000000000000096</v>
      </c>
      <c r="J32" s="36">
        <v>4.5801526717557302</v>
      </c>
      <c r="K32" s="35">
        <v>8630</v>
      </c>
      <c r="L32" s="35">
        <v>161</v>
      </c>
      <c r="M32" s="35">
        <v>91</v>
      </c>
      <c r="N32" s="35">
        <v>44</v>
      </c>
      <c r="O32" s="35">
        <v>15</v>
      </c>
    </row>
    <row r="33" spans="1:15" ht="14.4">
      <c r="A33" s="32">
        <v>161</v>
      </c>
      <c r="B33" s="32">
        <v>91</v>
      </c>
      <c r="C33" s="32">
        <v>44</v>
      </c>
      <c r="D33" s="32">
        <v>15</v>
      </c>
      <c r="E33" s="35" t="s">
        <v>95</v>
      </c>
      <c r="F33" s="321" t="s">
        <v>251</v>
      </c>
      <c r="G33" s="35" t="s">
        <v>304</v>
      </c>
      <c r="H33" s="35" t="s">
        <v>294</v>
      </c>
      <c r="I33" s="35">
        <v>4.8000000000000096</v>
      </c>
      <c r="J33" s="36">
        <v>4.5801526717557302</v>
      </c>
      <c r="K33" s="35">
        <v>5040</v>
      </c>
      <c r="L33" s="35">
        <v>144</v>
      </c>
      <c r="M33" s="35">
        <v>107.8</v>
      </c>
      <c r="N33" s="35">
        <v>43.95</v>
      </c>
      <c r="O33" s="35">
        <v>60.3</v>
      </c>
    </row>
    <row r="34" spans="1:15" ht="14.4">
      <c r="A34" s="32">
        <v>161</v>
      </c>
      <c r="B34" s="32">
        <v>91</v>
      </c>
      <c r="C34" s="32">
        <v>44</v>
      </c>
      <c r="D34" s="32">
        <v>15</v>
      </c>
      <c r="E34" s="35" t="s">
        <v>95</v>
      </c>
      <c r="F34" s="320"/>
      <c r="G34" s="35" t="s">
        <v>304</v>
      </c>
      <c r="H34" s="35" t="s">
        <v>295</v>
      </c>
      <c r="I34" s="35">
        <v>4.8000000000000096</v>
      </c>
      <c r="J34" s="36">
        <v>4.5801526717557302</v>
      </c>
      <c r="K34" s="35">
        <v>6848</v>
      </c>
      <c r="L34" s="35">
        <v>144</v>
      </c>
      <c r="M34" s="35">
        <v>107.8</v>
      </c>
      <c r="N34" s="35">
        <v>43.95</v>
      </c>
      <c r="O34" s="35">
        <v>60.3</v>
      </c>
    </row>
    <row r="35" spans="1:15" ht="14.4">
      <c r="A35" s="32">
        <v>161</v>
      </c>
      <c r="B35" s="32">
        <v>91</v>
      </c>
      <c r="C35" s="32">
        <v>44</v>
      </c>
      <c r="D35" s="32">
        <v>15</v>
      </c>
      <c r="E35" s="35" t="s">
        <v>95</v>
      </c>
      <c r="F35" s="57" t="s">
        <v>252</v>
      </c>
      <c r="G35" s="35" t="s">
        <v>305</v>
      </c>
      <c r="H35" s="35" t="s">
        <v>294</v>
      </c>
      <c r="I35" s="35">
        <v>4.8000000000000096</v>
      </c>
      <c r="J35" s="36">
        <v>4.5801526717557302</v>
      </c>
      <c r="K35" s="35">
        <v>5000</v>
      </c>
      <c r="L35" s="35">
        <v>111</v>
      </c>
      <c r="M35" s="35">
        <v>124</v>
      </c>
      <c r="N35" s="35">
        <v>41.5</v>
      </c>
      <c r="O35" s="35">
        <v>56</v>
      </c>
    </row>
    <row r="36" spans="1:15">
      <c r="A36" s="32">
        <v>161</v>
      </c>
      <c r="B36" s="32">
        <v>91</v>
      </c>
      <c r="C36" s="32">
        <v>44</v>
      </c>
      <c r="D36" s="32">
        <v>15</v>
      </c>
      <c r="E36" s="35" t="s">
        <v>98</v>
      </c>
      <c r="F36" s="321" t="s">
        <v>246</v>
      </c>
      <c r="G36" s="35" t="s">
        <v>304</v>
      </c>
      <c r="H36" s="35" t="s">
        <v>304</v>
      </c>
      <c r="I36" s="35">
        <v>4.2</v>
      </c>
      <c r="J36" s="36">
        <v>4.0307101727447199</v>
      </c>
      <c r="K36" s="35">
        <v>6575</v>
      </c>
      <c r="L36" s="35">
        <v>144</v>
      </c>
      <c r="M36" s="35">
        <v>107.8</v>
      </c>
      <c r="N36" s="35">
        <v>43.95</v>
      </c>
      <c r="O36" s="35">
        <v>60.3</v>
      </c>
    </row>
    <row r="37" spans="1:15">
      <c r="A37" s="32">
        <v>161</v>
      </c>
      <c r="B37" s="32">
        <v>91</v>
      </c>
      <c r="C37" s="32">
        <v>44</v>
      </c>
      <c r="D37" s="32">
        <v>15</v>
      </c>
      <c r="E37" s="35" t="s">
        <v>98</v>
      </c>
      <c r="F37" s="322"/>
      <c r="G37" s="35" t="s">
        <v>332</v>
      </c>
      <c r="H37" s="35" t="s">
        <v>332</v>
      </c>
      <c r="I37" s="35">
        <v>4.2</v>
      </c>
      <c r="J37" s="36">
        <v>4.0307101727447199</v>
      </c>
      <c r="K37" s="35">
        <v>5679</v>
      </c>
      <c r="L37" s="35">
        <v>144</v>
      </c>
      <c r="M37" s="35">
        <v>107.8</v>
      </c>
      <c r="N37" s="35">
        <v>43.95</v>
      </c>
      <c r="O37" s="35">
        <v>60.3</v>
      </c>
    </row>
    <row r="38" spans="1:15">
      <c r="A38" s="32">
        <v>161</v>
      </c>
      <c r="B38" s="32">
        <v>91</v>
      </c>
      <c r="C38" s="32">
        <v>44</v>
      </c>
      <c r="D38" s="32">
        <v>15</v>
      </c>
      <c r="E38" s="35" t="s">
        <v>98</v>
      </c>
      <c r="F38" s="320"/>
      <c r="G38" s="35" t="s">
        <v>333</v>
      </c>
      <c r="H38" s="35" t="s">
        <v>333</v>
      </c>
      <c r="I38" s="35">
        <v>4.2</v>
      </c>
      <c r="J38" s="36">
        <v>4.0307101727447199</v>
      </c>
      <c r="K38" s="35">
        <v>7555</v>
      </c>
      <c r="L38" s="35">
        <v>144</v>
      </c>
      <c r="M38" s="35">
        <v>107.8</v>
      </c>
      <c r="N38" s="35">
        <v>43.95</v>
      </c>
      <c r="O38" s="35">
        <v>60.3</v>
      </c>
    </row>
    <row r="39" spans="1:15">
      <c r="A39" s="32">
        <v>161</v>
      </c>
      <c r="B39" s="32">
        <v>91</v>
      </c>
      <c r="C39" s="32">
        <v>44</v>
      </c>
      <c r="D39" s="32">
        <v>15</v>
      </c>
      <c r="E39" s="35" t="s">
        <v>100</v>
      </c>
      <c r="F39" s="57" t="s">
        <v>218</v>
      </c>
      <c r="G39" s="35" t="s">
        <v>324</v>
      </c>
      <c r="H39" s="35" t="s">
        <v>324</v>
      </c>
      <c r="I39" s="35">
        <v>4.8</v>
      </c>
      <c r="J39" s="36">
        <v>4.5801526717557302</v>
      </c>
      <c r="K39" s="35">
        <v>5471</v>
      </c>
      <c r="L39" s="35">
        <v>161</v>
      </c>
      <c r="M39" s="35">
        <v>91</v>
      </c>
      <c r="N39" s="35">
        <v>44</v>
      </c>
      <c r="O39" s="35">
        <v>15</v>
      </c>
    </row>
    <row r="40" spans="1:15" ht="14.4">
      <c r="A40" s="32">
        <v>161</v>
      </c>
      <c r="B40" s="32">
        <v>91</v>
      </c>
      <c r="C40" s="32">
        <v>44</v>
      </c>
      <c r="D40" s="32">
        <v>15</v>
      </c>
      <c r="E40" s="35" t="s">
        <v>101</v>
      </c>
      <c r="F40" s="321" t="s">
        <v>218</v>
      </c>
      <c r="G40" s="35" t="s">
        <v>324</v>
      </c>
      <c r="H40" s="35" t="s">
        <v>294</v>
      </c>
      <c r="I40" s="35">
        <v>4.8</v>
      </c>
      <c r="J40" s="36">
        <v>4.5801526717557302</v>
      </c>
      <c r="K40" s="35">
        <v>5727</v>
      </c>
      <c r="L40" s="35">
        <v>161</v>
      </c>
      <c r="M40" s="35">
        <v>91</v>
      </c>
      <c r="N40" s="35">
        <v>44</v>
      </c>
      <c r="O40" s="35">
        <v>15</v>
      </c>
    </row>
    <row r="41" spans="1:15" ht="14.4">
      <c r="A41" s="32">
        <v>161</v>
      </c>
      <c r="B41" s="32">
        <v>91</v>
      </c>
      <c r="C41" s="32">
        <v>44</v>
      </c>
      <c r="D41" s="32">
        <v>15</v>
      </c>
      <c r="E41" s="35" t="s">
        <v>101</v>
      </c>
      <c r="F41" s="322"/>
      <c r="G41" s="35" t="s">
        <v>324</v>
      </c>
      <c r="H41" s="35" t="s">
        <v>295</v>
      </c>
      <c r="I41" s="35">
        <v>4.8</v>
      </c>
      <c r="J41" s="36">
        <v>4.5801526717557302</v>
      </c>
      <c r="K41" s="35">
        <v>7500</v>
      </c>
      <c r="L41" s="35">
        <v>161</v>
      </c>
      <c r="M41" s="35">
        <v>91</v>
      </c>
      <c r="N41" s="35">
        <v>44</v>
      </c>
      <c r="O41" s="35">
        <v>15</v>
      </c>
    </row>
    <row r="42" spans="1:15" ht="14.4">
      <c r="A42" s="32">
        <v>161</v>
      </c>
      <c r="B42" s="32">
        <v>91</v>
      </c>
      <c r="C42" s="32">
        <v>44</v>
      </c>
      <c r="D42" s="32">
        <v>15</v>
      </c>
      <c r="E42" s="35" t="s">
        <v>101</v>
      </c>
      <c r="F42" s="320"/>
      <c r="G42" s="35" t="s">
        <v>324</v>
      </c>
      <c r="H42" s="35" t="s">
        <v>296</v>
      </c>
      <c r="I42" s="35">
        <v>4.8</v>
      </c>
      <c r="J42" s="36">
        <v>4.5801526717557302</v>
      </c>
      <c r="K42" s="35">
        <v>6614</v>
      </c>
      <c r="L42" s="35">
        <v>161</v>
      </c>
      <c r="M42" s="35">
        <v>91</v>
      </c>
      <c r="N42" s="35">
        <v>44</v>
      </c>
      <c r="O42" s="35">
        <v>15</v>
      </c>
    </row>
    <row r="43" spans="1:15" ht="14.4">
      <c r="A43" s="32">
        <v>161</v>
      </c>
      <c r="B43" s="32">
        <v>91</v>
      </c>
      <c r="C43" s="32">
        <v>44</v>
      </c>
      <c r="D43" s="32">
        <v>15</v>
      </c>
      <c r="E43" s="35" t="s">
        <v>102</v>
      </c>
      <c r="F43" s="321" t="s">
        <v>218</v>
      </c>
      <c r="G43" s="35" t="s">
        <v>324</v>
      </c>
      <c r="H43" s="35" t="s">
        <v>294</v>
      </c>
      <c r="I43" s="35">
        <v>4.9000000000000004</v>
      </c>
      <c r="J43" s="36">
        <v>4.6711153479504297</v>
      </c>
      <c r="K43" s="35">
        <v>5676</v>
      </c>
      <c r="L43" s="35">
        <v>161</v>
      </c>
      <c r="M43" s="35">
        <v>91</v>
      </c>
      <c r="N43" s="35">
        <v>44</v>
      </c>
      <c r="O43" s="35">
        <v>15</v>
      </c>
    </row>
    <row r="44" spans="1:15" ht="14.4">
      <c r="A44" s="32">
        <v>161</v>
      </c>
      <c r="B44" s="32">
        <v>91</v>
      </c>
      <c r="C44" s="32">
        <v>44</v>
      </c>
      <c r="D44" s="32">
        <v>15</v>
      </c>
      <c r="E44" s="35" t="s">
        <v>102</v>
      </c>
      <c r="F44" s="322"/>
      <c r="G44" s="35" t="s">
        <v>324</v>
      </c>
      <c r="H44" s="35" t="s">
        <v>295</v>
      </c>
      <c r="I44" s="35">
        <v>4.9000000000000004</v>
      </c>
      <c r="J44" s="36">
        <v>4.6711153479504297</v>
      </c>
      <c r="K44" s="35">
        <v>4737</v>
      </c>
      <c r="L44" s="35">
        <v>161</v>
      </c>
      <c r="M44" s="35">
        <v>91</v>
      </c>
      <c r="N44" s="35">
        <v>44</v>
      </c>
      <c r="O44" s="35">
        <v>15</v>
      </c>
    </row>
    <row r="45" spans="1:15" ht="14.4">
      <c r="A45" s="32">
        <v>161</v>
      </c>
      <c r="B45" s="32">
        <v>91</v>
      </c>
      <c r="C45" s="32">
        <v>44</v>
      </c>
      <c r="D45" s="32">
        <v>15</v>
      </c>
      <c r="E45" s="35" t="s">
        <v>102</v>
      </c>
      <c r="F45" s="320"/>
      <c r="G45" s="35" t="s">
        <v>324</v>
      </c>
      <c r="H45" s="35" t="s">
        <v>296</v>
      </c>
      <c r="I45" s="35">
        <v>4.9000000000000004</v>
      </c>
      <c r="J45" s="36">
        <v>4.6711153479504297</v>
      </c>
      <c r="K45" s="35">
        <v>5206</v>
      </c>
      <c r="L45" s="35">
        <v>161</v>
      </c>
      <c r="M45" s="35">
        <v>91</v>
      </c>
      <c r="N45" s="35">
        <v>44</v>
      </c>
      <c r="O45" s="35">
        <v>15</v>
      </c>
    </row>
    <row r="46" spans="1:15" ht="14.4">
      <c r="A46" s="32">
        <v>161</v>
      </c>
      <c r="B46" s="32">
        <v>91</v>
      </c>
      <c r="C46" s="32">
        <v>44</v>
      </c>
      <c r="D46" s="32">
        <v>15</v>
      </c>
      <c r="E46" s="35" t="s">
        <v>103</v>
      </c>
      <c r="F46" s="321" t="s">
        <v>218</v>
      </c>
      <c r="G46" s="35" t="s">
        <v>324</v>
      </c>
      <c r="H46" s="35" t="s">
        <v>294</v>
      </c>
      <c r="I46" s="35">
        <v>4.8</v>
      </c>
      <c r="J46" s="36">
        <v>4.5801526717557302</v>
      </c>
      <c r="K46" s="35">
        <v>7778</v>
      </c>
      <c r="L46" s="35">
        <v>161</v>
      </c>
      <c r="M46" s="35">
        <v>91</v>
      </c>
      <c r="N46" s="35">
        <v>44</v>
      </c>
      <c r="O46" s="35">
        <v>15</v>
      </c>
    </row>
    <row r="47" spans="1:15" ht="14.4">
      <c r="A47" s="32">
        <v>161</v>
      </c>
      <c r="B47" s="32">
        <v>91</v>
      </c>
      <c r="C47" s="32">
        <v>44</v>
      </c>
      <c r="D47" s="32">
        <v>15</v>
      </c>
      <c r="E47" s="35" t="s">
        <v>103</v>
      </c>
      <c r="F47" s="320"/>
      <c r="G47" s="35" t="s">
        <v>324</v>
      </c>
      <c r="H47" s="35" t="s">
        <v>295</v>
      </c>
      <c r="I47" s="35">
        <v>4.8</v>
      </c>
      <c r="J47" s="36">
        <v>4.5801526717557302</v>
      </c>
      <c r="K47" s="35">
        <v>7778</v>
      </c>
      <c r="L47" s="35">
        <v>161</v>
      </c>
      <c r="M47" s="35">
        <v>91</v>
      </c>
      <c r="N47" s="35">
        <v>44</v>
      </c>
      <c r="O47" s="35">
        <v>15</v>
      </c>
    </row>
    <row r="48" spans="1:15" ht="14.4">
      <c r="A48" s="32">
        <v>161</v>
      </c>
      <c r="B48" s="32">
        <v>91</v>
      </c>
      <c r="C48" s="32">
        <v>44</v>
      </c>
      <c r="D48" s="32">
        <v>15</v>
      </c>
      <c r="E48" s="35" t="s">
        <v>104</v>
      </c>
      <c r="F48" s="321" t="s">
        <v>197</v>
      </c>
      <c r="G48" s="35" t="s">
        <v>324</v>
      </c>
      <c r="H48" s="35" t="s">
        <v>294</v>
      </c>
      <c r="I48" s="35">
        <v>4.5999999999999996</v>
      </c>
      <c r="J48" s="36">
        <v>4.3977055449330802</v>
      </c>
      <c r="K48" s="35">
        <v>5431</v>
      </c>
      <c r="L48" s="35">
        <v>161</v>
      </c>
      <c r="M48" s="35">
        <v>91</v>
      </c>
      <c r="N48" s="35">
        <v>44</v>
      </c>
      <c r="O48" s="35">
        <v>15</v>
      </c>
    </row>
    <row r="49" spans="1:15" ht="14.4">
      <c r="A49" s="32">
        <v>161</v>
      </c>
      <c r="B49" s="32">
        <v>91</v>
      </c>
      <c r="C49" s="32">
        <v>44</v>
      </c>
      <c r="D49" s="32">
        <v>15</v>
      </c>
      <c r="E49" s="35" t="s">
        <v>104</v>
      </c>
      <c r="F49" s="320"/>
      <c r="G49" s="35" t="s">
        <v>324</v>
      </c>
      <c r="H49" s="35" t="s">
        <v>295</v>
      </c>
      <c r="I49" s="35">
        <v>4.5999999999999996</v>
      </c>
      <c r="J49" s="36">
        <v>4.3977055449330802</v>
      </c>
      <c r="K49" s="35">
        <v>5526</v>
      </c>
      <c r="L49" s="35">
        <v>161</v>
      </c>
      <c r="M49" s="35">
        <v>91</v>
      </c>
      <c r="N49" s="35">
        <v>44</v>
      </c>
      <c r="O49" s="35">
        <v>15</v>
      </c>
    </row>
    <row r="50" spans="1:15" ht="14.4">
      <c r="A50" s="32">
        <v>161</v>
      </c>
      <c r="B50" s="32">
        <v>91</v>
      </c>
      <c r="C50" s="32">
        <v>44</v>
      </c>
      <c r="D50" s="32">
        <v>15</v>
      </c>
      <c r="E50" s="35" t="s">
        <v>109</v>
      </c>
      <c r="F50" s="321" t="s">
        <v>255</v>
      </c>
      <c r="G50" s="35" t="s">
        <v>324</v>
      </c>
      <c r="H50" s="35" t="s">
        <v>294</v>
      </c>
      <c r="I50" s="35">
        <v>4.9000000000000004</v>
      </c>
      <c r="J50" s="36">
        <v>4.6711153479504297</v>
      </c>
      <c r="K50" s="35">
        <v>7500</v>
      </c>
      <c r="L50" s="35">
        <v>161</v>
      </c>
      <c r="M50" s="35">
        <v>91</v>
      </c>
      <c r="N50" s="35">
        <v>44</v>
      </c>
      <c r="O50" s="35">
        <v>15</v>
      </c>
    </row>
    <row r="51" spans="1:15" ht="14.4">
      <c r="A51" s="32">
        <v>161</v>
      </c>
      <c r="B51" s="32">
        <v>91</v>
      </c>
      <c r="C51" s="32">
        <v>44</v>
      </c>
      <c r="D51" s="32">
        <v>15</v>
      </c>
      <c r="E51" s="35" t="s">
        <v>109</v>
      </c>
      <c r="F51" s="320"/>
      <c r="G51" s="35" t="s">
        <v>324</v>
      </c>
      <c r="H51" s="35" t="s">
        <v>295</v>
      </c>
      <c r="I51" s="35">
        <v>4.9000000000000004</v>
      </c>
      <c r="J51" s="36">
        <v>4.6711153479504297</v>
      </c>
      <c r="K51" s="35">
        <v>8077</v>
      </c>
      <c r="L51" s="35">
        <v>161</v>
      </c>
      <c r="M51" s="35">
        <v>91</v>
      </c>
      <c r="N51" s="35">
        <v>44</v>
      </c>
      <c r="O51" s="35">
        <v>15</v>
      </c>
    </row>
    <row r="52" spans="1:15">
      <c r="A52" s="32">
        <v>161</v>
      </c>
      <c r="B52" s="32">
        <v>91</v>
      </c>
      <c r="C52" s="32">
        <v>44</v>
      </c>
      <c r="D52" s="32">
        <v>15</v>
      </c>
      <c r="E52" s="35" t="s">
        <v>110</v>
      </c>
      <c r="F52" s="35" t="s">
        <v>218</v>
      </c>
      <c r="G52" s="35" t="s">
        <v>324</v>
      </c>
      <c r="H52" s="35" t="s">
        <v>324</v>
      </c>
      <c r="I52" s="35">
        <v>4.8</v>
      </c>
      <c r="J52" s="36">
        <v>4.5801526717557302</v>
      </c>
      <c r="K52" s="35">
        <v>6116</v>
      </c>
      <c r="L52" s="35">
        <v>161</v>
      </c>
      <c r="M52" s="35">
        <v>91</v>
      </c>
      <c r="N52" s="35">
        <v>44</v>
      </c>
      <c r="O52" s="35">
        <v>15</v>
      </c>
    </row>
    <row r="53" spans="1:15">
      <c r="A53" s="32">
        <v>144</v>
      </c>
      <c r="B53" s="32">
        <v>107.8</v>
      </c>
      <c r="C53" s="32">
        <v>43.95</v>
      </c>
      <c r="D53" s="32">
        <v>60.3</v>
      </c>
      <c r="E53" s="35" t="s">
        <v>112</v>
      </c>
      <c r="F53" s="35" t="s">
        <v>218</v>
      </c>
      <c r="G53" s="35" t="s">
        <v>324</v>
      </c>
      <c r="H53" s="35" t="s">
        <v>324</v>
      </c>
      <c r="I53" s="35">
        <v>4.8</v>
      </c>
      <c r="J53" s="36">
        <v>4.5801526717557302</v>
      </c>
      <c r="K53" s="35">
        <v>7875</v>
      </c>
      <c r="L53" s="35">
        <v>161</v>
      </c>
      <c r="M53" s="35">
        <v>91</v>
      </c>
      <c r="N53" s="35">
        <v>44</v>
      </c>
      <c r="O53" s="35">
        <v>15</v>
      </c>
    </row>
    <row r="54" spans="1:15" ht="14.4">
      <c r="A54" s="32">
        <v>144</v>
      </c>
      <c r="B54" s="32">
        <v>107.8</v>
      </c>
      <c r="C54" s="32">
        <v>43.95</v>
      </c>
      <c r="D54" s="32">
        <v>60.3</v>
      </c>
      <c r="E54" s="35" t="s">
        <v>256</v>
      </c>
      <c r="F54" s="321" t="s">
        <v>257</v>
      </c>
      <c r="G54" s="35" t="s">
        <v>324</v>
      </c>
      <c r="H54" s="35" t="s">
        <v>294</v>
      </c>
      <c r="I54" s="35">
        <v>4.9000000000000004</v>
      </c>
      <c r="J54" s="36">
        <v>4.6711153479504297</v>
      </c>
      <c r="K54" s="64">
        <v>6972</v>
      </c>
      <c r="L54" s="35">
        <v>161</v>
      </c>
      <c r="M54" s="35">
        <v>91</v>
      </c>
      <c r="N54" s="35">
        <v>44</v>
      </c>
      <c r="O54" s="35">
        <v>15</v>
      </c>
    </row>
    <row r="55" spans="1:15" ht="14.4">
      <c r="A55" s="32">
        <v>144</v>
      </c>
      <c r="B55" s="32">
        <v>107.8</v>
      </c>
      <c r="C55" s="32">
        <v>43.95</v>
      </c>
      <c r="D55" s="32">
        <v>60.3</v>
      </c>
      <c r="E55" s="35" t="s">
        <v>256</v>
      </c>
      <c r="F55" s="320"/>
      <c r="G55" s="35" t="s">
        <v>324</v>
      </c>
      <c r="H55" s="35" t="s">
        <v>295</v>
      </c>
      <c r="I55" s="35">
        <v>4.9000000000000004</v>
      </c>
      <c r="J55" s="36">
        <v>4.6711153479504297</v>
      </c>
      <c r="K55" s="64">
        <v>7661</v>
      </c>
      <c r="L55" s="35">
        <v>161</v>
      </c>
      <c r="M55" s="35">
        <v>91</v>
      </c>
      <c r="N55" s="35">
        <v>44</v>
      </c>
      <c r="O55" s="35">
        <v>15</v>
      </c>
    </row>
    <row r="56" spans="1:15" ht="14.4">
      <c r="A56" s="32">
        <v>144</v>
      </c>
      <c r="B56" s="32">
        <v>107.8</v>
      </c>
      <c r="C56" s="32">
        <v>43.95</v>
      </c>
      <c r="D56" s="32">
        <v>60.3</v>
      </c>
      <c r="E56" s="35" t="s">
        <v>113</v>
      </c>
      <c r="F56" s="321" t="s">
        <v>258</v>
      </c>
      <c r="G56" s="35" t="s">
        <v>528</v>
      </c>
      <c r="H56" s="35" t="s">
        <v>294</v>
      </c>
      <c r="I56" s="35">
        <v>4.2</v>
      </c>
      <c r="J56" s="36">
        <v>4.0307101727447199</v>
      </c>
      <c r="K56" s="64">
        <v>7975</v>
      </c>
      <c r="L56" s="35">
        <v>161</v>
      </c>
      <c r="M56" s="35">
        <v>91</v>
      </c>
      <c r="N56" s="35">
        <v>44</v>
      </c>
      <c r="O56" s="35">
        <v>15</v>
      </c>
    </row>
    <row r="57" spans="1:15" ht="14.4">
      <c r="A57" s="32">
        <v>144</v>
      </c>
      <c r="B57" s="32">
        <v>107.8</v>
      </c>
      <c r="C57" s="32">
        <v>43.95</v>
      </c>
      <c r="D57" s="32">
        <v>60.3</v>
      </c>
      <c r="E57" s="35" t="s">
        <v>113</v>
      </c>
      <c r="F57" s="322"/>
      <c r="G57" s="35" t="s">
        <v>528</v>
      </c>
      <c r="H57" s="35" t="s">
        <v>295</v>
      </c>
      <c r="I57" s="35">
        <v>4.2</v>
      </c>
      <c r="J57" s="36">
        <v>4.0307101727447199</v>
      </c>
      <c r="K57" s="64">
        <v>8630</v>
      </c>
      <c r="L57" s="35">
        <v>161</v>
      </c>
      <c r="M57" s="35">
        <v>91</v>
      </c>
      <c r="N57" s="35">
        <v>44</v>
      </c>
      <c r="O57" s="35">
        <v>15</v>
      </c>
    </row>
    <row r="58" spans="1:15" ht="14.4">
      <c r="A58" s="32">
        <v>144</v>
      </c>
      <c r="B58" s="32">
        <v>107.8</v>
      </c>
      <c r="C58" s="32">
        <v>43.95</v>
      </c>
      <c r="D58" s="32">
        <v>60.3</v>
      </c>
      <c r="E58" s="35" t="s">
        <v>113</v>
      </c>
      <c r="F58" s="322"/>
      <c r="G58" s="35" t="s">
        <v>412</v>
      </c>
      <c r="H58" s="35" t="s">
        <v>294</v>
      </c>
      <c r="I58" s="35">
        <v>4.2</v>
      </c>
      <c r="J58" s="36">
        <v>4.0307101727447199</v>
      </c>
      <c r="K58" s="64">
        <v>10161</v>
      </c>
      <c r="L58" s="35">
        <v>161</v>
      </c>
      <c r="M58" s="35">
        <v>91</v>
      </c>
      <c r="N58" s="35">
        <v>44</v>
      </c>
      <c r="O58" s="35">
        <v>15</v>
      </c>
    </row>
    <row r="59" spans="1:15" ht="14.4">
      <c r="A59" s="32">
        <v>111</v>
      </c>
      <c r="B59" s="32">
        <v>124</v>
      </c>
      <c r="C59" s="32">
        <v>41.5</v>
      </c>
      <c r="D59" s="32">
        <v>56</v>
      </c>
      <c r="E59" s="35" t="s">
        <v>113</v>
      </c>
      <c r="F59" s="322"/>
      <c r="G59" s="35" t="s">
        <v>412</v>
      </c>
      <c r="H59" s="35" t="s">
        <v>295</v>
      </c>
      <c r="I59" s="35">
        <v>4.2</v>
      </c>
      <c r="J59" s="36">
        <v>4.0307101727447199</v>
      </c>
      <c r="K59" s="64">
        <v>11887</v>
      </c>
      <c r="L59" s="35">
        <v>161</v>
      </c>
      <c r="M59" s="35">
        <v>91</v>
      </c>
      <c r="N59" s="35">
        <v>44</v>
      </c>
      <c r="O59" s="35">
        <v>15</v>
      </c>
    </row>
    <row r="60" spans="1:15" ht="14.4">
      <c r="A60" s="32">
        <v>111</v>
      </c>
      <c r="B60" s="32">
        <v>124</v>
      </c>
      <c r="C60" s="32">
        <v>41.5</v>
      </c>
      <c r="D60" s="32">
        <v>56</v>
      </c>
      <c r="E60" s="35" t="s">
        <v>113</v>
      </c>
      <c r="F60" s="322"/>
      <c r="G60" s="35" t="s">
        <v>413</v>
      </c>
      <c r="H60" s="35" t="s">
        <v>294</v>
      </c>
      <c r="I60" s="35">
        <v>4.2</v>
      </c>
      <c r="J60" s="36">
        <v>4.0307101727447199</v>
      </c>
      <c r="K60" s="64">
        <v>9130</v>
      </c>
      <c r="L60" s="35">
        <v>161</v>
      </c>
      <c r="M60" s="35">
        <v>91</v>
      </c>
      <c r="N60" s="35">
        <v>44</v>
      </c>
      <c r="O60" s="35">
        <v>15</v>
      </c>
    </row>
    <row r="61" spans="1:15" ht="14.4">
      <c r="A61" s="32">
        <v>111</v>
      </c>
      <c r="B61" s="32">
        <v>124</v>
      </c>
      <c r="C61" s="32">
        <v>41.5</v>
      </c>
      <c r="D61" s="32">
        <v>56</v>
      </c>
      <c r="E61" s="35" t="s">
        <v>113</v>
      </c>
      <c r="F61" s="322"/>
      <c r="G61" s="35" t="s">
        <v>413</v>
      </c>
      <c r="H61" s="35" t="s">
        <v>295</v>
      </c>
      <c r="I61" s="35">
        <v>4.2</v>
      </c>
      <c r="J61" s="36">
        <v>4.0307101727447199</v>
      </c>
      <c r="K61" s="64">
        <v>11886</v>
      </c>
      <c r="L61" s="35">
        <v>161</v>
      </c>
      <c r="M61" s="35">
        <v>91</v>
      </c>
      <c r="N61" s="35">
        <v>44</v>
      </c>
      <c r="O61" s="35">
        <v>15</v>
      </c>
    </row>
    <row r="62" spans="1:15" ht="14.4">
      <c r="A62" s="32">
        <v>111</v>
      </c>
      <c r="B62" s="32">
        <v>124</v>
      </c>
      <c r="C62" s="32">
        <v>41.5</v>
      </c>
      <c r="D62" s="32">
        <v>56</v>
      </c>
      <c r="E62" s="35" t="s">
        <v>113</v>
      </c>
      <c r="F62" s="322"/>
      <c r="G62" s="35" t="s">
        <v>414</v>
      </c>
      <c r="H62" s="35" t="s">
        <v>294</v>
      </c>
      <c r="I62" s="35">
        <v>4.2</v>
      </c>
      <c r="J62" s="36">
        <v>4.0307101727447199</v>
      </c>
      <c r="K62" s="64">
        <v>11250</v>
      </c>
      <c r="L62" s="35">
        <v>161</v>
      </c>
      <c r="M62" s="35">
        <v>91</v>
      </c>
      <c r="N62" s="35">
        <v>44</v>
      </c>
      <c r="O62" s="35">
        <v>15</v>
      </c>
    </row>
    <row r="63" spans="1:15" ht="14.4">
      <c r="A63" s="32">
        <v>111</v>
      </c>
      <c r="B63" s="32">
        <v>124</v>
      </c>
      <c r="C63" s="32">
        <v>41.5</v>
      </c>
      <c r="D63" s="32">
        <v>56</v>
      </c>
      <c r="E63" s="35" t="s">
        <v>113</v>
      </c>
      <c r="F63" s="320"/>
      <c r="G63" s="35" t="s">
        <v>414</v>
      </c>
      <c r="H63" s="35" t="s">
        <v>295</v>
      </c>
      <c r="I63" s="35">
        <v>4.2</v>
      </c>
      <c r="J63" s="36">
        <v>4.0307101727447199</v>
      </c>
      <c r="K63" s="64">
        <v>10862</v>
      </c>
      <c r="L63" s="35">
        <v>161</v>
      </c>
      <c r="M63" s="35">
        <v>91</v>
      </c>
      <c r="N63" s="35">
        <v>44</v>
      </c>
      <c r="O63" s="35">
        <v>15</v>
      </c>
    </row>
    <row r="64" spans="1:15" ht="14.4">
      <c r="A64" s="32">
        <v>111</v>
      </c>
      <c r="B64" s="32">
        <v>124</v>
      </c>
      <c r="C64" s="32">
        <v>41.5</v>
      </c>
      <c r="D64" s="32">
        <v>56</v>
      </c>
      <c r="E64" s="35" t="s">
        <v>113</v>
      </c>
      <c r="F64" s="321" t="s">
        <v>260</v>
      </c>
      <c r="G64" s="35" t="s">
        <v>313</v>
      </c>
      <c r="H64" s="35" t="s">
        <v>294</v>
      </c>
      <c r="I64" s="35">
        <v>4.2</v>
      </c>
      <c r="J64" s="36">
        <v>4.0307101727447199</v>
      </c>
      <c r="K64" s="64">
        <v>7079</v>
      </c>
      <c r="L64" s="35">
        <v>161</v>
      </c>
      <c r="M64" s="35">
        <v>91</v>
      </c>
      <c r="N64" s="35">
        <v>44</v>
      </c>
      <c r="O64" s="35">
        <v>15</v>
      </c>
    </row>
    <row r="65" spans="1:15" ht="14.4">
      <c r="A65" s="32">
        <v>161</v>
      </c>
      <c r="B65" s="32">
        <v>91</v>
      </c>
      <c r="C65" s="32">
        <v>44</v>
      </c>
      <c r="D65" s="32">
        <v>15</v>
      </c>
      <c r="E65" s="35" t="s">
        <v>113</v>
      </c>
      <c r="F65" s="320"/>
      <c r="G65" s="35" t="s">
        <v>313</v>
      </c>
      <c r="H65" s="35" t="s">
        <v>295</v>
      </c>
      <c r="I65" s="35">
        <v>4.2</v>
      </c>
      <c r="J65" s="36">
        <v>4.0307101727447199</v>
      </c>
      <c r="K65" s="64">
        <v>6889</v>
      </c>
      <c r="L65" s="35">
        <v>161</v>
      </c>
      <c r="M65" s="35">
        <v>91</v>
      </c>
      <c r="N65" s="35">
        <v>44</v>
      </c>
      <c r="O65" s="35">
        <v>15</v>
      </c>
    </row>
    <row r="66" spans="1:15" ht="14.4">
      <c r="A66" s="32">
        <v>161</v>
      </c>
      <c r="B66" s="32">
        <v>91</v>
      </c>
      <c r="C66" s="32">
        <v>44</v>
      </c>
      <c r="D66" s="32">
        <v>15</v>
      </c>
      <c r="E66" s="35" t="s">
        <v>113</v>
      </c>
      <c r="F66" s="321" t="s">
        <v>261</v>
      </c>
      <c r="G66" s="35" t="s">
        <v>325</v>
      </c>
      <c r="H66" s="35" t="s">
        <v>294</v>
      </c>
      <c r="I66" s="35">
        <v>4.2</v>
      </c>
      <c r="J66" s="36">
        <v>4.0307101727447199</v>
      </c>
      <c r="K66" s="64">
        <v>6562</v>
      </c>
      <c r="L66" s="35">
        <v>161</v>
      </c>
      <c r="M66" s="35">
        <v>91</v>
      </c>
      <c r="N66" s="35">
        <v>44</v>
      </c>
      <c r="O66" s="35">
        <v>15</v>
      </c>
    </row>
    <row r="67" spans="1:15" ht="14.4">
      <c r="A67" s="32">
        <v>161</v>
      </c>
      <c r="B67" s="32">
        <v>91</v>
      </c>
      <c r="C67" s="32">
        <v>44</v>
      </c>
      <c r="D67" s="32">
        <v>15</v>
      </c>
      <c r="E67" s="35" t="s">
        <v>113</v>
      </c>
      <c r="F67" s="322"/>
      <c r="G67" s="35" t="s">
        <v>325</v>
      </c>
      <c r="H67" s="35" t="s">
        <v>295</v>
      </c>
      <c r="I67" s="35">
        <v>4.2</v>
      </c>
      <c r="J67" s="36">
        <v>4.0307101727447199</v>
      </c>
      <c r="K67" s="64">
        <v>6238</v>
      </c>
      <c r="L67" s="35">
        <v>161</v>
      </c>
      <c r="M67" s="35">
        <v>91</v>
      </c>
      <c r="N67" s="35">
        <v>44</v>
      </c>
      <c r="O67" s="35">
        <v>15</v>
      </c>
    </row>
    <row r="68" spans="1:15" ht="14.4">
      <c r="A68" s="32">
        <v>161</v>
      </c>
      <c r="B68" s="32">
        <v>91</v>
      </c>
      <c r="C68" s="32">
        <v>44</v>
      </c>
      <c r="D68" s="32">
        <v>15</v>
      </c>
      <c r="E68" s="35" t="s">
        <v>113</v>
      </c>
      <c r="F68" s="322"/>
      <c r="G68" s="35" t="s">
        <v>417</v>
      </c>
      <c r="H68" s="35" t="s">
        <v>294</v>
      </c>
      <c r="I68" s="35">
        <v>4.2</v>
      </c>
      <c r="J68" s="36">
        <v>4.0307101727447199</v>
      </c>
      <c r="K68" s="64">
        <v>9692</v>
      </c>
      <c r="L68" s="35">
        <v>258</v>
      </c>
      <c r="M68" s="35">
        <v>72</v>
      </c>
      <c r="N68" s="35">
        <v>47.6</v>
      </c>
      <c r="O68" s="35">
        <v>8.1999999999999993</v>
      </c>
    </row>
    <row r="69" spans="1:15" ht="14.4">
      <c r="A69" s="32">
        <v>161</v>
      </c>
      <c r="B69" s="32">
        <v>91</v>
      </c>
      <c r="C69" s="32">
        <v>44</v>
      </c>
      <c r="D69" s="32">
        <v>15</v>
      </c>
      <c r="E69" s="35" t="s">
        <v>113</v>
      </c>
      <c r="F69" s="320"/>
      <c r="G69" s="35" t="s">
        <v>417</v>
      </c>
      <c r="H69" s="35" t="s">
        <v>295</v>
      </c>
      <c r="I69" s="35">
        <v>4.2</v>
      </c>
      <c r="J69" s="36">
        <v>4.0307101727447199</v>
      </c>
      <c r="K69" s="64">
        <v>8974</v>
      </c>
      <c r="L69" s="35">
        <v>258</v>
      </c>
      <c r="M69" s="35">
        <v>72</v>
      </c>
      <c r="N69" s="35">
        <v>47.6</v>
      </c>
      <c r="O69" s="35">
        <v>8.1999999999999993</v>
      </c>
    </row>
    <row r="70" spans="1:15" ht="14.4">
      <c r="A70" s="32">
        <v>161</v>
      </c>
      <c r="B70" s="32">
        <v>91</v>
      </c>
      <c r="C70" s="32">
        <v>44</v>
      </c>
      <c r="D70" s="32">
        <v>15</v>
      </c>
      <c r="E70" s="35" t="s">
        <v>114</v>
      </c>
      <c r="F70" s="321" t="s">
        <v>218</v>
      </c>
      <c r="G70" s="35" t="s">
        <v>314</v>
      </c>
      <c r="H70" s="35" t="s">
        <v>294</v>
      </c>
      <c r="I70" s="35">
        <v>5.2</v>
      </c>
      <c r="J70" s="36">
        <v>4.9429657794676798</v>
      </c>
      <c r="K70" s="64">
        <v>7159</v>
      </c>
      <c r="L70" s="35">
        <v>258</v>
      </c>
      <c r="M70" s="35">
        <v>72</v>
      </c>
      <c r="N70" s="35">
        <v>47.6</v>
      </c>
      <c r="O70" s="35">
        <v>8.1999999999999993</v>
      </c>
    </row>
    <row r="71" spans="1:15" ht="14.4">
      <c r="A71" s="32">
        <v>161</v>
      </c>
      <c r="B71" s="32">
        <v>91</v>
      </c>
      <c r="C71" s="32">
        <v>44</v>
      </c>
      <c r="D71" s="32">
        <v>15</v>
      </c>
      <c r="E71" s="35" t="s">
        <v>114</v>
      </c>
      <c r="F71" s="322"/>
      <c r="G71" s="35" t="s">
        <v>314</v>
      </c>
      <c r="H71" s="35" t="s">
        <v>295</v>
      </c>
      <c r="I71" s="35">
        <v>5.2</v>
      </c>
      <c r="J71" s="36">
        <v>4.9429657794676798</v>
      </c>
      <c r="K71" s="64">
        <v>5000</v>
      </c>
      <c r="L71" s="35">
        <v>258</v>
      </c>
      <c r="M71" s="35">
        <v>72</v>
      </c>
      <c r="N71" s="35">
        <v>47.6</v>
      </c>
      <c r="O71" s="35">
        <v>8.1999999999999993</v>
      </c>
    </row>
    <row r="72" spans="1:15" ht="14.4">
      <c r="A72" s="32">
        <v>161</v>
      </c>
      <c r="B72" s="32">
        <v>91</v>
      </c>
      <c r="C72" s="32">
        <v>44</v>
      </c>
      <c r="D72" s="32">
        <v>15</v>
      </c>
      <c r="E72" s="35" t="s">
        <v>114</v>
      </c>
      <c r="F72" s="322"/>
      <c r="G72" s="35" t="s">
        <v>324</v>
      </c>
      <c r="H72" s="35" t="s">
        <v>294</v>
      </c>
      <c r="I72" s="35">
        <v>5.2</v>
      </c>
      <c r="J72" s="36">
        <v>4.9429657794676798</v>
      </c>
      <c r="K72" s="64">
        <v>6848</v>
      </c>
      <c r="L72" s="35">
        <v>161</v>
      </c>
      <c r="M72" s="35">
        <v>91</v>
      </c>
      <c r="N72" s="35">
        <v>44</v>
      </c>
      <c r="O72" s="35">
        <v>15</v>
      </c>
    </row>
    <row r="73" spans="1:15" ht="14.4">
      <c r="A73" s="32">
        <v>161</v>
      </c>
      <c r="B73" s="32">
        <v>91</v>
      </c>
      <c r="C73" s="32">
        <v>44</v>
      </c>
      <c r="D73" s="32">
        <v>15</v>
      </c>
      <c r="E73" s="35" t="s">
        <v>114</v>
      </c>
      <c r="F73" s="320"/>
      <c r="G73" s="35" t="s">
        <v>324</v>
      </c>
      <c r="H73" s="35" t="s">
        <v>295</v>
      </c>
      <c r="I73" s="35">
        <v>5.2</v>
      </c>
      <c r="J73" s="36">
        <v>4.9429657794676798</v>
      </c>
      <c r="K73" s="64">
        <v>5676</v>
      </c>
      <c r="L73" s="35">
        <v>161</v>
      </c>
      <c r="M73" s="35">
        <v>91</v>
      </c>
      <c r="N73" s="35">
        <v>44</v>
      </c>
      <c r="O73" s="35">
        <v>15</v>
      </c>
    </row>
    <row r="74" spans="1:15" ht="14.4">
      <c r="A74" s="32">
        <v>161</v>
      </c>
      <c r="B74" s="32">
        <v>91</v>
      </c>
      <c r="C74" s="32">
        <v>44</v>
      </c>
      <c r="D74" s="32">
        <v>15</v>
      </c>
      <c r="E74" s="35" t="s">
        <v>118</v>
      </c>
      <c r="F74" s="321" t="s">
        <v>218</v>
      </c>
      <c r="G74" s="35" t="s">
        <v>314</v>
      </c>
      <c r="H74" s="35" t="s">
        <v>294</v>
      </c>
      <c r="I74" s="35">
        <v>5.5</v>
      </c>
      <c r="J74" s="36">
        <v>5.2132701421800904</v>
      </c>
      <c r="K74" s="64">
        <v>9692.3076923076696</v>
      </c>
      <c r="L74" s="35">
        <v>258</v>
      </c>
      <c r="M74" s="35">
        <v>72</v>
      </c>
      <c r="N74" s="35">
        <v>47.6</v>
      </c>
      <c r="O74" s="35">
        <v>8.1999999999999993</v>
      </c>
    </row>
    <row r="75" spans="1:15" ht="14.4">
      <c r="A75" s="32">
        <v>161</v>
      </c>
      <c r="B75" s="32">
        <v>91</v>
      </c>
      <c r="C75" s="32">
        <v>44</v>
      </c>
      <c r="D75" s="32">
        <v>15</v>
      </c>
      <c r="E75" s="35" t="s">
        <v>118</v>
      </c>
      <c r="F75" s="322"/>
      <c r="G75" s="35" t="s">
        <v>314</v>
      </c>
      <c r="H75" s="35" t="s">
        <v>295</v>
      </c>
      <c r="I75" s="35">
        <v>5.5</v>
      </c>
      <c r="J75" s="36">
        <v>5.2132701421800904</v>
      </c>
      <c r="K75" s="64">
        <v>8962.2999999999993</v>
      </c>
      <c r="L75" s="35">
        <v>258</v>
      </c>
      <c r="M75" s="35">
        <v>72</v>
      </c>
      <c r="N75" s="35">
        <v>47.6</v>
      </c>
      <c r="O75" s="35">
        <v>8.1999999999999993</v>
      </c>
    </row>
    <row r="76" spans="1:15" ht="14.4">
      <c r="A76" s="32">
        <v>161</v>
      </c>
      <c r="B76" s="32">
        <v>91</v>
      </c>
      <c r="C76" s="32">
        <v>44</v>
      </c>
      <c r="D76" s="32">
        <v>15</v>
      </c>
      <c r="E76" s="35" t="s">
        <v>118</v>
      </c>
      <c r="F76" s="322"/>
      <c r="G76" s="35" t="s">
        <v>332</v>
      </c>
      <c r="H76" s="35" t="s">
        <v>294</v>
      </c>
      <c r="I76" s="35">
        <v>5.5</v>
      </c>
      <c r="J76" s="36">
        <v>5.2132701421800904</v>
      </c>
      <c r="K76" s="64">
        <v>8076.9230769230699</v>
      </c>
      <c r="L76" s="35">
        <v>144</v>
      </c>
      <c r="M76" s="35">
        <v>107.8</v>
      </c>
      <c r="N76" s="35">
        <v>43.95</v>
      </c>
      <c r="O76" s="35">
        <v>60.3</v>
      </c>
    </row>
    <row r="77" spans="1:15" ht="14.4">
      <c r="A77" s="32">
        <v>161</v>
      </c>
      <c r="B77" s="32">
        <v>91</v>
      </c>
      <c r="C77" s="32">
        <v>44</v>
      </c>
      <c r="D77" s="32">
        <v>15</v>
      </c>
      <c r="E77" s="35" t="s">
        <v>118</v>
      </c>
      <c r="F77" s="322"/>
      <c r="G77" s="35" t="s">
        <v>332</v>
      </c>
      <c r="H77" s="35" t="s">
        <v>295</v>
      </c>
      <c r="I77" s="35">
        <v>5.5</v>
      </c>
      <c r="J77" s="36">
        <v>5.2132701421800904</v>
      </c>
      <c r="K77" s="64">
        <v>6999.99999999999</v>
      </c>
      <c r="L77" s="35">
        <v>144</v>
      </c>
      <c r="M77" s="35">
        <v>107.8</v>
      </c>
      <c r="N77" s="35">
        <v>43.95</v>
      </c>
      <c r="O77" s="35">
        <v>60.3</v>
      </c>
    </row>
    <row r="78" spans="1:15" ht="14.4">
      <c r="A78" s="32">
        <v>161</v>
      </c>
      <c r="B78" s="32">
        <v>91</v>
      </c>
      <c r="C78" s="32">
        <v>44</v>
      </c>
      <c r="D78" s="32">
        <v>15</v>
      </c>
      <c r="E78" s="35" t="s">
        <v>118</v>
      </c>
      <c r="F78" s="322"/>
      <c r="G78" s="35" t="s">
        <v>333</v>
      </c>
      <c r="H78" s="35" t="s">
        <v>294</v>
      </c>
      <c r="I78" s="35">
        <v>5.5</v>
      </c>
      <c r="J78" s="36">
        <v>5.2132701421800904</v>
      </c>
      <c r="K78" s="64">
        <v>8181.8181818181902</v>
      </c>
      <c r="L78" s="35">
        <v>144</v>
      </c>
      <c r="M78" s="35">
        <v>107.8</v>
      </c>
      <c r="N78" s="35">
        <v>43.95</v>
      </c>
      <c r="O78" s="35">
        <v>60.3</v>
      </c>
    </row>
    <row r="79" spans="1:15" ht="14.4">
      <c r="A79" s="32">
        <v>161</v>
      </c>
      <c r="B79" s="32">
        <v>91</v>
      </c>
      <c r="C79" s="32">
        <v>44</v>
      </c>
      <c r="D79" s="32">
        <v>15</v>
      </c>
      <c r="E79" s="35" t="s">
        <v>118</v>
      </c>
      <c r="F79" s="320"/>
      <c r="G79" s="35" t="s">
        <v>333</v>
      </c>
      <c r="H79" s="35" t="s">
        <v>295</v>
      </c>
      <c r="I79" s="35">
        <v>5.5</v>
      </c>
      <c r="J79" s="36">
        <v>5.2132701421800904</v>
      </c>
      <c r="K79" s="64">
        <v>6300</v>
      </c>
      <c r="L79" s="35">
        <v>144</v>
      </c>
      <c r="M79" s="35">
        <v>107.8</v>
      </c>
      <c r="N79" s="35">
        <v>43.95</v>
      </c>
      <c r="O79" s="35">
        <v>60.3</v>
      </c>
    </row>
    <row r="80" spans="1:15" ht="14.4">
      <c r="A80" s="32">
        <v>161</v>
      </c>
      <c r="B80" s="32">
        <v>91</v>
      </c>
      <c r="C80" s="32">
        <v>44</v>
      </c>
      <c r="D80" s="32">
        <v>15</v>
      </c>
      <c r="E80" s="35" t="s">
        <v>119</v>
      </c>
      <c r="F80" s="321" t="s">
        <v>245</v>
      </c>
      <c r="G80" s="35" t="s">
        <v>324</v>
      </c>
      <c r="H80" s="35" t="s">
        <v>294</v>
      </c>
      <c r="I80" s="35">
        <v>4.2</v>
      </c>
      <c r="J80" s="36">
        <v>4.0307101727447199</v>
      </c>
      <c r="K80" s="64">
        <v>3728</v>
      </c>
      <c r="L80" s="35">
        <v>161</v>
      </c>
      <c r="M80" s="35">
        <v>91</v>
      </c>
      <c r="N80" s="35">
        <v>44</v>
      </c>
      <c r="O80" s="35">
        <v>15</v>
      </c>
    </row>
    <row r="81" spans="1:15" ht="14.4">
      <c r="A81" s="32">
        <v>161</v>
      </c>
      <c r="B81" s="32">
        <v>91</v>
      </c>
      <c r="C81" s="32">
        <v>44</v>
      </c>
      <c r="D81" s="32">
        <v>15</v>
      </c>
      <c r="E81" s="35" t="s">
        <v>119</v>
      </c>
      <c r="F81" s="320"/>
      <c r="G81" s="35" t="s">
        <v>324</v>
      </c>
      <c r="H81" s="35" t="s">
        <v>295</v>
      </c>
      <c r="I81" s="35">
        <v>4.2</v>
      </c>
      <c r="J81" s="36">
        <v>4.0307101727447199</v>
      </c>
      <c r="K81" s="64">
        <v>5077</v>
      </c>
      <c r="L81" s="35">
        <v>161</v>
      </c>
      <c r="M81" s="35">
        <v>91</v>
      </c>
      <c r="N81" s="35">
        <v>44</v>
      </c>
      <c r="O81" s="35">
        <v>15</v>
      </c>
    </row>
    <row r="82" spans="1:15" ht="14.4">
      <c r="A82" s="32">
        <v>161</v>
      </c>
      <c r="B82" s="32">
        <v>91</v>
      </c>
      <c r="C82" s="32">
        <v>44</v>
      </c>
      <c r="D82" s="32">
        <v>15</v>
      </c>
      <c r="E82" s="69" t="s">
        <v>123</v>
      </c>
      <c r="F82" s="323" t="s">
        <v>218</v>
      </c>
      <c r="G82" s="70" t="s">
        <v>304</v>
      </c>
      <c r="H82" s="70" t="s">
        <v>423</v>
      </c>
      <c r="I82" s="70">
        <v>4.8</v>
      </c>
      <c r="J82" s="71">
        <v>4.58</v>
      </c>
      <c r="K82" s="72">
        <v>4257</v>
      </c>
      <c r="L82" s="35">
        <v>144</v>
      </c>
      <c r="M82" s="35">
        <v>107.8</v>
      </c>
      <c r="N82" s="35">
        <v>43.95</v>
      </c>
      <c r="O82" s="35">
        <v>60.3</v>
      </c>
    </row>
    <row r="83" spans="1:15" ht="14.4">
      <c r="A83" s="32">
        <v>161</v>
      </c>
      <c r="B83" s="32">
        <v>91</v>
      </c>
      <c r="C83" s="32">
        <v>44</v>
      </c>
      <c r="D83" s="32">
        <v>15</v>
      </c>
      <c r="E83" s="73" t="s">
        <v>123</v>
      </c>
      <c r="F83" s="318"/>
      <c r="G83" s="74" t="s">
        <v>304</v>
      </c>
      <c r="H83" s="74" t="s">
        <v>424</v>
      </c>
      <c r="I83" s="74">
        <v>4.8</v>
      </c>
      <c r="J83" s="75">
        <v>4.58</v>
      </c>
      <c r="K83" s="76">
        <v>5389</v>
      </c>
      <c r="L83" s="35">
        <v>144</v>
      </c>
      <c r="M83" s="35">
        <v>107.8</v>
      </c>
      <c r="N83" s="35">
        <v>43.95</v>
      </c>
      <c r="O83" s="35">
        <v>60.3</v>
      </c>
    </row>
    <row r="84" spans="1:15" ht="14.4">
      <c r="A84" s="32">
        <v>161</v>
      </c>
      <c r="B84" s="32">
        <v>91</v>
      </c>
      <c r="C84" s="32">
        <v>44</v>
      </c>
      <c r="D84" s="32">
        <v>15</v>
      </c>
      <c r="E84" s="73" t="s">
        <v>124</v>
      </c>
      <c r="F84" s="317" t="s">
        <v>254</v>
      </c>
      <c r="G84" s="74" t="s">
        <v>306</v>
      </c>
      <c r="H84" s="74" t="s">
        <v>423</v>
      </c>
      <c r="I84" s="74">
        <v>4.5999999999999996</v>
      </c>
      <c r="J84" s="75">
        <v>4.4000000000000004</v>
      </c>
      <c r="K84" s="76">
        <v>8077</v>
      </c>
      <c r="L84" s="35">
        <v>161</v>
      </c>
      <c r="M84" s="35">
        <v>91</v>
      </c>
      <c r="N84" s="35">
        <v>44</v>
      </c>
      <c r="O84" s="35">
        <v>15</v>
      </c>
    </row>
    <row r="85" spans="1:15" ht="14.4">
      <c r="A85" s="32">
        <v>161</v>
      </c>
      <c r="B85" s="32">
        <v>91</v>
      </c>
      <c r="C85" s="32">
        <v>44</v>
      </c>
      <c r="D85" s="32">
        <v>15</v>
      </c>
      <c r="E85" s="73" t="s">
        <v>124</v>
      </c>
      <c r="F85" s="317"/>
      <c r="G85" s="74" t="s">
        <v>306</v>
      </c>
      <c r="H85" s="74" t="s">
        <v>424</v>
      </c>
      <c r="I85" s="74">
        <v>4.5999999999999996</v>
      </c>
      <c r="J85" s="75">
        <v>4.4000000000000004</v>
      </c>
      <c r="K85" s="76">
        <v>6621</v>
      </c>
      <c r="L85" s="35">
        <v>161</v>
      </c>
      <c r="M85" s="35">
        <v>91</v>
      </c>
      <c r="N85" s="35">
        <v>44</v>
      </c>
      <c r="O85" s="35">
        <v>15</v>
      </c>
    </row>
    <row r="86" spans="1:15" ht="14.4">
      <c r="A86" s="32">
        <v>161</v>
      </c>
      <c r="B86" s="32">
        <v>91</v>
      </c>
      <c r="C86" s="32">
        <v>44</v>
      </c>
      <c r="D86" s="32">
        <v>15</v>
      </c>
      <c r="E86" s="73" t="s">
        <v>124</v>
      </c>
      <c r="F86" s="317"/>
      <c r="G86" s="74" t="s">
        <v>334</v>
      </c>
      <c r="H86" s="74" t="s">
        <v>423</v>
      </c>
      <c r="I86" s="74">
        <v>4.5999999999999996</v>
      </c>
      <c r="J86" s="75">
        <v>4.4000000000000004</v>
      </c>
      <c r="K86" s="76">
        <v>4118</v>
      </c>
      <c r="L86" s="35">
        <v>258</v>
      </c>
      <c r="M86" s="35">
        <v>72</v>
      </c>
      <c r="N86" s="35">
        <v>47.6</v>
      </c>
      <c r="O86" s="35">
        <v>8.1999999999999993</v>
      </c>
    </row>
    <row r="87" spans="1:15" ht="14.4">
      <c r="A87" s="32">
        <v>161</v>
      </c>
      <c r="B87" s="32">
        <v>91</v>
      </c>
      <c r="C87" s="32">
        <v>44</v>
      </c>
      <c r="D87" s="32">
        <v>15</v>
      </c>
      <c r="E87" s="73" t="s">
        <v>124</v>
      </c>
      <c r="F87" s="318"/>
      <c r="G87" s="74" t="s">
        <v>334</v>
      </c>
      <c r="H87" s="74" t="s">
        <v>424</v>
      </c>
      <c r="I87" s="74">
        <v>4.5999999999999996</v>
      </c>
      <c r="J87" s="75">
        <v>4.4000000000000004</v>
      </c>
      <c r="K87" s="76">
        <v>5575</v>
      </c>
      <c r="L87" s="35">
        <v>258</v>
      </c>
      <c r="M87" s="35">
        <v>72</v>
      </c>
      <c r="N87" s="35">
        <v>47.6</v>
      </c>
      <c r="O87" s="35">
        <v>8.1999999999999993</v>
      </c>
    </row>
    <row r="88" spans="1:15" ht="14.4">
      <c r="A88" s="32">
        <v>161</v>
      </c>
      <c r="B88" s="32">
        <v>91</v>
      </c>
      <c r="C88" s="32">
        <v>44</v>
      </c>
      <c r="D88" s="32">
        <v>15</v>
      </c>
      <c r="E88" s="73" t="s">
        <v>124</v>
      </c>
      <c r="F88" s="317" t="s">
        <v>255</v>
      </c>
      <c r="G88" s="74" t="s">
        <v>330</v>
      </c>
      <c r="H88" s="74" t="s">
        <v>423</v>
      </c>
      <c r="I88" s="74">
        <v>4.5999999999999996</v>
      </c>
      <c r="J88" s="75">
        <v>4.4000000000000004</v>
      </c>
      <c r="K88" s="76">
        <v>6238</v>
      </c>
      <c r="L88" s="35">
        <v>111</v>
      </c>
      <c r="M88" s="35">
        <v>124</v>
      </c>
      <c r="N88" s="35">
        <v>41.5</v>
      </c>
      <c r="O88" s="35">
        <v>56</v>
      </c>
    </row>
    <row r="89" spans="1:15" ht="14.4">
      <c r="A89" s="32">
        <v>161</v>
      </c>
      <c r="B89" s="32">
        <v>91</v>
      </c>
      <c r="C89" s="32">
        <v>44</v>
      </c>
      <c r="D89" s="32">
        <v>15</v>
      </c>
      <c r="E89" s="73" t="s">
        <v>124</v>
      </c>
      <c r="F89" s="317"/>
      <c r="G89" s="74" t="s">
        <v>330</v>
      </c>
      <c r="H89" s="74" t="s">
        <v>424</v>
      </c>
      <c r="I89" s="74">
        <v>4.5999999999999996</v>
      </c>
      <c r="J89" s="75">
        <v>4.4000000000000004</v>
      </c>
      <c r="K89" s="76">
        <v>6058</v>
      </c>
      <c r="L89" s="35">
        <v>111</v>
      </c>
      <c r="M89" s="35">
        <v>124</v>
      </c>
      <c r="N89" s="35">
        <v>41.5</v>
      </c>
      <c r="O89" s="35">
        <v>56</v>
      </c>
    </row>
    <row r="90" spans="1:15" ht="14.4">
      <c r="A90" s="32">
        <v>161</v>
      </c>
      <c r="B90" s="32">
        <v>91</v>
      </c>
      <c r="C90" s="32">
        <v>44</v>
      </c>
      <c r="D90" s="32">
        <v>15</v>
      </c>
      <c r="E90" s="73" t="s">
        <v>124</v>
      </c>
      <c r="F90" s="317"/>
      <c r="G90" s="74" t="s">
        <v>335</v>
      </c>
      <c r="H90" s="74" t="s">
        <v>423</v>
      </c>
      <c r="I90" s="74">
        <v>4.5999999999999996</v>
      </c>
      <c r="J90" s="75">
        <v>4.4000000000000004</v>
      </c>
      <c r="K90" s="76">
        <v>5207</v>
      </c>
      <c r="L90" s="35">
        <v>258</v>
      </c>
      <c r="M90" s="35">
        <v>72</v>
      </c>
      <c r="N90" s="35">
        <v>47.6</v>
      </c>
      <c r="O90" s="35">
        <v>8.1999999999999993</v>
      </c>
    </row>
    <row r="91" spans="1:15" ht="14.4">
      <c r="A91" s="32">
        <v>161</v>
      </c>
      <c r="B91" s="32">
        <v>91</v>
      </c>
      <c r="C91" s="32">
        <v>44</v>
      </c>
      <c r="D91" s="32">
        <v>15</v>
      </c>
      <c r="E91" s="73" t="s">
        <v>124</v>
      </c>
      <c r="F91" s="318"/>
      <c r="G91" s="74" t="s">
        <v>335</v>
      </c>
      <c r="H91" s="74" t="s">
        <v>424</v>
      </c>
      <c r="I91" s="74">
        <v>4.5999999999999996</v>
      </c>
      <c r="J91" s="75">
        <v>4.4000000000000004</v>
      </c>
      <c r="K91" s="76">
        <v>4961</v>
      </c>
      <c r="L91" s="35">
        <v>258</v>
      </c>
      <c r="M91" s="35">
        <v>72</v>
      </c>
      <c r="N91" s="35">
        <v>47.6</v>
      </c>
      <c r="O91" s="35">
        <v>8.1999999999999993</v>
      </c>
    </row>
    <row r="92" spans="1:15">
      <c r="A92" s="32">
        <v>161</v>
      </c>
      <c r="B92" s="32">
        <v>91</v>
      </c>
      <c r="C92" s="32">
        <v>44</v>
      </c>
      <c r="D92" s="32">
        <v>15</v>
      </c>
      <c r="E92" s="35" t="s">
        <v>126</v>
      </c>
      <c r="F92" s="319" t="s">
        <v>218</v>
      </c>
      <c r="G92" s="35" t="s">
        <v>324</v>
      </c>
      <c r="H92" s="35" t="s">
        <v>307</v>
      </c>
      <c r="I92" s="35">
        <v>4.5999999999999996</v>
      </c>
      <c r="J92" s="36">
        <v>4.3977055449330802</v>
      </c>
      <c r="K92" s="64">
        <v>8400</v>
      </c>
    </row>
    <row r="93" spans="1:15">
      <c r="A93" s="32">
        <v>161</v>
      </c>
      <c r="B93" s="32">
        <v>91</v>
      </c>
      <c r="C93" s="32">
        <v>44</v>
      </c>
      <c r="D93" s="32">
        <v>15</v>
      </c>
      <c r="E93" s="35" t="s">
        <v>126</v>
      </c>
      <c r="F93" s="320"/>
      <c r="G93" s="35" t="s">
        <v>324</v>
      </c>
      <c r="H93" s="35" t="s">
        <v>308</v>
      </c>
      <c r="I93" s="35">
        <v>4.5999999999999996</v>
      </c>
      <c r="J93" s="36">
        <v>4.3977055449330802</v>
      </c>
      <c r="K93" s="64">
        <v>8298</v>
      </c>
    </row>
    <row r="94" spans="1:15">
      <c r="A94" s="32">
        <v>161</v>
      </c>
      <c r="B94" s="32">
        <v>91</v>
      </c>
      <c r="C94" s="32">
        <v>44</v>
      </c>
      <c r="D94" s="32">
        <v>15</v>
      </c>
      <c r="E94" s="35" t="s">
        <v>129</v>
      </c>
      <c r="F94" s="77" t="s">
        <v>254</v>
      </c>
      <c r="G94" s="35" t="s">
        <v>306</v>
      </c>
      <c r="H94" s="35" t="s">
        <v>306</v>
      </c>
      <c r="I94" s="35">
        <v>4.5999999999999996</v>
      </c>
      <c r="J94" s="36">
        <v>4.3977055449330802</v>
      </c>
      <c r="K94" s="35">
        <v>6748</v>
      </c>
    </row>
    <row r="95" spans="1:15">
      <c r="A95" s="32">
        <v>161</v>
      </c>
      <c r="B95" s="32">
        <v>91</v>
      </c>
      <c r="C95" s="32">
        <v>44</v>
      </c>
      <c r="D95" s="32">
        <v>15</v>
      </c>
      <c r="E95" s="35" t="s">
        <v>129</v>
      </c>
      <c r="F95" s="77" t="s">
        <v>255</v>
      </c>
      <c r="G95" s="35" t="s">
        <v>312</v>
      </c>
      <c r="H95" s="35" t="s">
        <v>312</v>
      </c>
      <c r="I95" s="35">
        <v>4.8</v>
      </c>
      <c r="J95" s="36">
        <v>4.5801526717557302</v>
      </c>
      <c r="K95" s="35">
        <v>7762</v>
      </c>
    </row>
    <row r="96" spans="1:15">
      <c r="A96" s="32">
        <v>161</v>
      </c>
      <c r="B96" s="32">
        <v>91</v>
      </c>
      <c r="C96" s="32">
        <v>44</v>
      </c>
      <c r="D96" s="32">
        <v>15</v>
      </c>
      <c r="E96" s="35" t="s">
        <v>134</v>
      </c>
      <c r="F96" s="35" t="s">
        <v>218</v>
      </c>
      <c r="G96" s="35" t="s">
        <v>305</v>
      </c>
      <c r="H96" s="35" t="s">
        <v>307</v>
      </c>
      <c r="I96" s="35">
        <v>4.8</v>
      </c>
      <c r="J96" s="36">
        <v>4.5801526717557302</v>
      </c>
      <c r="K96" s="64">
        <v>5040</v>
      </c>
    </row>
    <row r="97" spans="1:11">
      <c r="A97" s="32">
        <v>161</v>
      </c>
      <c r="B97" s="32">
        <v>91</v>
      </c>
      <c r="C97" s="32">
        <v>44</v>
      </c>
      <c r="D97" s="32">
        <v>15</v>
      </c>
      <c r="E97" s="35" t="s">
        <v>134</v>
      </c>
      <c r="F97" s="35" t="s">
        <v>218</v>
      </c>
      <c r="G97" s="35" t="s">
        <v>305</v>
      </c>
      <c r="H97" s="35" t="s">
        <v>308</v>
      </c>
      <c r="I97" s="35">
        <v>4.8</v>
      </c>
      <c r="J97" s="36">
        <v>4.5801526717557302</v>
      </c>
      <c r="K97" s="64">
        <v>4772</v>
      </c>
    </row>
    <row r="98" spans="1:11">
      <c r="A98" s="32">
        <v>258</v>
      </c>
      <c r="B98" s="32">
        <v>72</v>
      </c>
      <c r="C98" s="32">
        <v>47.6</v>
      </c>
      <c r="D98" s="32">
        <v>8.1999999999999993</v>
      </c>
      <c r="E98" s="35" t="s">
        <v>134</v>
      </c>
      <c r="F98" s="35" t="s">
        <v>218</v>
      </c>
      <c r="G98" s="35" t="s">
        <v>305</v>
      </c>
      <c r="H98" s="35" t="s">
        <v>309</v>
      </c>
      <c r="I98" s="35">
        <v>4.8</v>
      </c>
      <c r="J98" s="36">
        <v>4.5801526717557302</v>
      </c>
      <c r="K98" s="64">
        <v>4906</v>
      </c>
    </row>
    <row r="99" spans="1:11" ht="14.4">
      <c r="A99" s="32">
        <v>258</v>
      </c>
      <c r="B99" s="32">
        <v>72</v>
      </c>
      <c r="C99" s="32">
        <v>47.6</v>
      </c>
      <c r="D99" s="32">
        <v>8.1999999999999993</v>
      </c>
      <c r="E99" s="35" t="s">
        <v>135</v>
      </c>
      <c r="F99" s="35" t="s">
        <v>254</v>
      </c>
      <c r="G99" s="35" t="s">
        <v>336</v>
      </c>
      <c r="H99" s="35" t="s">
        <v>307</v>
      </c>
      <c r="I99" s="35">
        <v>4.8</v>
      </c>
      <c r="J99" s="36">
        <v>4.5801526717557302</v>
      </c>
      <c r="K99" s="64">
        <v>5289</v>
      </c>
    </row>
    <row r="100" spans="1:11" ht="14.4">
      <c r="A100" s="32">
        <v>258</v>
      </c>
      <c r="B100" s="32">
        <v>72</v>
      </c>
      <c r="C100" s="32">
        <v>47.6</v>
      </c>
      <c r="D100" s="32">
        <v>8.1999999999999993</v>
      </c>
      <c r="E100" s="35" t="s">
        <v>135</v>
      </c>
      <c r="F100" s="35" t="s">
        <v>254</v>
      </c>
      <c r="G100" s="35" t="s">
        <v>336</v>
      </c>
      <c r="H100" s="35" t="s">
        <v>308</v>
      </c>
      <c r="I100" s="35">
        <v>4.8</v>
      </c>
      <c r="J100" s="36">
        <v>4.5801526717557302</v>
      </c>
      <c r="K100" s="64">
        <v>5116</v>
      </c>
    </row>
    <row r="101" spans="1:11" ht="14.4">
      <c r="A101" s="32">
        <v>258</v>
      </c>
      <c r="B101" s="32">
        <v>72</v>
      </c>
      <c r="C101" s="32">
        <v>47.6</v>
      </c>
      <c r="D101" s="32">
        <v>8.1999999999999993</v>
      </c>
      <c r="E101" s="35" t="s">
        <v>135</v>
      </c>
      <c r="F101" s="35" t="s">
        <v>254</v>
      </c>
      <c r="G101" s="35" t="s">
        <v>336</v>
      </c>
      <c r="H101" s="35" t="s">
        <v>309</v>
      </c>
      <c r="I101" s="35">
        <v>4.8</v>
      </c>
      <c r="J101" s="36">
        <v>4.5801526717557302</v>
      </c>
      <c r="K101" s="64">
        <v>5202.5</v>
      </c>
    </row>
    <row r="102" spans="1:11" ht="14.4">
      <c r="A102" s="32">
        <v>258</v>
      </c>
      <c r="B102" s="32">
        <v>72</v>
      </c>
      <c r="C102" s="32">
        <v>47.6</v>
      </c>
      <c r="D102" s="32">
        <v>8.1999999999999993</v>
      </c>
      <c r="E102" s="35" t="s">
        <v>135</v>
      </c>
      <c r="F102" s="35" t="s">
        <v>255</v>
      </c>
      <c r="G102" s="35" t="s">
        <v>426</v>
      </c>
      <c r="H102" s="35" t="s">
        <v>307</v>
      </c>
      <c r="I102" s="35">
        <v>4.8</v>
      </c>
      <c r="J102" s="36">
        <v>4.5801526717557302</v>
      </c>
      <c r="K102" s="64">
        <v>5873</v>
      </c>
    </row>
    <row r="103" spans="1:11" ht="14.4">
      <c r="A103" s="32">
        <v>258</v>
      </c>
      <c r="B103" s="32">
        <v>72</v>
      </c>
      <c r="C103" s="32">
        <v>47.6</v>
      </c>
      <c r="D103" s="32">
        <v>8.1999999999999993</v>
      </c>
      <c r="E103" s="35" t="s">
        <v>135</v>
      </c>
      <c r="F103" s="35" t="s">
        <v>255</v>
      </c>
      <c r="G103" s="35" t="s">
        <v>426</v>
      </c>
      <c r="H103" s="35" t="s">
        <v>308</v>
      </c>
      <c r="I103" s="35">
        <v>4.8</v>
      </c>
      <c r="J103" s="36">
        <v>4.5801526717557302</v>
      </c>
      <c r="K103" s="64">
        <v>6215</v>
      </c>
    </row>
    <row r="104" spans="1:11" ht="14.4">
      <c r="A104" s="32">
        <v>258</v>
      </c>
      <c r="B104" s="32">
        <v>72</v>
      </c>
      <c r="C104" s="32">
        <v>47.6</v>
      </c>
      <c r="D104" s="32">
        <v>8.1999999999999993</v>
      </c>
      <c r="E104" s="35" t="s">
        <v>135</v>
      </c>
      <c r="F104" s="35" t="s">
        <v>255</v>
      </c>
      <c r="G104" s="35" t="s">
        <v>426</v>
      </c>
      <c r="H104" s="35" t="s">
        <v>309</v>
      </c>
      <c r="I104" s="35">
        <v>4.8</v>
      </c>
      <c r="J104" s="36">
        <v>4.5801526717557302</v>
      </c>
      <c r="K104" s="64">
        <v>6044</v>
      </c>
    </row>
    <row r="105" spans="1:11">
      <c r="A105" s="32">
        <v>161</v>
      </c>
      <c r="B105" s="32">
        <v>91</v>
      </c>
      <c r="C105" s="32">
        <v>44</v>
      </c>
      <c r="D105" s="32">
        <v>15</v>
      </c>
      <c r="E105" s="35" t="s">
        <v>135</v>
      </c>
      <c r="F105" s="35" t="s">
        <v>257</v>
      </c>
      <c r="G105" s="35" t="s">
        <v>344</v>
      </c>
      <c r="H105" s="35" t="s">
        <v>307</v>
      </c>
      <c r="I105" s="35">
        <v>4.8</v>
      </c>
      <c r="J105" s="36">
        <v>4.5801526717557302</v>
      </c>
      <c r="K105" s="64">
        <v>6045</v>
      </c>
    </row>
    <row r="106" spans="1:11">
      <c r="A106" s="32">
        <v>161</v>
      </c>
      <c r="B106" s="32">
        <v>91</v>
      </c>
      <c r="C106" s="32">
        <v>44</v>
      </c>
      <c r="D106" s="32">
        <v>15</v>
      </c>
      <c r="E106" s="35" t="s">
        <v>135</v>
      </c>
      <c r="F106" s="35" t="s">
        <v>257</v>
      </c>
      <c r="G106" s="35" t="s">
        <v>344</v>
      </c>
      <c r="H106" s="35" t="s">
        <v>308</v>
      </c>
      <c r="I106" s="35">
        <v>4.8</v>
      </c>
      <c r="J106" s="36">
        <v>4.5801526717557302</v>
      </c>
      <c r="K106" s="64">
        <v>6475</v>
      </c>
    </row>
    <row r="107" spans="1:11">
      <c r="A107" s="32">
        <v>161</v>
      </c>
      <c r="B107" s="32">
        <v>91</v>
      </c>
      <c r="C107" s="32">
        <v>44</v>
      </c>
      <c r="D107" s="32">
        <v>15</v>
      </c>
      <c r="E107" s="35" t="s">
        <v>135</v>
      </c>
      <c r="F107" s="35" t="s">
        <v>257</v>
      </c>
      <c r="G107" s="35" t="s">
        <v>344</v>
      </c>
      <c r="H107" s="35" t="s">
        <v>309</v>
      </c>
      <c r="I107" s="35">
        <v>4.8</v>
      </c>
      <c r="J107" s="36">
        <v>4.5801526717557302</v>
      </c>
      <c r="K107" s="64">
        <v>6260</v>
      </c>
    </row>
    <row r="108" spans="1:11">
      <c r="A108" s="32">
        <v>161</v>
      </c>
      <c r="B108" s="32">
        <v>91</v>
      </c>
      <c r="C108" s="32">
        <v>44</v>
      </c>
      <c r="D108" s="32">
        <v>15</v>
      </c>
      <c r="E108" s="35" t="s">
        <v>135</v>
      </c>
      <c r="F108" s="35" t="s">
        <v>266</v>
      </c>
      <c r="G108" s="35" t="s">
        <v>346</v>
      </c>
      <c r="H108" s="35" t="s">
        <v>307</v>
      </c>
      <c r="I108" s="35">
        <v>5.2</v>
      </c>
      <c r="J108" s="36">
        <v>4.9429657794676798</v>
      </c>
      <c r="K108" s="64">
        <v>5630</v>
      </c>
    </row>
    <row r="109" spans="1:11">
      <c r="A109" s="32">
        <v>161</v>
      </c>
      <c r="B109" s="32">
        <v>91</v>
      </c>
      <c r="C109" s="32">
        <v>44</v>
      </c>
      <c r="D109" s="32">
        <v>15</v>
      </c>
      <c r="E109" s="35" t="s">
        <v>135</v>
      </c>
      <c r="F109" s="35" t="s">
        <v>266</v>
      </c>
      <c r="G109" s="35" t="s">
        <v>346</v>
      </c>
      <c r="H109" s="35" t="s">
        <v>308</v>
      </c>
      <c r="I109" s="35">
        <v>5.2</v>
      </c>
      <c r="J109" s="36">
        <v>4.9429657794676798</v>
      </c>
      <c r="K109" s="64">
        <v>6050</v>
      </c>
    </row>
    <row r="110" spans="1:11">
      <c r="A110" s="32">
        <v>161</v>
      </c>
      <c r="B110" s="32">
        <v>91</v>
      </c>
      <c r="C110" s="32">
        <v>44</v>
      </c>
      <c r="D110" s="32">
        <v>15</v>
      </c>
      <c r="E110" s="35" t="s">
        <v>135</v>
      </c>
      <c r="F110" s="35" t="s">
        <v>266</v>
      </c>
      <c r="G110" s="35" t="s">
        <v>346</v>
      </c>
      <c r="H110" s="35" t="s">
        <v>309</v>
      </c>
      <c r="I110" s="35">
        <v>5.2</v>
      </c>
      <c r="J110" s="36">
        <v>4.9429657794676798</v>
      </c>
      <c r="K110" s="64">
        <v>5840</v>
      </c>
    </row>
    <row r="111" spans="1:11">
      <c r="A111" s="32">
        <v>161</v>
      </c>
      <c r="B111" s="32">
        <v>91</v>
      </c>
      <c r="C111" s="32">
        <v>44</v>
      </c>
      <c r="D111" s="32">
        <v>15</v>
      </c>
      <c r="E111" s="35" t="s">
        <v>135</v>
      </c>
      <c r="F111" s="35" t="s">
        <v>267</v>
      </c>
      <c r="G111" s="35" t="s">
        <v>347</v>
      </c>
      <c r="H111" s="35" t="s">
        <v>307</v>
      </c>
      <c r="I111" s="35">
        <v>5.2</v>
      </c>
      <c r="J111" s="36">
        <v>4.9429657794676798</v>
      </c>
      <c r="K111" s="64">
        <v>5774</v>
      </c>
    </row>
    <row r="112" spans="1:11">
      <c r="A112" s="32">
        <v>161</v>
      </c>
      <c r="B112" s="32">
        <v>91</v>
      </c>
      <c r="C112" s="32">
        <v>44</v>
      </c>
      <c r="D112" s="32">
        <v>15</v>
      </c>
      <c r="E112" s="35" t="s">
        <v>135</v>
      </c>
      <c r="F112" s="35" t="s">
        <v>267</v>
      </c>
      <c r="G112" s="35" t="s">
        <v>347</v>
      </c>
      <c r="H112" s="35" t="s">
        <v>308</v>
      </c>
      <c r="I112" s="35">
        <v>5.2</v>
      </c>
      <c r="J112" s="36">
        <v>4.9429657794676798</v>
      </c>
      <c r="K112" s="64">
        <v>6275</v>
      </c>
    </row>
    <row r="113" spans="1:11">
      <c r="A113" s="32">
        <v>161</v>
      </c>
      <c r="B113" s="32">
        <v>91</v>
      </c>
      <c r="C113" s="32">
        <v>44</v>
      </c>
      <c r="D113" s="32">
        <v>15</v>
      </c>
      <c r="E113" s="35" t="s">
        <v>135</v>
      </c>
      <c r="F113" s="35" t="s">
        <v>267</v>
      </c>
      <c r="G113" s="35" t="s">
        <v>347</v>
      </c>
      <c r="H113" s="35" t="s">
        <v>309</v>
      </c>
      <c r="I113" s="35">
        <v>5.2</v>
      </c>
      <c r="J113" s="36">
        <v>4.9429657794676798</v>
      </c>
      <c r="K113" s="64">
        <v>6024.5</v>
      </c>
    </row>
    <row r="114" spans="1:11">
      <c r="A114" s="32">
        <v>161</v>
      </c>
      <c r="B114" s="32">
        <v>91</v>
      </c>
      <c r="C114" s="32">
        <v>44</v>
      </c>
      <c r="D114" s="32">
        <v>15</v>
      </c>
      <c r="E114" s="35" t="s">
        <v>135</v>
      </c>
      <c r="F114" s="35" t="s">
        <v>268</v>
      </c>
      <c r="G114" s="35" t="s">
        <v>348</v>
      </c>
      <c r="H114" s="35" t="s">
        <v>307</v>
      </c>
      <c r="I114" s="35">
        <v>5.2</v>
      </c>
      <c r="J114" s="36">
        <v>4.9429657794676798</v>
      </c>
      <c r="K114" s="64">
        <v>6750</v>
      </c>
    </row>
    <row r="115" spans="1:11">
      <c r="A115" s="32">
        <v>161</v>
      </c>
      <c r="B115" s="32">
        <v>91</v>
      </c>
      <c r="C115" s="32">
        <v>44</v>
      </c>
      <c r="D115" s="32">
        <v>15</v>
      </c>
      <c r="E115" s="35" t="s">
        <v>135</v>
      </c>
      <c r="F115" s="35" t="s">
        <v>268</v>
      </c>
      <c r="G115" s="35" t="s">
        <v>348</v>
      </c>
      <c r="H115" s="35" t="s">
        <v>308</v>
      </c>
      <c r="I115" s="35">
        <v>5.2</v>
      </c>
      <c r="J115" s="36">
        <v>4.9429657794676798</v>
      </c>
      <c r="K115" s="64">
        <v>6590</v>
      </c>
    </row>
    <row r="116" spans="1:11">
      <c r="A116" s="32">
        <v>161</v>
      </c>
      <c r="B116" s="32">
        <v>91</v>
      </c>
      <c r="C116" s="32">
        <v>44</v>
      </c>
      <c r="D116" s="32">
        <v>15</v>
      </c>
      <c r="E116" s="35" t="s">
        <v>135</v>
      </c>
      <c r="F116" s="35" t="s">
        <v>268</v>
      </c>
      <c r="G116" s="35" t="s">
        <v>348</v>
      </c>
      <c r="H116" s="35" t="s">
        <v>309</v>
      </c>
      <c r="I116" s="35">
        <v>5.2</v>
      </c>
      <c r="J116" s="36">
        <v>4.9429657794676798</v>
      </c>
      <c r="K116" s="64">
        <v>6670</v>
      </c>
    </row>
    <row r="117" spans="1:11">
      <c r="A117" s="32">
        <v>161</v>
      </c>
      <c r="B117" s="32">
        <v>91</v>
      </c>
      <c r="C117" s="32">
        <v>44</v>
      </c>
      <c r="D117" s="32">
        <v>15</v>
      </c>
      <c r="E117" s="35" t="s">
        <v>137</v>
      </c>
      <c r="F117" s="35" t="s">
        <v>218</v>
      </c>
      <c r="G117" s="35" t="s">
        <v>349</v>
      </c>
      <c r="H117" s="35" t="s">
        <v>307</v>
      </c>
      <c r="I117" s="35">
        <v>4.8000000000000096</v>
      </c>
      <c r="J117" s="36">
        <v>4.5801526717557302</v>
      </c>
      <c r="K117" s="64">
        <v>5040</v>
      </c>
    </row>
    <row r="118" spans="1:11">
      <c r="A118" s="32">
        <v>161</v>
      </c>
      <c r="B118" s="32">
        <v>91</v>
      </c>
      <c r="C118" s="32">
        <v>44</v>
      </c>
      <c r="D118" s="32">
        <v>15</v>
      </c>
      <c r="E118" s="35" t="s">
        <v>137</v>
      </c>
      <c r="F118" s="35" t="s">
        <v>218</v>
      </c>
      <c r="G118" s="35" t="s">
        <v>349</v>
      </c>
      <c r="H118" s="35" t="s">
        <v>308</v>
      </c>
      <c r="I118" s="35">
        <v>4.8000000000000096</v>
      </c>
      <c r="J118" s="36">
        <v>4.5801526717557302</v>
      </c>
      <c r="K118" s="64">
        <v>4875</v>
      </c>
    </row>
    <row r="119" spans="1:11" ht="14.4">
      <c r="A119" s="32">
        <v>161</v>
      </c>
      <c r="B119" s="32">
        <v>91</v>
      </c>
      <c r="C119" s="32">
        <v>44</v>
      </c>
      <c r="D119" s="32">
        <v>15</v>
      </c>
      <c r="E119" s="35" t="s">
        <v>138</v>
      </c>
      <c r="F119" s="35" t="s">
        <v>94</v>
      </c>
      <c r="G119" s="35" t="s">
        <v>350</v>
      </c>
      <c r="H119" s="35" t="s">
        <v>307</v>
      </c>
      <c r="I119" s="35">
        <v>5</v>
      </c>
      <c r="J119" s="36">
        <v>4.76</v>
      </c>
      <c r="K119" s="64">
        <v>6500</v>
      </c>
    </row>
    <row r="120" spans="1:11">
      <c r="A120" s="32">
        <v>161</v>
      </c>
      <c r="B120" s="32">
        <v>91</v>
      </c>
      <c r="C120" s="32">
        <v>44</v>
      </c>
      <c r="D120" s="32">
        <v>15</v>
      </c>
      <c r="E120" s="35" t="s">
        <v>138</v>
      </c>
      <c r="F120" s="35" t="s">
        <v>94</v>
      </c>
      <c r="G120" s="35" t="s">
        <v>427</v>
      </c>
      <c r="H120" s="35" t="s">
        <v>308</v>
      </c>
      <c r="I120" s="35">
        <v>5</v>
      </c>
      <c r="J120" s="36">
        <v>4.76</v>
      </c>
      <c r="K120" s="64">
        <v>7130</v>
      </c>
    </row>
    <row r="121" spans="1:11">
      <c r="A121" s="32">
        <v>161</v>
      </c>
      <c r="B121" s="32">
        <v>91</v>
      </c>
      <c r="C121" s="32">
        <v>44</v>
      </c>
      <c r="D121" s="32">
        <v>15</v>
      </c>
      <c r="E121" s="35" t="s">
        <v>138</v>
      </c>
      <c r="F121" s="35" t="s">
        <v>94</v>
      </c>
      <c r="G121" s="35" t="s">
        <v>427</v>
      </c>
      <c r="H121" s="35" t="s">
        <v>309</v>
      </c>
      <c r="I121" s="35">
        <v>5</v>
      </c>
      <c r="J121" s="36">
        <v>4.76</v>
      </c>
      <c r="K121" s="64">
        <v>6815</v>
      </c>
    </row>
    <row r="122" spans="1:11">
      <c r="A122" s="32">
        <v>161</v>
      </c>
      <c r="B122" s="32">
        <v>91</v>
      </c>
      <c r="C122" s="32">
        <v>44</v>
      </c>
      <c r="D122" s="32">
        <v>15</v>
      </c>
      <c r="E122" s="35" t="s">
        <v>139</v>
      </c>
      <c r="F122" s="35" t="s">
        <v>218</v>
      </c>
      <c r="G122" s="35" t="s">
        <v>349</v>
      </c>
      <c r="H122" s="35" t="s">
        <v>307</v>
      </c>
      <c r="I122" s="35">
        <v>4.8000000000000096</v>
      </c>
      <c r="J122" s="36">
        <v>4.5801526717557302</v>
      </c>
      <c r="K122" s="64">
        <v>5384</v>
      </c>
    </row>
    <row r="123" spans="1:11">
      <c r="A123" s="32">
        <v>161</v>
      </c>
      <c r="B123" s="32">
        <v>91</v>
      </c>
      <c r="C123" s="32">
        <v>44</v>
      </c>
      <c r="D123" s="32">
        <v>15</v>
      </c>
      <c r="E123" s="35" t="s">
        <v>139</v>
      </c>
      <c r="F123" s="35" t="s">
        <v>218</v>
      </c>
      <c r="G123" s="35" t="s">
        <v>349</v>
      </c>
      <c r="H123" s="35" t="s">
        <v>308</v>
      </c>
      <c r="I123" s="35">
        <v>4.8000000000000096</v>
      </c>
      <c r="J123" s="36">
        <v>4.5801526717557302</v>
      </c>
      <c r="K123" s="64">
        <v>5250</v>
      </c>
    </row>
    <row r="124" spans="1:11">
      <c r="A124" s="32">
        <v>161</v>
      </c>
      <c r="B124" s="32">
        <v>91</v>
      </c>
      <c r="C124" s="32">
        <v>44</v>
      </c>
      <c r="D124" s="32">
        <v>15</v>
      </c>
      <c r="E124" s="35" t="s">
        <v>139</v>
      </c>
      <c r="F124" s="35" t="s">
        <v>218</v>
      </c>
      <c r="G124" s="35" t="s">
        <v>349</v>
      </c>
      <c r="H124" s="35" t="s">
        <v>309</v>
      </c>
      <c r="I124" s="35">
        <v>4.8000000000000096</v>
      </c>
      <c r="J124" s="36">
        <v>4.5801526717557302</v>
      </c>
      <c r="K124" s="64">
        <v>5317</v>
      </c>
    </row>
    <row r="125" spans="1:11">
      <c r="A125" s="32">
        <v>161</v>
      </c>
      <c r="B125" s="32">
        <v>91</v>
      </c>
      <c r="C125" s="32">
        <v>44</v>
      </c>
      <c r="D125" s="32">
        <v>15</v>
      </c>
      <c r="E125" s="35" t="s">
        <v>140</v>
      </c>
      <c r="F125" s="35" t="s">
        <v>218</v>
      </c>
      <c r="G125" s="35" t="s">
        <v>349</v>
      </c>
      <c r="H125" s="35" t="s">
        <v>307</v>
      </c>
      <c r="I125" s="35">
        <v>4.8000000000000096</v>
      </c>
      <c r="J125" s="36">
        <v>4.5801526717557302</v>
      </c>
      <c r="K125" s="64">
        <v>5325</v>
      </c>
    </row>
    <row r="126" spans="1:11">
      <c r="A126" s="32">
        <v>161</v>
      </c>
      <c r="B126" s="32">
        <v>91</v>
      </c>
      <c r="C126" s="32">
        <v>44</v>
      </c>
      <c r="D126" s="32">
        <v>15</v>
      </c>
      <c r="E126" s="35" t="s">
        <v>140</v>
      </c>
      <c r="F126" s="35" t="s">
        <v>218</v>
      </c>
      <c r="G126" s="35" t="s">
        <v>349</v>
      </c>
      <c r="H126" s="35" t="s">
        <v>308</v>
      </c>
      <c r="I126" s="35">
        <v>4.8000000000000096</v>
      </c>
      <c r="J126" s="36">
        <v>4.5801526717557302</v>
      </c>
      <c r="K126" s="64">
        <v>5675</v>
      </c>
    </row>
    <row r="127" spans="1:11">
      <c r="A127" s="32">
        <v>161</v>
      </c>
      <c r="B127" s="32">
        <v>91</v>
      </c>
      <c r="C127" s="32">
        <v>44</v>
      </c>
      <c r="D127" s="32">
        <v>15</v>
      </c>
      <c r="E127" s="35" t="s">
        <v>140</v>
      </c>
      <c r="F127" s="35" t="s">
        <v>218</v>
      </c>
      <c r="G127" s="35" t="s">
        <v>349</v>
      </c>
      <c r="H127" s="35" t="s">
        <v>309</v>
      </c>
      <c r="I127" s="35">
        <v>4.8000000000000096</v>
      </c>
      <c r="J127" s="36">
        <v>4.5801526717557302</v>
      </c>
      <c r="K127" s="64">
        <v>5500</v>
      </c>
    </row>
    <row r="128" spans="1:11">
      <c r="A128" s="32">
        <v>161</v>
      </c>
      <c r="B128" s="32">
        <v>91</v>
      </c>
      <c r="C128" s="32">
        <v>44</v>
      </c>
      <c r="D128" s="32">
        <v>15</v>
      </c>
      <c r="E128" s="35" t="s">
        <v>141</v>
      </c>
      <c r="F128" s="35" t="s">
        <v>254</v>
      </c>
      <c r="G128" s="35" t="s">
        <v>338</v>
      </c>
      <c r="H128" s="35" t="s">
        <v>307</v>
      </c>
      <c r="I128" s="35">
        <v>4.8000000000000096</v>
      </c>
      <c r="J128" s="36">
        <v>4.5801526717557302</v>
      </c>
      <c r="K128" s="64">
        <v>3684</v>
      </c>
    </row>
    <row r="129" spans="1:11">
      <c r="A129" s="32">
        <v>162</v>
      </c>
      <c r="B129" s="32">
        <v>92</v>
      </c>
      <c r="C129" s="32">
        <v>45</v>
      </c>
      <c r="D129" s="32">
        <v>16</v>
      </c>
      <c r="E129" s="35" t="s">
        <v>141</v>
      </c>
      <c r="F129" s="35" t="s">
        <v>254</v>
      </c>
      <c r="G129" s="35" t="s">
        <v>338</v>
      </c>
      <c r="H129" s="35" t="s">
        <v>308</v>
      </c>
      <c r="I129" s="35">
        <v>4.8000000000000096</v>
      </c>
      <c r="J129" s="36">
        <v>4.5801526717557302</v>
      </c>
      <c r="K129" s="64">
        <v>3134</v>
      </c>
    </row>
    <row r="130" spans="1:11">
      <c r="A130" s="32">
        <v>163</v>
      </c>
      <c r="B130" s="32">
        <v>93</v>
      </c>
      <c r="C130" s="32">
        <v>46</v>
      </c>
      <c r="D130" s="32">
        <v>17</v>
      </c>
      <c r="E130" s="35" t="s">
        <v>141</v>
      </c>
      <c r="F130" s="35" t="s">
        <v>254</v>
      </c>
      <c r="G130" s="35" t="s">
        <v>338</v>
      </c>
      <c r="H130" s="35" t="s">
        <v>309</v>
      </c>
      <c r="I130" s="35">
        <v>4.8000000000000096</v>
      </c>
      <c r="J130" s="36">
        <v>4.5801526717557302</v>
      </c>
      <c r="K130" s="64">
        <v>3409</v>
      </c>
    </row>
    <row r="131" spans="1:11">
      <c r="A131" s="32">
        <v>164</v>
      </c>
      <c r="B131" s="32">
        <v>94</v>
      </c>
      <c r="C131" s="32">
        <v>47</v>
      </c>
      <c r="D131" s="32">
        <v>18</v>
      </c>
      <c r="E131" s="35" t="s">
        <v>141</v>
      </c>
      <c r="F131" s="35" t="s">
        <v>254</v>
      </c>
      <c r="G131" s="35" t="s">
        <v>428</v>
      </c>
      <c r="H131" s="35" t="s">
        <v>307</v>
      </c>
      <c r="I131" s="35">
        <v>4.8000000000000096</v>
      </c>
      <c r="J131" s="36">
        <v>4.5801526717557302</v>
      </c>
      <c r="K131" s="64">
        <v>2658</v>
      </c>
    </row>
    <row r="132" spans="1:11">
      <c r="A132" s="32">
        <v>165</v>
      </c>
      <c r="B132" s="32">
        <v>95</v>
      </c>
      <c r="C132" s="32">
        <v>48</v>
      </c>
      <c r="D132" s="32">
        <v>19</v>
      </c>
      <c r="E132" s="35" t="s">
        <v>141</v>
      </c>
      <c r="F132" s="35" t="s">
        <v>254</v>
      </c>
      <c r="G132" s="35" t="s">
        <v>428</v>
      </c>
      <c r="H132" s="35" t="s">
        <v>308</v>
      </c>
      <c r="I132" s="35">
        <v>4.8000000000000096</v>
      </c>
      <c r="J132" s="36">
        <v>4.5801526717557302</v>
      </c>
      <c r="K132" s="64">
        <v>2592</v>
      </c>
    </row>
    <row r="133" spans="1:11">
      <c r="A133" s="32">
        <v>166</v>
      </c>
      <c r="B133" s="32">
        <v>96</v>
      </c>
      <c r="C133" s="32">
        <v>49</v>
      </c>
      <c r="D133" s="32">
        <v>20</v>
      </c>
      <c r="E133" s="35" t="s">
        <v>141</v>
      </c>
      <c r="F133" s="35" t="s">
        <v>254</v>
      </c>
      <c r="G133" s="35" t="s">
        <v>428</v>
      </c>
      <c r="H133" s="35" t="s">
        <v>309</v>
      </c>
      <c r="I133" s="35">
        <v>4.8000000000000096</v>
      </c>
      <c r="J133" s="36">
        <v>4.5801526717557302</v>
      </c>
      <c r="K133" s="64">
        <v>2625</v>
      </c>
    </row>
    <row r="134" spans="1:11">
      <c r="A134" s="32">
        <v>167</v>
      </c>
      <c r="B134" s="32">
        <v>97</v>
      </c>
      <c r="C134" s="32">
        <v>50</v>
      </c>
      <c r="D134" s="32">
        <v>21</v>
      </c>
      <c r="E134" s="35" t="s">
        <v>142</v>
      </c>
      <c r="F134" s="35" t="s">
        <v>218</v>
      </c>
      <c r="G134" s="35" t="s">
        <v>349</v>
      </c>
      <c r="H134" s="35" t="s">
        <v>307</v>
      </c>
      <c r="I134" s="35">
        <v>4.8000000000000096</v>
      </c>
      <c r="J134" s="36">
        <v>4.5801526717557302</v>
      </c>
      <c r="K134" s="64">
        <v>7000</v>
      </c>
    </row>
    <row r="135" spans="1:11">
      <c r="A135" s="32">
        <v>168</v>
      </c>
      <c r="B135" s="32">
        <v>98</v>
      </c>
      <c r="C135" s="32">
        <v>51</v>
      </c>
      <c r="D135" s="32">
        <v>22</v>
      </c>
      <c r="E135" s="35" t="s">
        <v>142</v>
      </c>
      <c r="F135" s="35" t="s">
        <v>218</v>
      </c>
      <c r="G135" s="35" t="s">
        <v>349</v>
      </c>
      <c r="H135" s="35" t="s">
        <v>308</v>
      </c>
      <c r="I135" s="35">
        <v>4.8000000000000096</v>
      </c>
      <c r="J135" s="36">
        <v>4.5801526717557302</v>
      </c>
      <c r="K135" s="64">
        <v>7844</v>
      </c>
    </row>
    <row r="136" spans="1:11">
      <c r="A136" s="32">
        <v>169</v>
      </c>
      <c r="B136" s="32">
        <v>99</v>
      </c>
      <c r="C136" s="32">
        <v>52</v>
      </c>
      <c r="D136" s="32">
        <v>23</v>
      </c>
      <c r="E136" s="35" t="s">
        <v>142</v>
      </c>
      <c r="F136" s="35" t="s">
        <v>218</v>
      </c>
      <c r="G136" s="35" t="s">
        <v>349</v>
      </c>
      <c r="H136" s="35" t="s">
        <v>309</v>
      </c>
      <c r="I136" s="35">
        <v>4.8000000000000096</v>
      </c>
      <c r="J136" s="36">
        <v>4.5801526717557302</v>
      </c>
      <c r="K136" s="64">
        <v>7422</v>
      </c>
    </row>
    <row r="137" spans="1:11" ht="14.4">
      <c r="A137" s="32">
        <v>170</v>
      </c>
      <c r="B137" s="32">
        <v>100</v>
      </c>
      <c r="C137" s="32">
        <v>53</v>
      </c>
      <c r="D137" s="32">
        <v>24</v>
      </c>
      <c r="E137" s="35" t="s">
        <v>144</v>
      </c>
      <c r="F137" s="35" t="s">
        <v>197</v>
      </c>
      <c r="G137" s="35" t="s">
        <v>429</v>
      </c>
      <c r="H137" s="35" t="s">
        <v>307</v>
      </c>
      <c r="I137" s="35">
        <v>4.2</v>
      </c>
      <c r="J137" s="36">
        <v>4.0307101727447199</v>
      </c>
      <c r="K137" s="64">
        <v>2716</v>
      </c>
    </row>
    <row r="138" spans="1:11">
      <c r="A138" s="32">
        <v>171</v>
      </c>
      <c r="B138" s="32">
        <v>101</v>
      </c>
      <c r="C138" s="32">
        <v>54</v>
      </c>
      <c r="D138" s="32">
        <v>25</v>
      </c>
      <c r="E138" s="35" t="s">
        <v>144</v>
      </c>
      <c r="F138" s="35" t="s">
        <v>197</v>
      </c>
      <c r="G138" s="35" t="s">
        <v>430</v>
      </c>
      <c r="H138" s="35" t="s">
        <v>308</v>
      </c>
      <c r="I138" s="35">
        <v>4.2</v>
      </c>
      <c r="J138" s="36">
        <v>4.0307101727447199</v>
      </c>
      <c r="K138" s="64">
        <v>2592</v>
      </c>
    </row>
    <row r="139" spans="1:11">
      <c r="A139" s="32">
        <v>172</v>
      </c>
      <c r="B139" s="32">
        <v>102</v>
      </c>
      <c r="C139" s="32">
        <v>55</v>
      </c>
      <c r="D139" s="32">
        <v>26</v>
      </c>
      <c r="E139" s="35" t="s">
        <v>144</v>
      </c>
      <c r="F139" s="35" t="s">
        <v>197</v>
      </c>
      <c r="G139" s="35" t="s">
        <v>430</v>
      </c>
      <c r="H139" s="35" t="s">
        <v>309</v>
      </c>
      <c r="I139" s="35">
        <v>4.2</v>
      </c>
      <c r="J139" s="36">
        <v>4.0307101727447199</v>
      </c>
      <c r="K139" s="64">
        <v>2654</v>
      </c>
    </row>
    <row r="140" spans="1:11">
      <c r="A140" s="32">
        <v>173</v>
      </c>
      <c r="B140" s="32">
        <v>103</v>
      </c>
      <c r="C140" s="32">
        <v>56</v>
      </c>
      <c r="D140" s="32">
        <v>27</v>
      </c>
      <c r="E140" s="35" t="s">
        <v>145</v>
      </c>
      <c r="F140" s="35" t="s">
        <v>94</v>
      </c>
      <c r="G140" s="35" t="s">
        <v>357</v>
      </c>
      <c r="H140" s="35" t="s">
        <v>307</v>
      </c>
      <c r="I140" s="48">
        <v>5</v>
      </c>
      <c r="J140" s="36">
        <v>4.76</v>
      </c>
      <c r="K140" s="64">
        <v>2716</v>
      </c>
    </row>
    <row r="141" spans="1:11">
      <c r="A141" s="32">
        <v>161</v>
      </c>
      <c r="B141" s="32">
        <v>91</v>
      </c>
      <c r="C141" s="32">
        <v>44</v>
      </c>
      <c r="D141" s="32">
        <v>15</v>
      </c>
      <c r="E141" s="35" t="s">
        <v>145</v>
      </c>
      <c r="F141" s="35" t="s">
        <v>94</v>
      </c>
      <c r="G141" s="35" t="s">
        <v>357</v>
      </c>
      <c r="H141" s="35" t="s">
        <v>308</v>
      </c>
      <c r="I141" s="48">
        <v>5</v>
      </c>
      <c r="J141" s="36">
        <v>4.76</v>
      </c>
      <c r="K141" s="64">
        <v>2593</v>
      </c>
    </row>
    <row r="142" spans="1:11">
      <c r="A142" s="32">
        <v>161</v>
      </c>
      <c r="B142" s="32">
        <v>91</v>
      </c>
      <c r="C142" s="32">
        <v>44</v>
      </c>
      <c r="D142" s="32">
        <v>15</v>
      </c>
      <c r="E142" s="35" t="s">
        <v>145</v>
      </c>
      <c r="F142" s="35" t="s">
        <v>94</v>
      </c>
      <c r="G142" s="35" t="s">
        <v>357</v>
      </c>
      <c r="H142" s="35" t="s">
        <v>309</v>
      </c>
      <c r="I142" s="48">
        <v>5</v>
      </c>
      <c r="J142" s="36">
        <v>4.76</v>
      </c>
      <c r="K142" s="64">
        <v>2654.5</v>
      </c>
    </row>
    <row r="143" spans="1:11">
      <c r="A143" s="32">
        <v>161</v>
      </c>
      <c r="B143" s="32">
        <v>91</v>
      </c>
      <c r="C143" s="32">
        <v>44</v>
      </c>
      <c r="D143" s="32">
        <v>15</v>
      </c>
      <c r="E143" s="35" t="s">
        <v>146</v>
      </c>
      <c r="F143" s="35" t="s">
        <v>254</v>
      </c>
      <c r="G143" s="35" t="s">
        <v>338</v>
      </c>
      <c r="H143" s="35" t="s">
        <v>307</v>
      </c>
      <c r="I143" s="35">
        <v>4.8000000000000096</v>
      </c>
      <c r="J143" s="36">
        <v>4.5801526717557302</v>
      </c>
      <c r="K143" s="64">
        <v>4038</v>
      </c>
    </row>
    <row r="144" spans="1:11">
      <c r="A144" s="32">
        <v>161</v>
      </c>
      <c r="B144" s="32">
        <v>91</v>
      </c>
      <c r="C144" s="32">
        <v>44</v>
      </c>
      <c r="D144" s="32">
        <v>15</v>
      </c>
      <c r="E144" s="35" t="s">
        <v>146</v>
      </c>
      <c r="F144" s="35" t="s">
        <v>254</v>
      </c>
      <c r="G144" s="35" t="s">
        <v>338</v>
      </c>
      <c r="H144" s="35" t="s">
        <v>308</v>
      </c>
      <c r="I144" s="35">
        <v>4.8000000000000096</v>
      </c>
      <c r="J144" s="36">
        <v>4.5801526717557302</v>
      </c>
      <c r="K144" s="64">
        <v>3828</v>
      </c>
    </row>
    <row r="145" spans="1:11">
      <c r="A145" s="32">
        <v>161</v>
      </c>
      <c r="B145" s="32">
        <v>91</v>
      </c>
      <c r="C145" s="32">
        <v>44</v>
      </c>
      <c r="D145" s="32">
        <v>15</v>
      </c>
      <c r="E145" s="35" t="s">
        <v>146</v>
      </c>
      <c r="F145" s="35" t="s">
        <v>254</v>
      </c>
      <c r="G145" s="35" t="s">
        <v>338</v>
      </c>
      <c r="H145" s="35" t="s">
        <v>309</v>
      </c>
      <c r="I145" s="35">
        <v>4.8000000000000096</v>
      </c>
      <c r="J145" s="36">
        <v>4.5801526717557302</v>
      </c>
      <c r="K145" s="64">
        <v>3933</v>
      </c>
    </row>
    <row r="146" spans="1:11">
      <c r="A146" s="32">
        <v>161</v>
      </c>
      <c r="B146" s="32">
        <v>91</v>
      </c>
      <c r="C146" s="32">
        <v>44</v>
      </c>
      <c r="D146" s="32">
        <v>15</v>
      </c>
      <c r="E146" s="35" t="s">
        <v>146</v>
      </c>
      <c r="F146" s="35" t="s">
        <v>255</v>
      </c>
      <c r="G146" s="35" t="s">
        <v>343</v>
      </c>
      <c r="H146" s="35" t="s">
        <v>307</v>
      </c>
      <c r="I146" s="35">
        <v>4.8000000000000096</v>
      </c>
      <c r="J146" s="36">
        <v>4.5801526717557302</v>
      </c>
      <c r="K146" s="64">
        <v>5176</v>
      </c>
    </row>
    <row r="147" spans="1:11">
      <c r="A147" s="32">
        <v>144</v>
      </c>
      <c r="B147" s="32">
        <v>107.8</v>
      </c>
      <c r="C147" s="32">
        <v>43.95</v>
      </c>
      <c r="D147" s="32">
        <v>60.3</v>
      </c>
      <c r="E147" s="35" t="s">
        <v>146</v>
      </c>
      <c r="F147" s="35" t="s">
        <v>255</v>
      </c>
      <c r="G147" s="35" t="s">
        <v>343</v>
      </c>
      <c r="H147" s="35" t="s">
        <v>308</v>
      </c>
      <c r="I147" s="35">
        <v>4.8000000000000096</v>
      </c>
      <c r="J147" s="36">
        <v>4.5801526717557302</v>
      </c>
      <c r="K147" s="64">
        <v>5875</v>
      </c>
    </row>
    <row r="148" spans="1:11">
      <c r="A148" s="32">
        <v>144</v>
      </c>
      <c r="B148" s="32">
        <v>107.8</v>
      </c>
      <c r="C148" s="32">
        <v>43.95</v>
      </c>
      <c r="D148" s="32">
        <v>60.3</v>
      </c>
      <c r="E148" s="35" t="s">
        <v>146</v>
      </c>
      <c r="F148" s="35" t="s">
        <v>255</v>
      </c>
      <c r="G148" s="35" t="s">
        <v>343</v>
      </c>
      <c r="H148" s="35" t="s">
        <v>309</v>
      </c>
      <c r="I148" s="35">
        <v>4.8000000000000096</v>
      </c>
      <c r="J148" s="36">
        <v>4.5801526717557302</v>
      </c>
      <c r="K148" s="64">
        <v>5525.5</v>
      </c>
    </row>
    <row r="149" spans="1:11">
      <c r="A149" s="32">
        <v>144</v>
      </c>
      <c r="B149" s="32">
        <v>107.8</v>
      </c>
      <c r="C149" s="32">
        <v>43.95</v>
      </c>
      <c r="D149" s="32">
        <v>60.3</v>
      </c>
      <c r="E149" s="35" t="s">
        <v>147</v>
      </c>
      <c r="F149" s="35" t="s">
        <v>218</v>
      </c>
      <c r="G149" s="35" t="s">
        <v>349</v>
      </c>
      <c r="H149" s="35" t="s">
        <v>307</v>
      </c>
      <c r="I149" s="35">
        <v>4.8000000000000096</v>
      </c>
      <c r="J149" s="36">
        <v>4.5801526717557302</v>
      </c>
      <c r="K149" s="64">
        <v>2165</v>
      </c>
    </row>
    <row r="150" spans="1:11">
      <c r="A150" s="32">
        <v>144</v>
      </c>
      <c r="B150" s="32">
        <v>107.8</v>
      </c>
      <c r="C150" s="32">
        <v>43.95</v>
      </c>
      <c r="D150" s="32">
        <v>60.3</v>
      </c>
      <c r="E150" s="35" t="s">
        <v>147</v>
      </c>
      <c r="F150" s="35" t="s">
        <v>218</v>
      </c>
      <c r="G150" s="35" t="s">
        <v>349</v>
      </c>
      <c r="H150" s="35" t="s">
        <v>308</v>
      </c>
      <c r="I150" s="35">
        <v>4.8000000000000096</v>
      </c>
      <c r="J150" s="36">
        <v>4.5801526717557302</v>
      </c>
      <c r="K150" s="64">
        <v>2680</v>
      </c>
    </row>
    <row r="151" spans="1:11">
      <c r="A151" s="32">
        <v>144</v>
      </c>
      <c r="B151" s="32">
        <v>107.8</v>
      </c>
      <c r="C151" s="32">
        <v>43.95</v>
      </c>
      <c r="D151" s="32">
        <v>60.3</v>
      </c>
      <c r="E151" s="35" t="s">
        <v>147</v>
      </c>
      <c r="F151" s="35" t="s">
        <v>218</v>
      </c>
      <c r="G151" s="35" t="s">
        <v>349</v>
      </c>
      <c r="H151" s="35" t="s">
        <v>309</v>
      </c>
      <c r="I151" s="35">
        <v>4.8000000000000096</v>
      </c>
      <c r="J151" s="36">
        <v>4.5801526717557302</v>
      </c>
      <c r="K151" s="64">
        <v>2422.5</v>
      </c>
    </row>
    <row r="152" spans="1:11">
      <c r="A152" s="32">
        <v>144</v>
      </c>
      <c r="B152" s="32">
        <v>107.8</v>
      </c>
      <c r="C152" s="32">
        <v>43.95</v>
      </c>
      <c r="D152" s="32">
        <v>60.3</v>
      </c>
      <c r="E152" s="35" t="s">
        <v>148</v>
      </c>
      <c r="F152" s="35" t="s">
        <v>218</v>
      </c>
      <c r="G152" s="35" t="s">
        <v>349</v>
      </c>
      <c r="H152" s="35" t="s">
        <v>307</v>
      </c>
      <c r="I152" s="35">
        <v>4.8000000000000096</v>
      </c>
      <c r="J152" s="36">
        <v>4.5801526717557302</v>
      </c>
      <c r="K152" s="64">
        <v>3728</v>
      </c>
    </row>
    <row r="153" spans="1:11">
      <c r="A153" s="32">
        <v>111</v>
      </c>
      <c r="B153" s="32">
        <v>124</v>
      </c>
      <c r="C153" s="32">
        <v>41.5</v>
      </c>
      <c r="D153" s="32">
        <v>56</v>
      </c>
      <c r="E153" s="35" t="s">
        <v>148</v>
      </c>
      <c r="F153" s="35" t="s">
        <v>218</v>
      </c>
      <c r="G153" s="35" t="s">
        <v>349</v>
      </c>
      <c r="H153" s="35" t="s">
        <v>308</v>
      </c>
      <c r="I153" s="35">
        <v>4.8000000000000096</v>
      </c>
      <c r="J153" s="36">
        <v>4.5801526717557302</v>
      </c>
      <c r="K153" s="64">
        <v>3564</v>
      </c>
    </row>
    <row r="154" spans="1:11">
      <c r="A154" s="32">
        <v>111</v>
      </c>
      <c r="B154" s="32">
        <v>124</v>
      </c>
      <c r="C154" s="32">
        <v>41.5</v>
      </c>
      <c r="D154" s="32">
        <v>56</v>
      </c>
      <c r="E154" s="35" t="s">
        <v>148</v>
      </c>
      <c r="F154" s="35" t="s">
        <v>218</v>
      </c>
      <c r="G154" s="35" t="s">
        <v>349</v>
      </c>
      <c r="H154" s="35" t="s">
        <v>309</v>
      </c>
      <c r="I154" s="35">
        <v>4.8000000000000096</v>
      </c>
      <c r="J154" s="36">
        <v>4.5801526717557302</v>
      </c>
      <c r="K154" s="64">
        <v>3646</v>
      </c>
    </row>
    <row r="155" spans="1:11">
      <c r="A155" s="32">
        <v>111</v>
      </c>
      <c r="B155" s="32">
        <v>124</v>
      </c>
      <c r="C155" s="32">
        <v>41.5</v>
      </c>
      <c r="D155" s="32">
        <v>56</v>
      </c>
      <c r="E155" s="35" t="s">
        <v>148</v>
      </c>
      <c r="F155" s="35" t="s">
        <v>218</v>
      </c>
      <c r="G155" s="35" t="s">
        <v>435</v>
      </c>
      <c r="H155" s="35" t="s">
        <v>307</v>
      </c>
      <c r="I155" s="35">
        <v>4.8000000000000096</v>
      </c>
      <c r="J155" s="36">
        <v>4.5801526717557302</v>
      </c>
      <c r="K155" s="64">
        <v>1845</v>
      </c>
    </row>
    <row r="156" spans="1:11">
      <c r="A156" s="32">
        <v>111</v>
      </c>
      <c r="B156" s="32">
        <v>124</v>
      </c>
      <c r="C156" s="32">
        <v>41.5</v>
      </c>
      <c r="D156" s="32">
        <v>56</v>
      </c>
      <c r="E156" s="35" t="s">
        <v>148</v>
      </c>
      <c r="F156" s="35" t="s">
        <v>218</v>
      </c>
      <c r="G156" s="35" t="s">
        <v>435</v>
      </c>
      <c r="H156" s="35" t="s">
        <v>308</v>
      </c>
      <c r="I156" s="35">
        <v>4.8000000000000096</v>
      </c>
      <c r="J156" s="36">
        <v>4.5801526717557302</v>
      </c>
      <c r="K156" s="64">
        <v>2283</v>
      </c>
    </row>
    <row r="157" spans="1:11">
      <c r="A157" s="32">
        <v>111</v>
      </c>
      <c r="B157" s="32">
        <v>124</v>
      </c>
      <c r="C157" s="32">
        <v>41.5</v>
      </c>
      <c r="D157" s="32">
        <v>56</v>
      </c>
      <c r="E157" s="35" t="s">
        <v>148</v>
      </c>
      <c r="F157" s="35" t="s">
        <v>218</v>
      </c>
      <c r="G157" s="35" t="s">
        <v>435</v>
      </c>
      <c r="H157" s="35" t="s">
        <v>309</v>
      </c>
      <c r="I157" s="35">
        <v>4.8000000000000096</v>
      </c>
      <c r="J157" s="36">
        <v>4.5801526717557302</v>
      </c>
      <c r="K157" s="64">
        <v>2064</v>
      </c>
    </row>
    <row r="158" spans="1:11">
      <c r="A158" s="32">
        <v>111</v>
      </c>
      <c r="B158" s="32">
        <v>124</v>
      </c>
      <c r="C158" s="32">
        <v>41.5</v>
      </c>
      <c r="D158" s="32">
        <v>56</v>
      </c>
      <c r="E158" s="35" t="s">
        <v>149</v>
      </c>
      <c r="F158" s="35" t="s">
        <v>218</v>
      </c>
      <c r="G158" s="35" t="s">
        <v>349</v>
      </c>
      <c r="H158" s="35" t="s">
        <v>307</v>
      </c>
      <c r="I158" s="35">
        <v>4.8000000000000096</v>
      </c>
      <c r="J158" s="36">
        <v>4.5801526717557302</v>
      </c>
      <c r="K158" s="64">
        <v>5164</v>
      </c>
    </row>
    <row r="159" spans="1:11">
      <c r="A159" s="32">
        <v>161</v>
      </c>
      <c r="B159" s="32">
        <v>91</v>
      </c>
      <c r="C159" s="32">
        <v>44</v>
      </c>
      <c r="D159" s="32">
        <v>15</v>
      </c>
      <c r="E159" s="35" t="s">
        <v>149</v>
      </c>
      <c r="F159" s="35" t="s">
        <v>218</v>
      </c>
      <c r="G159" s="35" t="s">
        <v>349</v>
      </c>
      <c r="H159" s="35" t="s">
        <v>308</v>
      </c>
      <c r="I159" s="35">
        <v>4.8000000000000096</v>
      </c>
      <c r="J159" s="36">
        <v>4.5801526717557302</v>
      </c>
      <c r="K159" s="64">
        <v>4668</v>
      </c>
    </row>
    <row r="160" spans="1:11">
      <c r="A160" s="32">
        <v>161</v>
      </c>
      <c r="B160" s="32">
        <v>91</v>
      </c>
      <c r="C160" s="32">
        <v>44</v>
      </c>
      <c r="D160" s="32">
        <v>15</v>
      </c>
      <c r="E160" s="35" t="s">
        <v>149</v>
      </c>
      <c r="F160" s="35" t="s">
        <v>218</v>
      </c>
      <c r="G160" s="35" t="s">
        <v>349</v>
      </c>
      <c r="H160" s="35" t="s">
        <v>309</v>
      </c>
      <c r="I160" s="35">
        <v>4.8000000000000096</v>
      </c>
      <c r="J160" s="36">
        <v>4.5801526717557302</v>
      </c>
      <c r="K160" s="64">
        <v>4916</v>
      </c>
    </row>
    <row r="161" spans="1:4">
      <c r="A161" s="32">
        <v>161</v>
      </c>
      <c r="B161" s="32">
        <v>91</v>
      </c>
      <c r="C161" s="32">
        <v>44</v>
      </c>
      <c r="D161" s="32">
        <v>15</v>
      </c>
    </row>
    <row r="162" spans="1:4">
      <c r="A162" s="32">
        <v>161</v>
      </c>
      <c r="B162" s="32">
        <v>91</v>
      </c>
      <c r="C162" s="32">
        <v>44</v>
      </c>
      <c r="D162" s="32">
        <v>15</v>
      </c>
    </row>
    <row r="163" spans="1:4">
      <c r="A163" s="32">
        <v>161</v>
      </c>
      <c r="B163" s="32">
        <v>91</v>
      </c>
      <c r="C163" s="32">
        <v>44</v>
      </c>
      <c r="D163" s="32">
        <v>15</v>
      </c>
    </row>
    <row r="164" spans="1:4">
      <c r="A164" s="32">
        <v>161</v>
      </c>
      <c r="B164" s="32">
        <v>91</v>
      </c>
      <c r="C164" s="32">
        <v>44</v>
      </c>
      <c r="D164" s="32">
        <v>15</v>
      </c>
    </row>
    <row r="165" spans="1:4">
      <c r="A165" s="32">
        <v>161</v>
      </c>
      <c r="B165" s="32">
        <v>91</v>
      </c>
      <c r="C165" s="32">
        <v>44</v>
      </c>
      <c r="D165" s="32">
        <v>15</v>
      </c>
    </row>
    <row r="166" spans="1:4">
      <c r="A166" s="32">
        <v>161</v>
      </c>
      <c r="B166" s="32">
        <v>91</v>
      </c>
      <c r="C166" s="32">
        <v>44</v>
      </c>
      <c r="D166" s="32">
        <v>15</v>
      </c>
    </row>
    <row r="167" spans="1:4">
      <c r="A167" s="32">
        <v>161</v>
      </c>
      <c r="B167" s="32">
        <v>91</v>
      </c>
      <c r="C167" s="32">
        <v>44</v>
      </c>
      <c r="D167" s="32">
        <v>15</v>
      </c>
    </row>
    <row r="168" spans="1:4">
      <c r="A168" s="32">
        <v>161</v>
      </c>
      <c r="B168" s="32">
        <v>91</v>
      </c>
      <c r="C168" s="32">
        <v>44</v>
      </c>
      <c r="D168" s="32">
        <v>15</v>
      </c>
    </row>
    <row r="169" spans="1:4">
      <c r="A169" s="32">
        <v>161</v>
      </c>
      <c r="B169" s="32">
        <v>91</v>
      </c>
      <c r="C169" s="32">
        <v>44</v>
      </c>
      <c r="D169" s="32">
        <v>15</v>
      </c>
    </row>
    <row r="170" spans="1:4">
      <c r="A170" s="32">
        <v>161</v>
      </c>
      <c r="B170" s="32">
        <v>91</v>
      </c>
      <c r="C170" s="32">
        <v>44</v>
      </c>
      <c r="D170" s="32">
        <v>15</v>
      </c>
    </row>
    <row r="171" spans="1:4">
      <c r="A171" s="32">
        <v>161</v>
      </c>
      <c r="B171" s="32">
        <v>91</v>
      </c>
      <c r="C171" s="32">
        <v>44</v>
      </c>
      <c r="D171" s="32">
        <v>15</v>
      </c>
    </row>
    <row r="172" spans="1:4">
      <c r="A172" s="32">
        <v>161</v>
      </c>
      <c r="B172" s="32">
        <v>91</v>
      </c>
      <c r="C172" s="32">
        <v>44</v>
      </c>
      <c r="D172" s="32">
        <v>15</v>
      </c>
    </row>
    <row r="173" spans="1:4">
      <c r="A173" s="32">
        <v>161</v>
      </c>
      <c r="B173" s="32">
        <v>91</v>
      </c>
      <c r="C173" s="32">
        <v>44</v>
      </c>
      <c r="D173" s="32">
        <v>15</v>
      </c>
    </row>
    <row r="174" spans="1:4">
      <c r="A174" s="32">
        <v>161</v>
      </c>
      <c r="B174" s="32">
        <v>91</v>
      </c>
      <c r="C174" s="32">
        <v>44</v>
      </c>
      <c r="D174" s="32">
        <v>15</v>
      </c>
    </row>
    <row r="175" spans="1:4">
      <c r="A175" s="32">
        <v>161</v>
      </c>
      <c r="B175" s="32">
        <v>91</v>
      </c>
      <c r="C175" s="32">
        <v>44</v>
      </c>
      <c r="D175" s="32">
        <v>15</v>
      </c>
    </row>
    <row r="176" spans="1:4">
      <c r="A176" s="32">
        <v>161</v>
      </c>
      <c r="B176" s="32">
        <v>91</v>
      </c>
      <c r="C176" s="32">
        <v>44</v>
      </c>
      <c r="D176" s="32">
        <v>15</v>
      </c>
    </row>
    <row r="177" spans="1:4">
      <c r="A177" s="32">
        <v>161</v>
      </c>
      <c r="B177" s="32">
        <v>91</v>
      </c>
      <c r="C177" s="32">
        <v>44</v>
      </c>
      <c r="D177" s="32">
        <v>15</v>
      </c>
    </row>
    <row r="178" spans="1:4">
      <c r="A178" s="32">
        <v>161</v>
      </c>
      <c r="B178" s="32">
        <v>91</v>
      </c>
      <c r="C178" s="32">
        <v>44</v>
      </c>
      <c r="D178" s="32">
        <v>15</v>
      </c>
    </row>
    <row r="179" spans="1:4">
      <c r="A179" s="32">
        <v>161</v>
      </c>
      <c r="B179" s="32">
        <v>91</v>
      </c>
      <c r="C179" s="32">
        <v>44</v>
      </c>
      <c r="D179" s="32">
        <v>15</v>
      </c>
    </row>
    <row r="180" spans="1:4">
      <c r="A180" s="32">
        <v>161</v>
      </c>
      <c r="B180" s="32">
        <v>91</v>
      </c>
      <c r="C180" s="32">
        <v>44</v>
      </c>
      <c r="D180" s="32">
        <v>15</v>
      </c>
    </row>
    <row r="181" spans="1:4">
      <c r="A181" s="32">
        <v>161</v>
      </c>
      <c r="B181" s="32">
        <v>91</v>
      </c>
      <c r="C181" s="32">
        <v>44</v>
      </c>
      <c r="D181" s="32">
        <v>15</v>
      </c>
    </row>
    <row r="182" spans="1:4">
      <c r="A182" s="32">
        <v>161</v>
      </c>
      <c r="B182" s="32">
        <v>91</v>
      </c>
      <c r="C182" s="32">
        <v>44</v>
      </c>
      <c r="D182" s="32">
        <v>15</v>
      </c>
    </row>
    <row r="183" spans="1:4">
      <c r="A183" s="32">
        <v>161</v>
      </c>
      <c r="B183" s="32">
        <v>91</v>
      </c>
      <c r="C183" s="32">
        <v>44</v>
      </c>
      <c r="D183" s="32">
        <v>15</v>
      </c>
    </row>
    <row r="184" spans="1:4">
      <c r="A184" s="32">
        <v>144</v>
      </c>
      <c r="B184" s="32">
        <v>107.8</v>
      </c>
      <c r="C184" s="32">
        <v>43.95</v>
      </c>
      <c r="D184" s="32">
        <v>60.3</v>
      </c>
    </row>
    <row r="185" spans="1:4">
      <c r="A185" s="32">
        <v>144</v>
      </c>
      <c r="B185" s="32">
        <v>107.8</v>
      </c>
      <c r="C185" s="32">
        <v>43.95</v>
      </c>
      <c r="D185" s="32">
        <v>60.3</v>
      </c>
    </row>
    <row r="186" spans="1:4">
      <c r="A186" s="32">
        <v>144</v>
      </c>
      <c r="B186" s="32">
        <v>107.8</v>
      </c>
      <c r="C186" s="32">
        <v>43.95</v>
      </c>
      <c r="D186" s="32">
        <v>60.3</v>
      </c>
    </row>
    <row r="187" spans="1:4">
      <c r="A187" s="32">
        <v>144</v>
      </c>
      <c r="B187" s="32">
        <v>107.8</v>
      </c>
      <c r="C187" s="32">
        <v>43.95</v>
      </c>
      <c r="D187" s="32">
        <v>60.3</v>
      </c>
    </row>
    <row r="188" spans="1:4">
      <c r="A188" s="32">
        <v>144</v>
      </c>
      <c r="B188" s="32">
        <v>107.8</v>
      </c>
      <c r="C188" s="32">
        <v>43.95</v>
      </c>
      <c r="D188" s="32">
        <v>60.3</v>
      </c>
    </row>
    <row r="189" spans="1:4">
      <c r="A189" s="32">
        <v>144</v>
      </c>
      <c r="B189" s="32">
        <v>107.8</v>
      </c>
      <c r="C189" s="32">
        <v>43.95</v>
      </c>
      <c r="D189" s="32">
        <v>60.3</v>
      </c>
    </row>
    <row r="190" spans="1:4">
      <c r="A190" s="32">
        <v>144</v>
      </c>
      <c r="B190" s="32">
        <v>107.8</v>
      </c>
      <c r="C190" s="32">
        <v>43.95</v>
      </c>
      <c r="D190" s="32">
        <v>60.3</v>
      </c>
    </row>
    <row r="191" spans="1:4">
      <c r="A191" s="32">
        <v>111</v>
      </c>
      <c r="B191" s="32">
        <v>124</v>
      </c>
      <c r="C191" s="32">
        <v>41.5</v>
      </c>
      <c r="D191" s="32">
        <v>56</v>
      </c>
    </row>
    <row r="192" spans="1:4">
      <c r="A192" s="32">
        <v>111</v>
      </c>
      <c r="B192" s="32">
        <v>124</v>
      </c>
      <c r="C192" s="32">
        <v>41.5</v>
      </c>
      <c r="D192" s="32">
        <v>56</v>
      </c>
    </row>
    <row r="193" spans="1:4">
      <c r="A193" s="32">
        <v>111</v>
      </c>
      <c r="B193" s="32">
        <v>124</v>
      </c>
      <c r="C193" s="32">
        <v>41.5</v>
      </c>
      <c r="D193" s="32">
        <v>56</v>
      </c>
    </row>
    <row r="194" spans="1:4">
      <c r="A194" s="32">
        <v>111</v>
      </c>
      <c r="B194" s="32">
        <v>124</v>
      </c>
      <c r="C194" s="32">
        <v>41.5</v>
      </c>
      <c r="D194" s="32">
        <v>56</v>
      </c>
    </row>
    <row r="195" spans="1:4">
      <c r="A195" s="32">
        <v>111</v>
      </c>
      <c r="B195" s="32">
        <v>124</v>
      </c>
      <c r="C195" s="32">
        <v>41.5</v>
      </c>
      <c r="D195" s="32">
        <v>56</v>
      </c>
    </row>
    <row r="196" spans="1:4">
      <c r="A196" s="32">
        <v>111</v>
      </c>
      <c r="B196" s="32">
        <v>124</v>
      </c>
      <c r="C196" s="32">
        <v>41.5</v>
      </c>
      <c r="D196" s="32">
        <v>56</v>
      </c>
    </row>
    <row r="197" spans="1:4">
      <c r="A197" s="32">
        <v>111</v>
      </c>
      <c r="B197" s="32">
        <v>124</v>
      </c>
      <c r="C197" s="32">
        <v>41.5</v>
      </c>
      <c r="D197" s="32">
        <v>56</v>
      </c>
    </row>
    <row r="198" spans="1:4">
      <c r="A198" s="32">
        <v>144</v>
      </c>
      <c r="B198" s="32">
        <v>107.8</v>
      </c>
      <c r="C198" s="32">
        <v>43.95</v>
      </c>
      <c r="D198" s="32">
        <v>60.3</v>
      </c>
    </row>
    <row r="199" spans="1:4">
      <c r="A199" s="32">
        <v>144</v>
      </c>
      <c r="B199" s="32">
        <v>107.8</v>
      </c>
      <c r="C199" s="32">
        <v>43.95</v>
      </c>
      <c r="D199" s="32">
        <v>60.3</v>
      </c>
    </row>
    <row r="200" spans="1:4">
      <c r="A200" s="32">
        <v>144</v>
      </c>
      <c r="B200" s="32">
        <v>107.8</v>
      </c>
      <c r="C200" s="32">
        <v>43.95</v>
      </c>
      <c r="D200" s="32">
        <v>60.3</v>
      </c>
    </row>
    <row r="201" spans="1:4">
      <c r="A201" s="32">
        <v>144</v>
      </c>
      <c r="B201" s="32">
        <v>107.8</v>
      </c>
      <c r="C201" s="32">
        <v>43.95</v>
      </c>
      <c r="D201" s="32">
        <v>60.3</v>
      </c>
    </row>
    <row r="202" spans="1:4">
      <c r="A202" s="32">
        <v>144</v>
      </c>
      <c r="B202" s="32">
        <v>107.8</v>
      </c>
      <c r="C202" s="32">
        <v>43.95</v>
      </c>
      <c r="D202" s="32">
        <v>60.3</v>
      </c>
    </row>
    <row r="203" spans="1:4">
      <c r="A203" s="32">
        <v>144</v>
      </c>
      <c r="B203" s="32">
        <v>107.8</v>
      </c>
      <c r="C203" s="32">
        <v>43.95</v>
      </c>
      <c r="D203" s="32">
        <v>60.3</v>
      </c>
    </row>
    <row r="204" spans="1:4">
      <c r="A204" s="32">
        <v>144</v>
      </c>
      <c r="B204" s="32">
        <v>107.8</v>
      </c>
      <c r="C204" s="32">
        <v>43.95</v>
      </c>
      <c r="D204" s="32">
        <v>60.3</v>
      </c>
    </row>
    <row r="205" spans="1:4">
      <c r="A205" s="32">
        <v>144</v>
      </c>
      <c r="B205" s="32">
        <v>107.8</v>
      </c>
      <c r="C205" s="32">
        <v>43.95</v>
      </c>
      <c r="D205" s="32">
        <v>60.3</v>
      </c>
    </row>
    <row r="206" spans="1:4">
      <c r="A206" s="32">
        <v>144</v>
      </c>
      <c r="B206" s="32">
        <v>107.8</v>
      </c>
      <c r="C206" s="32">
        <v>43.95</v>
      </c>
      <c r="D206" s="32">
        <v>60.3</v>
      </c>
    </row>
    <row r="207" spans="1:4">
      <c r="A207" s="32">
        <v>144</v>
      </c>
      <c r="B207" s="32">
        <v>107.8</v>
      </c>
      <c r="C207" s="32">
        <v>43.95</v>
      </c>
      <c r="D207" s="32">
        <v>60.3</v>
      </c>
    </row>
    <row r="208" spans="1:4">
      <c r="A208" s="32">
        <v>144</v>
      </c>
      <c r="B208" s="32">
        <v>107.8</v>
      </c>
      <c r="C208" s="32">
        <v>43.95</v>
      </c>
      <c r="D208" s="32">
        <v>60.3</v>
      </c>
    </row>
    <row r="209" spans="1:4">
      <c r="A209" s="32">
        <v>144</v>
      </c>
      <c r="B209" s="32">
        <v>107.8</v>
      </c>
      <c r="C209" s="32">
        <v>43.95</v>
      </c>
      <c r="D209" s="32">
        <v>60.3</v>
      </c>
    </row>
    <row r="210" spans="1:4">
      <c r="A210" s="32">
        <v>144</v>
      </c>
      <c r="B210" s="32">
        <v>107.8</v>
      </c>
      <c r="C210" s="32">
        <v>43.95</v>
      </c>
      <c r="D210" s="32">
        <v>60.3</v>
      </c>
    </row>
    <row r="211" spans="1:4">
      <c r="A211" s="32">
        <v>144</v>
      </c>
      <c r="B211" s="32">
        <v>107.8</v>
      </c>
      <c r="C211" s="32">
        <v>43.95</v>
      </c>
      <c r="D211" s="32">
        <v>60.3</v>
      </c>
    </row>
    <row r="212" spans="1:4">
      <c r="A212" s="32">
        <v>144</v>
      </c>
      <c r="B212" s="32">
        <v>107.8</v>
      </c>
      <c r="C212" s="32">
        <v>43.95</v>
      </c>
      <c r="D212" s="32">
        <v>60.3</v>
      </c>
    </row>
    <row r="213" spans="1:4">
      <c r="A213" s="32">
        <v>144</v>
      </c>
      <c r="B213" s="32">
        <v>107.8</v>
      </c>
      <c r="C213" s="32">
        <v>43.95</v>
      </c>
      <c r="D213" s="32">
        <v>60.3</v>
      </c>
    </row>
    <row r="214" spans="1:4">
      <c r="A214" s="32">
        <v>144</v>
      </c>
      <c r="B214" s="32">
        <v>107.8</v>
      </c>
      <c r="C214" s="32">
        <v>43.95</v>
      </c>
      <c r="D214" s="32">
        <v>60.3</v>
      </c>
    </row>
    <row r="215" spans="1:4">
      <c r="A215" s="32">
        <v>144</v>
      </c>
      <c r="B215" s="32">
        <v>107.8</v>
      </c>
      <c r="C215" s="32">
        <v>43.95</v>
      </c>
      <c r="D215" s="32">
        <v>60.3</v>
      </c>
    </row>
    <row r="216" spans="1:4">
      <c r="A216" s="32">
        <v>144</v>
      </c>
      <c r="B216" s="32">
        <v>107.8</v>
      </c>
      <c r="C216" s="32">
        <v>43.95</v>
      </c>
      <c r="D216" s="32">
        <v>60.3</v>
      </c>
    </row>
    <row r="217" spans="1:4">
      <c r="A217" s="32">
        <v>144</v>
      </c>
      <c r="B217" s="32">
        <v>107.8</v>
      </c>
      <c r="C217" s="32">
        <v>43.95</v>
      </c>
      <c r="D217" s="32">
        <v>60.3</v>
      </c>
    </row>
    <row r="218" spans="1:4">
      <c r="A218" s="32">
        <v>161</v>
      </c>
      <c r="B218" s="32">
        <v>91</v>
      </c>
      <c r="C218" s="32">
        <v>44</v>
      </c>
      <c r="D218" s="32">
        <v>15</v>
      </c>
    </row>
    <row r="219" spans="1:4">
      <c r="A219" s="32">
        <v>161</v>
      </c>
      <c r="B219" s="32">
        <v>91</v>
      </c>
      <c r="C219" s="32">
        <v>44</v>
      </c>
      <c r="D219" s="32">
        <v>15</v>
      </c>
    </row>
    <row r="220" spans="1:4">
      <c r="A220" s="32">
        <v>161</v>
      </c>
      <c r="B220" s="32">
        <v>91</v>
      </c>
      <c r="C220" s="32">
        <v>44</v>
      </c>
      <c r="D220" s="32">
        <v>15</v>
      </c>
    </row>
    <row r="221" spans="1:4">
      <c r="A221" s="32">
        <v>161</v>
      </c>
      <c r="B221" s="32">
        <v>91</v>
      </c>
      <c r="C221" s="32">
        <v>44</v>
      </c>
      <c r="D221" s="32">
        <v>15</v>
      </c>
    </row>
    <row r="222" spans="1:4">
      <c r="A222" s="32">
        <v>161</v>
      </c>
      <c r="B222" s="32">
        <v>91</v>
      </c>
      <c r="C222" s="32">
        <v>44</v>
      </c>
      <c r="D222" s="32">
        <v>15</v>
      </c>
    </row>
    <row r="223" spans="1:4">
      <c r="A223" s="32">
        <v>161</v>
      </c>
      <c r="B223" s="32">
        <v>91</v>
      </c>
      <c r="C223" s="32">
        <v>44</v>
      </c>
      <c r="D223" s="32">
        <v>15</v>
      </c>
    </row>
    <row r="224" spans="1:4">
      <c r="A224" s="32">
        <v>161</v>
      </c>
      <c r="B224" s="32">
        <v>91</v>
      </c>
      <c r="C224" s="32">
        <v>44</v>
      </c>
      <c r="D224" s="32">
        <v>15</v>
      </c>
    </row>
    <row r="225" spans="1:4">
      <c r="A225" s="32">
        <v>161</v>
      </c>
      <c r="B225" s="32">
        <v>91</v>
      </c>
      <c r="C225" s="32">
        <v>44</v>
      </c>
      <c r="D225" s="32">
        <v>15</v>
      </c>
    </row>
    <row r="226" spans="1:4">
      <c r="A226" s="32">
        <v>161</v>
      </c>
      <c r="B226" s="32">
        <v>91</v>
      </c>
      <c r="C226" s="32">
        <v>44</v>
      </c>
      <c r="D226" s="32">
        <v>15</v>
      </c>
    </row>
    <row r="227" spans="1:4">
      <c r="A227" s="32">
        <v>161</v>
      </c>
      <c r="B227" s="32">
        <v>91</v>
      </c>
      <c r="C227" s="32">
        <v>44</v>
      </c>
      <c r="D227" s="32">
        <v>15</v>
      </c>
    </row>
    <row r="228" spans="1:4">
      <c r="A228" s="32">
        <v>161</v>
      </c>
      <c r="B228" s="32">
        <v>91</v>
      </c>
      <c r="C228" s="32">
        <v>44</v>
      </c>
      <c r="D228" s="32">
        <v>15</v>
      </c>
    </row>
    <row r="229" spans="1:4">
      <c r="A229" s="32">
        <v>161</v>
      </c>
      <c r="B229" s="32">
        <v>91</v>
      </c>
      <c r="C229" s="32">
        <v>44</v>
      </c>
      <c r="D229" s="32">
        <v>15</v>
      </c>
    </row>
    <row r="230" spans="1:4">
      <c r="A230" s="32">
        <v>161</v>
      </c>
      <c r="B230" s="32">
        <v>91</v>
      </c>
      <c r="C230" s="32">
        <v>44</v>
      </c>
      <c r="D230" s="32">
        <v>15</v>
      </c>
    </row>
    <row r="231" spans="1:4">
      <c r="A231" s="32">
        <v>161</v>
      </c>
      <c r="B231" s="32">
        <v>91</v>
      </c>
      <c r="C231" s="32">
        <v>44</v>
      </c>
      <c r="D231" s="32">
        <v>15</v>
      </c>
    </row>
    <row r="232" spans="1:4">
      <c r="A232" s="32">
        <v>161</v>
      </c>
      <c r="B232" s="32">
        <v>91</v>
      </c>
      <c r="C232" s="32">
        <v>44</v>
      </c>
      <c r="D232" s="32">
        <v>15</v>
      </c>
    </row>
    <row r="233" spans="1:4">
      <c r="A233" s="32">
        <v>161</v>
      </c>
      <c r="B233" s="32">
        <v>91</v>
      </c>
      <c r="C233" s="32">
        <v>44</v>
      </c>
      <c r="D233" s="32">
        <v>15</v>
      </c>
    </row>
    <row r="234" spans="1:4">
      <c r="A234" s="32">
        <v>161</v>
      </c>
      <c r="B234" s="32">
        <v>91</v>
      </c>
      <c r="C234" s="32">
        <v>44</v>
      </c>
      <c r="D234" s="32">
        <v>15</v>
      </c>
    </row>
    <row r="235" spans="1:4">
      <c r="A235" s="32">
        <v>161</v>
      </c>
      <c r="B235" s="32">
        <v>91</v>
      </c>
      <c r="C235" s="32">
        <v>44</v>
      </c>
      <c r="D235" s="32">
        <v>15</v>
      </c>
    </row>
    <row r="236" spans="1:4">
      <c r="A236" s="32">
        <v>161</v>
      </c>
      <c r="B236" s="32">
        <v>91</v>
      </c>
      <c r="C236" s="32">
        <v>44</v>
      </c>
      <c r="D236" s="32">
        <v>15</v>
      </c>
    </row>
    <row r="237" spans="1:4">
      <c r="A237" s="32">
        <v>161</v>
      </c>
      <c r="B237" s="32">
        <v>91</v>
      </c>
      <c r="C237" s="32">
        <v>44</v>
      </c>
      <c r="D237" s="32">
        <v>15</v>
      </c>
    </row>
    <row r="238" spans="1:4">
      <c r="A238" s="32">
        <v>161</v>
      </c>
      <c r="B238" s="32">
        <v>91</v>
      </c>
      <c r="C238" s="32">
        <v>44</v>
      </c>
      <c r="D238" s="32">
        <v>15</v>
      </c>
    </row>
    <row r="239" spans="1:4">
      <c r="A239" s="32">
        <v>161</v>
      </c>
      <c r="B239" s="32">
        <v>91</v>
      </c>
      <c r="C239" s="32">
        <v>44</v>
      </c>
      <c r="D239" s="32">
        <v>15</v>
      </c>
    </row>
    <row r="240" spans="1:4">
      <c r="A240" s="32">
        <v>161</v>
      </c>
      <c r="B240" s="32">
        <v>91</v>
      </c>
      <c r="C240" s="32">
        <v>44</v>
      </c>
      <c r="D240" s="32">
        <v>15</v>
      </c>
    </row>
    <row r="241" spans="1:4">
      <c r="A241" s="32">
        <v>161</v>
      </c>
      <c r="B241" s="32">
        <v>91</v>
      </c>
      <c r="C241" s="32">
        <v>44</v>
      </c>
      <c r="D241" s="32">
        <v>15</v>
      </c>
    </row>
    <row r="242" spans="1:4">
      <c r="A242" s="32">
        <v>161</v>
      </c>
      <c r="B242" s="32">
        <v>91</v>
      </c>
      <c r="C242" s="32">
        <v>44</v>
      </c>
      <c r="D242" s="32">
        <v>15</v>
      </c>
    </row>
    <row r="243" spans="1:4">
      <c r="A243" s="32">
        <v>161</v>
      </c>
      <c r="B243" s="32">
        <v>91</v>
      </c>
      <c r="C243" s="32">
        <v>44</v>
      </c>
      <c r="D243" s="32">
        <v>15</v>
      </c>
    </row>
    <row r="244" spans="1:4">
      <c r="A244" s="32">
        <v>161</v>
      </c>
      <c r="B244" s="32">
        <v>91</v>
      </c>
      <c r="C244" s="32">
        <v>44</v>
      </c>
      <c r="D244" s="32">
        <v>15</v>
      </c>
    </row>
    <row r="245" spans="1:4">
      <c r="A245" s="32">
        <v>161</v>
      </c>
      <c r="B245" s="32">
        <v>91</v>
      </c>
      <c r="C245" s="32">
        <v>44</v>
      </c>
      <c r="D245" s="32">
        <v>15</v>
      </c>
    </row>
    <row r="246" spans="1:4">
      <c r="A246" s="32">
        <v>161</v>
      </c>
      <c r="B246" s="32">
        <v>91</v>
      </c>
      <c r="C246" s="32">
        <v>44</v>
      </c>
      <c r="D246" s="32">
        <v>15</v>
      </c>
    </row>
    <row r="247" spans="1:4">
      <c r="A247" s="32">
        <v>161</v>
      </c>
      <c r="B247" s="32">
        <v>91</v>
      </c>
      <c r="C247" s="32">
        <v>44</v>
      </c>
      <c r="D247" s="32">
        <v>15</v>
      </c>
    </row>
    <row r="248" spans="1:4">
      <c r="A248" s="32">
        <v>161</v>
      </c>
      <c r="B248" s="32">
        <v>91</v>
      </c>
      <c r="C248" s="32">
        <v>44</v>
      </c>
      <c r="D248" s="32">
        <v>15</v>
      </c>
    </row>
    <row r="249" spans="1:4">
      <c r="A249" s="32">
        <v>161</v>
      </c>
      <c r="B249" s="32">
        <v>91</v>
      </c>
      <c r="C249" s="32">
        <v>44</v>
      </c>
      <c r="D249" s="32">
        <v>15</v>
      </c>
    </row>
    <row r="250" spans="1:4">
      <c r="A250" s="32">
        <v>161</v>
      </c>
      <c r="B250" s="32">
        <v>91</v>
      </c>
      <c r="C250" s="32">
        <v>44</v>
      </c>
      <c r="D250" s="32">
        <v>15</v>
      </c>
    </row>
    <row r="251" spans="1:4">
      <c r="A251" s="32">
        <v>161</v>
      </c>
      <c r="B251" s="32">
        <v>91</v>
      </c>
      <c r="C251" s="32">
        <v>44</v>
      </c>
      <c r="D251" s="32">
        <v>15</v>
      </c>
    </row>
    <row r="252" spans="1:4">
      <c r="A252" s="32">
        <v>161</v>
      </c>
      <c r="B252" s="32">
        <v>91</v>
      </c>
      <c r="C252" s="32">
        <v>44</v>
      </c>
      <c r="D252" s="32">
        <v>15</v>
      </c>
    </row>
    <row r="253" spans="1:4">
      <c r="A253" s="32">
        <v>161</v>
      </c>
      <c r="B253" s="32">
        <v>91</v>
      </c>
      <c r="C253" s="32">
        <v>44</v>
      </c>
      <c r="D253" s="32">
        <v>15</v>
      </c>
    </row>
    <row r="254" spans="1:4">
      <c r="A254" s="32">
        <v>161</v>
      </c>
      <c r="B254" s="32">
        <v>91</v>
      </c>
      <c r="C254" s="32">
        <v>44</v>
      </c>
      <c r="D254" s="32">
        <v>15</v>
      </c>
    </row>
    <row r="255" spans="1:4">
      <c r="A255" s="32">
        <v>161</v>
      </c>
      <c r="B255" s="32">
        <v>91</v>
      </c>
      <c r="C255" s="32">
        <v>44</v>
      </c>
      <c r="D255" s="32">
        <v>15</v>
      </c>
    </row>
    <row r="256" spans="1:4">
      <c r="A256" s="32">
        <v>161</v>
      </c>
      <c r="B256" s="32">
        <v>91</v>
      </c>
      <c r="C256" s="32">
        <v>44</v>
      </c>
      <c r="D256" s="32">
        <v>15</v>
      </c>
    </row>
    <row r="257" spans="1:4">
      <c r="A257" s="32">
        <v>161</v>
      </c>
      <c r="B257" s="32">
        <v>91</v>
      </c>
      <c r="C257" s="32">
        <v>44</v>
      </c>
      <c r="D257" s="32">
        <v>15</v>
      </c>
    </row>
    <row r="258" spans="1:4">
      <c r="A258" s="32">
        <v>161</v>
      </c>
      <c r="B258" s="32">
        <v>91</v>
      </c>
      <c r="C258" s="32">
        <v>44</v>
      </c>
      <c r="D258" s="32">
        <v>15</v>
      </c>
    </row>
    <row r="259" spans="1:4">
      <c r="A259" s="32">
        <v>161</v>
      </c>
      <c r="B259" s="32">
        <v>91</v>
      </c>
      <c r="C259" s="32">
        <v>44</v>
      </c>
      <c r="D259" s="32">
        <v>15</v>
      </c>
    </row>
    <row r="260" spans="1:4">
      <c r="A260" s="32">
        <v>161</v>
      </c>
      <c r="B260" s="32">
        <v>91</v>
      </c>
      <c r="C260" s="32">
        <v>44</v>
      </c>
      <c r="D260" s="32">
        <v>15</v>
      </c>
    </row>
    <row r="261" spans="1:4">
      <c r="A261" s="32">
        <v>161</v>
      </c>
      <c r="B261" s="32">
        <v>91</v>
      </c>
      <c r="C261" s="32">
        <v>44</v>
      </c>
      <c r="D261" s="32">
        <v>15</v>
      </c>
    </row>
    <row r="262" spans="1:4">
      <c r="A262" s="32">
        <v>161</v>
      </c>
      <c r="B262" s="32">
        <v>91</v>
      </c>
      <c r="C262" s="32">
        <v>44</v>
      </c>
      <c r="D262" s="32">
        <v>15</v>
      </c>
    </row>
    <row r="263" spans="1:4">
      <c r="A263" s="32">
        <v>161</v>
      </c>
      <c r="B263" s="32">
        <v>91</v>
      </c>
      <c r="C263" s="32">
        <v>44</v>
      </c>
      <c r="D263" s="32">
        <v>15</v>
      </c>
    </row>
    <row r="264" spans="1:4">
      <c r="A264" s="32">
        <v>161</v>
      </c>
      <c r="B264" s="32">
        <v>91</v>
      </c>
      <c r="C264" s="32">
        <v>44</v>
      </c>
      <c r="D264" s="32">
        <v>15</v>
      </c>
    </row>
    <row r="265" spans="1:4">
      <c r="A265" s="32">
        <v>161</v>
      </c>
      <c r="B265" s="32">
        <v>91</v>
      </c>
      <c r="C265" s="32">
        <v>44</v>
      </c>
      <c r="D265" s="32">
        <v>15</v>
      </c>
    </row>
    <row r="266" spans="1:4">
      <c r="A266" s="32">
        <v>161</v>
      </c>
      <c r="B266" s="32">
        <v>91</v>
      </c>
      <c r="C266" s="32">
        <v>44</v>
      </c>
      <c r="D266" s="32">
        <v>15</v>
      </c>
    </row>
    <row r="267" spans="1:4">
      <c r="A267" s="32">
        <v>161</v>
      </c>
      <c r="B267" s="32">
        <v>91</v>
      </c>
      <c r="C267" s="32">
        <v>44</v>
      </c>
      <c r="D267" s="32">
        <v>15</v>
      </c>
    </row>
    <row r="268" spans="1:4">
      <c r="A268" s="32">
        <v>161</v>
      </c>
      <c r="B268" s="32">
        <v>91</v>
      </c>
      <c r="C268" s="32">
        <v>44</v>
      </c>
      <c r="D268" s="32">
        <v>15</v>
      </c>
    </row>
    <row r="269" spans="1:4">
      <c r="A269" s="32">
        <v>161</v>
      </c>
      <c r="B269" s="32">
        <v>91</v>
      </c>
      <c r="C269" s="32">
        <v>44</v>
      </c>
      <c r="D269" s="32">
        <v>15</v>
      </c>
    </row>
    <row r="270" spans="1:4">
      <c r="A270" s="32">
        <v>161</v>
      </c>
      <c r="B270" s="32">
        <v>91</v>
      </c>
      <c r="C270" s="32">
        <v>44</v>
      </c>
      <c r="D270" s="32">
        <v>15</v>
      </c>
    </row>
    <row r="271" spans="1:4">
      <c r="A271" s="32">
        <v>161</v>
      </c>
      <c r="B271" s="32">
        <v>91</v>
      </c>
      <c r="C271" s="32">
        <v>44</v>
      </c>
      <c r="D271" s="32">
        <v>15</v>
      </c>
    </row>
    <row r="272" spans="1:4">
      <c r="A272" s="32">
        <v>161</v>
      </c>
      <c r="B272" s="32">
        <v>91</v>
      </c>
      <c r="C272" s="32">
        <v>44</v>
      </c>
      <c r="D272" s="32">
        <v>15</v>
      </c>
    </row>
    <row r="273" spans="1:4">
      <c r="A273" s="32">
        <v>161</v>
      </c>
      <c r="B273" s="32">
        <v>91</v>
      </c>
      <c r="C273" s="32">
        <v>44</v>
      </c>
      <c r="D273" s="32">
        <v>15</v>
      </c>
    </row>
    <row r="274" spans="1:4">
      <c r="A274" s="32">
        <v>161</v>
      </c>
      <c r="B274" s="32">
        <v>91</v>
      </c>
      <c r="C274" s="32">
        <v>44</v>
      </c>
      <c r="D274" s="32">
        <v>15</v>
      </c>
    </row>
    <row r="275" spans="1:4">
      <c r="A275" s="32">
        <v>161</v>
      </c>
      <c r="B275" s="32">
        <v>91</v>
      </c>
      <c r="C275" s="32">
        <v>44</v>
      </c>
      <c r="D275" s="32">
        <v>15</v>
      </c>
    </row>
    <row r="276" spans="1:4">
      <c r="A276" s="32">
        <v>161</v>
      </c>
      <c r="B276" s="32">
        <v>91</v>
      </c>
      <c r="C276" s="32">
        <v>44</v>
      </c>
      <c r="D276" s="32">
        <v>15</v>
      </c>
    </row>
    <row r="277" spans="1:4">
      <c r="A277" s="32">
        <v>161</v>
      </c>
      <c r="B277" s="32">
        <v>91</v>
      </c>
      <c r="C277" s="32">
        <v>44</v>
      </c>
      <c r="D277" s="32">
        <v>15</v>
      </c>
    </row>
    <row r="278" spans="1:4">
      <c r="A278" s="32">
        <v>161</v>
      </c>
      <c r="B278" s="32">
        <v>91</v>
      </c>
      <c r="C278" s="32">
        <v>44</v>
      </c>
      <c r="D278" s="32">
        <v>15</v>
      </c>
    </row>
    <row r="279" spans="1:4">
      <c r="A279" s="32">
        <v>161</v>
      </c>
      <c r="B279" s="32">
        <v>91</v>
      </c>
      <c r="C279" s="32">
        <v>44</v>
      </c>
      <c r="D279" s="32">
        <v>15</v>
      </c>
    </row>
    <row r="280" spans="1:4">
      <c r="A280" s="32">
        <v>161</v>
      </c>
      <c r="B280" s="32">
        <v>91</v>
      </c>
      <c r="C280" s="32">
        <v>44</v>
      </c>
      <c r="D280" s="32">
        <v>15</v>
      </c>
    </row>
    <row r="281" spans="1:4">
      <c r="A281" s="32">
        <v>161</v>
      </c>
      <c r="B281" s="32">
        <v>91</v>
      </c>
      <c r="C281" s="32">
        <v>44</v>
      </c>
      <c r="D281" s="32">
        <v>15</v>
      </c>
    </row>
    <row r="282" spans="1:4">
      <c r="A282" s="32">
        <v>161</v>
      </c>
      <c r="B282" s="32">
        <v>91</v>
      </c>
      <c r="C282" s="32">
        <v>44</v>
      </c>
      <c r="D282" s="32">
        <v>15</v>
      </c>
    </row>
    <row r="283" spans="1:4">
      <c r="A283" s="32">
        <v>161</v>
      </c>
      <c r="B283" s="32">
        <v>91</v>
      </c>
      <c r="C283" s="32">
        <v>44</v>
      </c>
      <c r="D283" s="32">
        <v>15</v>
      </c>
    </row>
    <row r="284" spans="1:4">
      <c r="A284" s="32">
        <v>161</v>
      </c>
      <c r="B284" s="32">
        <v>91</v>
      </c>
      <c r="C284" s="32">
        <v>44</v>
      </c>
      <c r="D284" s="32">
        <v>15</v>
      </c>
    </row>
    <row r="285" spans="1:4">
      <c r="A285" s="32">
        <v>161</v>
      </c>
      <c r="B285" s="32">
        <v>91</v>
      </c>
      <c r="C285" s="32">
        <v>44</v>
      </c>
      <c r="D285" s="32">
        <v>15</v>
      </c>
    </row>
    <row r="286" spans="1:4">
      <c r="A286" s="32">
        <v>161</v>
      </c>
      <c r="B286" s="32">
        <v>91</v>
      </c>
      <c r="C286" s="32">
        <v>44</v>
      </c>
      <c r="D286" s="32">
        <v>15</v>
      </c>
    </row>
    <row r="287" spans="1:4">
      <c r="A287" s="32">
        <v>161</v>
      </c>
      <c r="B287" s="32">
        <v>91</v>
      </c>
      <c r="C287" s="32">
        <v>44</v>
      </c>
      <c r="D287" s="32">
        <v>15</v>
      </c>
    </row>
    <row r="288" spans="1:4">
      <c r="A288" s="32">
        <v>161</v>
      </c>
      <c r="B288" s="32">
        <v>91</v>
      </c>
      <c r="C288" s="32">
        <v>44</v>
      </c>
      <c r="D288" s="32">
        <v>15</v>
      </c>
    </row>
    <row r="289" spans="1:4">
      <c r="A289" s="32">
        <v>161</v>
      </c>
      <c r="B289" s="32">
        <v>91</v>
      </c>
      <c r="C289" s="32">
        <v>44</v>
      </c>
      <c r="D289" s="32">
        <v>15</v>
      </c>
    </row>
    <row r="290" spans="1:4">
      <c r="A290" s="32">
        <v>161</v>
      </c>
      <c r="B290" s="32">
        <v>91</v>
      </c>
      <c r="C290" s="32">
        <v>44</v>
      </c>
      <c r="D290" s="32">
        <v>15</v>
      </c>
    </row>
    <row r="291" spans="1:4">
      <c r="A291" s="32">
        <v>161</v>
      </c>
      <c r="B291" s="32">
        <v>91</v>
      </c>
      <c r="C291" s="32">
        <v>44</v>
      </c>
      <c r="D291" s="32">
        <v>15</v>
      </c>
    </row>
    <row r="292" spans="1:4">
      <c r="A292" s="32">
        <v>161</v>
      </c>
      <c r="B292" s="32">
        <v>91</v>
      </c>
      <c r="C292" s="32">
        <v>44</v>
      </c>
      <c r="D292" s="32">
        <v>15</v>
      </c>
    </row>
    <row r="293" spans="1:4">
      <c r="A293" s="32">
        <v>161</v>
      </c>
      <c r="B293" s="32">
        <v>91</v>
      </c>
      <c r="C293" s="32">
        <v>44</v>
      </c>
      <c r="D293" s="32">
        <v>15</v>
      </c>
    </row>
    <row r="294" spans="1:4">
      <c r="A294" s="32">
        <v>161</v>
      </c>
      <c r="B294" s="32">
        <v>91</v>
      </c>
      <c r="C294" s="32">
        <v>44</v>
      </c>
      <c r="D294" s="32">
        <v>15</v>
      </c>
    </row>
    <row r="295" spans="1:4">
      <c r="A295" s="32">
        <v>161</v>
      </c>
      <c r="B295" s="32">
        <v>91</v>
      </c>
      <c r="C295" s="32">
        <v>44</v>
      </c>
      <c r="D295" s="32">
        <v>15</v>
      </c>
    </row>
    <row r="296" spans="1:4">
      <c r="A296" s="32">
        <v>161</v>
      </c>
      <c r="B296" s="32">
        <v>91</v>
      </c>
      <c r="C296" s="32">
        <v>44</v>
      </c>
      <c r="D296" s="32">
        <v>15</v>
      </c>
    </row>
    <row r="297" spans="1:4">
      <c r="A297" s="32">
        <v>161</v>
      </c>
      <c r="B297" s="32">
        <v>91</v>
      </c>
      <c r="C297" s="32">
        <v>44</v>
      </c>
      <c r="D297" s="32">
        <v>15</v>
      </c>
    </row>
    <row r="298" spans="1:4">
      <c r="A298" s="32">
        <v>161</v>
      </c>
      <c r="B298" s="32">
        <v>91</v>
      </c>
      <c r="C298" s="32">
        <v>44</v>
      </c>
      <c r="D298" s="32">
        <v>15</v>
      </c>
    </row>
    <row r="299" spans="1:4">
      <c r="A299" s="32">
        <v>161</v>
      </c>
      <c r="B299" s="32">
        <v>91</v>
      </c>
      <c r="C299" s="32">
        <v>44</v>
      </c>
      <c r="D299" s="32">
        <v>15</v>
      </c>
    </row>
    <row r="300" spans="1:4">
      <c r="A300" s="32">
        <v>161</v>
      </c>
      <c r="B300" s="32">
        <v>91</v>
      </c>
      <c r="C300" s="32">
        <v>44</v>
      </c>
      <c r="D300" s="32">
        <v>15</v>
      </c>
    </row>
    <row r="301" spans="1:4">
      <c r="A301" s="32">
        <v>161</v>
      </c>
      <c r="B301" s="32">
        <v>91</v>
      </c>
      <c r="C301" s="32">
        <v>44</v>
      </c>
      <c r="D301" s="32">
        <v>15</v>
      </c>
    </row>
    <row r="302" spans="1:4">
      <c r="A302" s="32">
        <v>161</v>
      </c>
      <c r="B302" s="32">
        <v>91</v>
      </c>
      <c r="C302" s="32">
        <v>44</v>
      </c>
      <c r="D302" s="32">
        <v>15</v>
      </c>
    </row>
    <row r="303" spans="1:4">
      <c r="A303" s="32">
        <v>161</v>
      </c>
      <c r="B303" s="32">
        <v>91</v>
      </c>
      <c r="C303" s="32">
        <v>44</v>
      </c>
      <c r="D303" s="32">
        <v>15</v>
      </c>
    </row>
    <row r="304" spans="1:4">
      <c r="A304" s="32">
        <v>161</v>
      </c>
      <c r="B304" s="32">
        <v>91</v>
      </c>
      <c r="C304" s="32">
        <v>44</v>
      </c>
      <c r="D304" s="32">
        <v>15</v>
      </c>
    </row>
    <row r="305" spans="1:4">
      <c r="A305" s="32">
        <v>161</v>
      </c>
      <c r="B305" s="32">
        <v>91</v>
      </c>
      <c r="C305" s="32">
        <v>44</v>
      </c>
      <c r="D305" s="32">
        <v>15</v>
      </c>
    </row>
    <row r="306" spans="1:4">
      <c r="A306" s="32">
        <v>161</v>
      </c>
      <c r="B306" s="32">
        <v>91</v>
      </c>
      <c r="C306" s="32">
        <v>44</v>
      </c>
      <c r="D306" s="32">
        <v>15</v>
      </c>
    </row>
    <row r="307" spans="1:4">
      <c r="A307" s="32">
        <v>161</v>
      </c>
      <c r="B307" s="32">
        <v>91</v>
      </c>
      <c r="C307" s="32">
        <v>44</v>
      </c>
      <c r="D307" s="32">
        <v>15</v>
      </c>
    </row>
    <row r="308" spans="1:4">
      <c r="A308" s="32">
        <v>161</v>
      </c>
      <c r="B308" s="32">
        <v>91</v>
      </c>
      <c r="C308" s="32">
        <v>44</v>
      </c>
      <c r="D308" s="32">
        <v>15</v>
      </c>
    </row>
    <row r="309" spans="1:4">
      <c r="A309" s="32">
        <v>161</v>
      </c>
      <c r="B309" s="32">
        <v>91</v>
      </c>
      <c r="C309" s="32">
        <v>44</v>
      </c>
      <c r="D309" s="32">
        <v>15</v>
      </c>
    </row>
    <row r="310" spans="1:4">
      <c r="A310" s="32">
        <v>161</v>
      </c>
      <c r="B310" s="32">
        <v>91</v>
      </c>
      <c r="C310" s="32">
        <v>44</v>
      </c>
      <c r="D310" s="32">
        <v>15</v>
      </c>
    </row>
    <row r="311" spans="1:4">
      <c r="A311" s="32">
        <v>161</v>
      </c>
      <c r="B311" s="32">
        <v>91</v>
      </c>
      <c r="C311" s="32">
        <v>44</v>
      </c>
      <c r="D311" s="32">
        <v>15</v>
      </c>
    </row>
    <row r="312" spans="1:4">
      <c r="A312" s="32">
        <v>161</v>
      </c>
      <c r="B312" s="32">
        <v>91</v>
      </c>
      <c r="C312" s="32">
        <v>44</v>
      </c>
      <c r="D312" s="32">
        <v>15</v>
      </c>
    </row>
    <row r="313" spans="1:4">
      <c r="A313" s="32">
        <v>258</v>
      </c>
      <c r="B313" s="32">
        <v>72</v>
      </c>
      <c r="C313" s="32">
        <v>47.6</v>
      </c>
      <c r="D313" s="32">
        <v>8.1999999999999993</v>
      </c>
    </row>
    <row r="314" spans="1:4">
      <c r="A314" s="32">
        <v>258</v>
      </c>
      <c r="B314" s="32">
        <v>72</v>
      </c>
      <c r="C314" s="32">
        <v>47.6</v>
      </c>
      <c r="D314" s="32">
        <v>8.1999999999999993</v>
      </c>
    </row>
    <row r="315" spans="1:4">
      <c r="A315" s="32">
        <v>258</v>
      </c>
      <c r="B315" s="32">
        <v>72</v>
      </c>
      <c r="C315" s="32">
        <v>47.6</v>
      </c>
      <c r="D315" s="32">
        <v>8.1999999999999993</v>
      </c>
    </row>
    <row r="316" spans="1:4">
      <c r="A316" s="32">
        <v>258</v>
      </c>
      <c r="B316" s="32">
        <v>72</v>
      </c>
      <c r="C316" s="32">
        <v>47.6</v>
      </c>
      <c r="D316" s="32">
        <v>8.1999999999999993</v>
      </c>
    </row>
    <row r="317" spans="1:4">
      <c r="A317" s="32">
        <v>258</v>
      </c>
      <c r="B317" s="32">
        <v>72</v>
      </c>
      <c r="C317" s="32">
        <v>47.6</v>
      </c>
      <c r="D317" s="32">
        <v>8.1999999999999993</v>
      </c>
    </row>
    <row r="318" spans="1:4">
      <c r="A318" s="32">
        <v>258</v>
      </c>
      <c r="B318" s="32">
        <v>72</v>
      </c>
      <c r="C318" s="32">
        <v>47.6</v>
      </c>
      <c r="D318" s="32">
        <v>8.1999999999999993</v>
      </c>
    </row>
    <row r="319" spans="1:4">
      <c r="A319" s="32">
        <v>258</v>
      </c>
      <c r="B319" s="32">
        <v>72</v>
      </c>
      <c r="C319" s="32">
        <v>47.6</v>
      </c>
      <c r="D319" s="32">
        <v>8.1999999999999993</v>
      </c>
    </row>
    <row r="320" spans="1:4">
      <c r="A320" s="32">
        <v>258</v>
      </c>
      <c r="B320" s="32">
        <v>72</v>
      </c>
      <c r="C320" s="32">
        <v>47.6</v>
      </c>
      <c r="D320" s="32">
        <v>8.1999999999999993</v>
      </c>
    </row>
    <row r="321" spans="1:4">
      <c r="A321" s="32">
        <v>258</v>
      </c>
      <c r="B321" s="32">
        <v>72</v>
      </c>
      <c r="C321" s="32">
        <v>47.6</v>
      </c>
      <c r="D321" s="32">
        <v>8.1999999999999993</v>
      </c>
    </row>
    <row r="322" spans="1:4">
      <c r="A322" s="32">
        <v>258</v>
      </c>
      <c r="B322" s="32">
        <v>72</v>
      </c>
      <c r="C322" s="32">
        <v>47.6</v>
      </c>
      <c r="D322" s="32">
        <v>8.1999999999999993</v>
      </c>
    </row>
    <row r="323" spans="1:4">
      <c r="A323" s="32">
        <v>258</v>
      </c>
      <c r="B323" s="32">
        <v>72</v>
      </c>
      <c r="C323" s="32">
        <v>47.6</v>
      </c>
      <c r="D323" s="32">
        <v>8.1999999999999993</v>
      </c>
    </row>
    <row r="324" spans="1:4">
      <c r="A324" s="32">
        <v>258</v>
      </c>
      <c r="B324" s="32">
        <v>72</v>
      </c>
      <c r="C324" s="32">
        <v>47.6</v>
      </c>
      <c r="D324" s="32">
        <v>8.1999999999999993</v>
      </c>
    </row>
    <row r="325" spans="1:4">
      <c r="A325" s="32">
        <v>161</v>
      </c>
      <c r="B325" s="32">
        <v>91</v>
      </c>
      <c r="C325" s="32">
        <v>44</v>
      </c>
      <c r="D325" s="32">
        <v>15</v>
      </c>
    </row>
    <row r="326" spans="1:4">
      <c r="A326" s="32">
        <v>161</v>
      </c>
      <c r="B326" s="32">
        <v>91</v>
      </c>
      <c r="C326" s="32">
        <v>44</v>
      </c>
      <c r="D326" s="32">
        <v>15</v>
      </c>
    </row>
    <row r="327" spans="1:4">
      <c r="A327" s="32">
        <v>161</v>
      </c>
      <c r="B327" s="32">
        <v>91</v>
      </c>
      <c r="C327" s="32">
        <v>44</v>
      </c>
      <c r="D327" s="32">
        <v>15</v>
      </c>
    </row>
    <row r="328" spans="1:4">
      <c r="A328" s="32">
        <v>161</v>
      </c>
      <c r="B328" s="32">
        <v>91</v>
      </c>
      <c r="C328" s="32">
        <v>44</v>
      </c>
      <c r="D328" s="32">
        <v>15</v>
      </c>
    </row>
    <row r="329" spans="1:4">
      <c r="A329" s="32">
        <v>161</v>
      </c>
      <c r="B329" s="32">
        <v>91</v>
      </c>
      <c r="C329" s="32">
        <v>44</v>
      </c>
      <c r="D329" s="32">
        <v>15</v>
      </c>
    </row>
    <row r="330" spans="1:4">
      <c r="A330" s="32">
        <v>161</v>
      </c>
      <c r="B330" s="32">
        <v>91</v>
      </c>
      <c r="C330" s="32">
        <v>44</v>
      </c>
      <c r="D330" s="32">
        <v>15</v>
      </c>
    </row>
    <row r="331" spans="1:4">
      <c r="A331" s="32">
        <v>258</v>
      </c>
      <c r="B331" s="32">
        <v>72</v>
      </c>
      <c r="C331" s="32">
        <v>47.6</v>
      </c>
      <c r="D331" s="32">
        <v>8.1999999999999993</v>
      </c>
    </row>
    <row r="332" spans="1:4">
      <c r="A332" s="32">
        <v>258</v>
      </c>
      <c r="B332" s="32">
        <v>72</v>
      </c>
      <c r="C332" s="32">
        <v>47.6</v>
      </c>
      <c r="D332" s="32">
        <v>8.1999999999999993</v>
      </c>
    </row>
    <row r="333" spans="1:4">
      <c r="A333" s="32">
        <v>258</v>
      </c>
      <c r="B333" s="32">
        <v>72</v>
      </c>
      <c r="C333" s="32">
        <v>47.6</v>
      </c>
      <c r="D333" s="32">
        <v>8.1999999999999993</v>
      </c>
    </row>
    <row r="334" spans="1:4">
      <c r="A334" s="32">
        <v>258</v>
      </c>
      <c r="B334" s="32">
        <v>72</v>
      </c>
      <c r="C334" s="32">
        <v>47.6</v>
      </c>
      <c r="D334" s="32">
        <v>8.1999999999999993</v>
      </c>
    </row>
    <row r="335" spans="1:4">
      <c r="A335" s="32">
        <v>144</v>
      </c>
      <c r="B335" s="32">
        <v>107.8</v>
      </c>
      <c r="C335" s="32">
        <v>43.95</v>
      </c>
      <c r="D335" s="32">
        <v>60.3</v>
      </c>
    </row>
    <row r="336" spans="1:4">
      <c r="A336" s="32">
        <v>144</v>
      </c>
      <c r="B336" s="32">
        <v>107.8</v>
      </c>
      <c r="C336" s="32">
        <v>43.95</v>
      </c>
      <c r="D336" s="32">
        <v>60.3</v>
      </c>
    </row>
    <row r="337" spans="1:4">
      <c r="A337" s="32">
        <v>144</v>
      </c>
      <c r="B337" s="32">
        <v>107.8</v>
      </c>
      <c r="C337" s="32">
        <v>43.95</v>
      </c>
      <c r="D337" s="32">
        <v>60.3</v>
      </c>
    </row>
    <row r="338" spans="1:4">
      <c r="A338" s="32">
        <v>144</v>
      </c>
      <c r="B338" s="32">
        <v>107.8</v>
      </c>
      <c r="C338" s="32">
        <v>43.95</v>
      </c>
      <c r="D338" s="32">
        <v>60.3</v>
      </c>
    </row>
    <row r="339" spans="1:4">
      <c r="A339" s="32">
        <v>144</v>
      </c>
      <c r="B339" s="32">
        <v>107.8</v>
      </c>
      <c r="C339" s="32">
        <v>43.95</v>
      </c>
      <c r="D339" s="32">
        <v>60.3</v>
      </c>
    </row>
    <row r="340" spans="1:4">
      <c r="A340" s="32">
        <v>144</v>
      </c>
      <c r="B340" s="32">
        <v>107.8</v>
      </c>
      <c r="C340" s="32">
        <v>43.95</v>
      </c>
      <c r="D340" s="32">
        <v>60.3</v>
      </c>
    </row>
    <row r="341" spans="1:4">
      <c r="A341" s="32">
        <v>144</v>
      </c>
      <c r="B341" s="32">
        <v>107.8</v>
      </c>
      <c r="C341" s="32">
        <v>43.95</v>
      </c>
      <c r="D341" s="32">
        <v>60.3</v>
      </c>
    </row>
    <row r="342" spans="1:4">
      <c r="A342" s="32">
        <v>144</v>
      </c>
      <c r="B342" s="32">
        <v>107.8</v>
      </c>
      <c r="C342" s="32">
        <v>43.95</v>
      </c>
      <c r="D342" s="32">
        <v>60.3</v>
      </c>
    </row>
    <row r="343" spans="1:4">
      <c r="A343" s="32">
        <v>161</v>
      </c>
      <c r="B343" s="32">
        <v>91</v>
      </c>
      <c r="C343" s="32">
        <v>44</v>
      </c>
      <c r="D343" s="32">
        <v>15</v>
      </c>
    </row>
    <row r="344" spans="1:4">
      <c r="A344" s="32">
        <v>161</v>
      </c>
      <c r="B344" s="32">
        <v>91</v>
      </c>
      <c r="C344" s="32">
        <v>44</v>
      </c>
      <c r="D344" s="32">
        <v>15</v>
      </c>
    </row>
    <row r="345" spans="1:4">
      <c r="A345" s="32">
        <v>161</v>
      </c>
      <c r="B345" s="32">
        <v>91</v>
      </c>
      <c r="C345" s="32">
        <v>44</v>
      </c>
      <c r="D345" s="32">
        <v>15</v>
      </c>
    </row>
    <row r="346" spans="1:4">
      <c r="A346" s="32">
        <v>161</v>
      </c>
      <c r="B346" s="32">
        <v>91</v>
      </c>
      <c r="C346" s="32">
        <v>44</v>
      </c>
      <c r="D346" s="32">
        <v>15</v>
      </c>
    </row>
    <row r="347" spans="1:4">
      <c r="A347" s="32">
        <v>161</v>
      </c>
      <c r="B347" s="32">
        <v>91</v>
      </c>
      <c r="C347" s="32">
        <v>44</v>
      </c>
      <c r="D347" s="32">
        <v>15</v>
      </c>
    </row>
    <row r="348" spans="1:4">
      <c r="A348" s="32">
        <v>161</v>
      </c>
      <c r="B348" s="32">
        <v>91</v>
      </c>
      <c r="C348" s="32">
        <v>44</v>
      </c>
      <c r="D348" s="32">
        <v>15</v>
      </c>
    </row>
    <row r="349" spans="1:4">
      <c r="A349" s="32">
        <v>144</v>
      </c>
      <c r="B349" s="32">
        <v>107.8</v>
      </c>
      <c r="C349" s="32">
        <v>43.95</v>
      </c>
      <c r="D349" s="32">
        <v>60.3</v>
      </c>
    </row>
    <row r="350" spans="1:4">
      <c r="A350" s="32">
        <v>144</v>
      </c>
      <c r="B350" s="32">
        <v>107.8</v>
      </c>
      <c r="C350" s="32">
        <v>43.95</v>
      </c>
      <c r="D350" s="32">
        <v>60.3</v>
      </c>
    </row>
    <row r="351" spans="1:4">
      <c r="A351" s="32">
        <v>144</v>
      </c>
      <c r="B351" s="32">
        <v>107.8</v>
      </c>
      <c r="C351" s="32">
        <v>43.95</v>
      </c>
      <c r="D351" s="32">
        <v>60.3</v>
      </c>
    </row>
    <row r="352" spans="1:4">
      <c r="A352" s="32">
        <v>144</v>
      </c>
      <c r="B352" s="32">
        <v>107.8</v>
      </c>
      <c r="C352" s="32">
        <v>43.95</v>
      </c>
      <c r="D352" s="32">
        <v>60.3</v>
      </c>
    </row>
    <row r="353" spans="1:4">
      <c r="A353" s="32">
        <v>144</v>
      </c>
      <c r="B353" s="32">
        <v>107.8</v>
      </c>
      <c r="C353" s="32">
        <v>43.95</v>
      </c>
      <c r="D353" s="32">
        <v>60.3</v>
      </c>
    </row>
    <row r="354" spans="1:4">
      <c r="A354" s="32">
        <v>144</v>
      </c>
      <c r="B354" s="32">
        <v>107.8</v>
      </c>
      <c r="C354" s="32">
        <v>43.95</v>
      </c>
      <c r="D354" s="32">
        <v>60.3</v>
      </c>
    </row>
    <row r="355" spans="1:4">
      <c r="A355" s="32">
        <v>161</v>
      </c>
      <c r="B355" s="32">
        <v>91</v>
      </c>
      <c r="C355" s="32">
        <v>44</v>
      </c>
      <c r="D355" s="32">
        <v>15</v>
      </c>
    </row>
    <row r="356" spans="1:4">
      <c r="A356" s="32">
        <v>161</v>
      </c>
      <c r="B356" s="32">
        <v>91</v>
      </c>
      <c r="C356" s="32">
        <v>44</v>
      </c>
      <c r="D356" s="32">
        <v>15</v>
      </c>
    </row>
    <row r="357" spans="1:4">
      <c r="A357" s="32">
        <v>161</v>
      </c>
      <c r="B357" s="32">
        <v>91</v>
      </c>
      <c r="C357" s="32">
        <v>44</v>
      </c>
      <c r="D357" s="32">
        <v>15</v>
      </c>
    </row>
    <row r="358" spans="1:4">
      <c r="A358" s="32">
        <v>161</v>
      </c>
      <c r="B358" s="32">
        <v>91</v>
      </c>
      <c r="C358" s="32">
        <v>44</v>
      </c>
      <c r="D358" s="32">
        <v>15</v>
      </c>
    </row>
    <row r="359" spans="1:4">
      <c r="A359" s="32">
        <v>161</v>
      </c>
      <c r="B359" s="32">
        <v>91</v>
      </c>
      <c r="C359" s="32">
        <v>44</v>
      </c>
      <c r="D359" s="32">
        <v>15</v>
      </c>
    </row>
    <row r="360" spans="1:4">
      <c r="A360" s="32">
        <v>161</v>
      </c>
      <c r="B360" s="32">
        <v>91</v>
      </c>
      <c r="C360" s="32">
        <v>44</v>
      </c>
      <c r="D360" s="32">
        <v>15</v>
      </c>
    </row>
    <row r="361" spans="1:4">
      <c r="A361" s="32">
        <v>258</v>
      </c>
      <c r="B361" s="32">
        <v>72</v>
      </c>
      <c r="C361" s="32">
        <v>47.6</v>
      </c>
      <c r="D361" s="32">
        <v>8.1999999999999993</v>
      </c>
    </row>
    <row r="362" spans="1:4">
      <c r="A362" s="32">
        <v>258</v>
      </c>
      <c r="B362" s="32">
        <v>72</v>
      </c>
      <c r="C362" s="32">
        <v>47.6</v>
      </c>
      <c r="D362" s="32">
        <v>8.1999999999999993</v>
      </c>
    </row>
    <row r="363" spans="1:4">
      <c r="A363" s="32">
        <v>258</v>
      </c>
      <c r="B363" s="32">
        <v>72</v>
      </c>
      <c r="C363" s="32">
        <v>47.6</v>
      </c>
      <c r="D363" s="32">
        <v>8.1999999999999993</v>
      </c>
    </row>
    <row r="364" spans="1:4">
      <c r="A364" s="32">
        <v>258</v>
      </c>
      <c r="B364" s="32">
        <v>72</v>
      </c>
      <c r="C364" s="32">
        <v>47.6</v>
      </c>
      <c r="D364" s="32">
        <v>8.1999999999999993</v>
      </c>
    </row>
    <row r="365" spans="1:4">
      <c r="A365" s="32">
        <v>258</v>
      </c>
      <c r="B365" s="32">
        <v>72</v>
      </c>
      <c r="C365" s="32">
        <v>47.6</v>
      </c>
      <c r="D365" s="32">
        <v>8.1999999999999993</v>
      </c>
    </row>
    <row r="366" spans="1:4">
      <c r="A366" s="32">
        <v>258</v>
      </c>
      <c r="B366" s="32">
        <v>72</v>
      </c>
      <c r="C366" s="32">
        <v>47.6</v>
      </c>
      <c r="D366" s="32">
        <v>8.1999999999999993</v>
      </c>
    </row>
    <row r="367" spans="1:4">
      <c r="A367" s="32">
        <v>111</v>
      </c>
      <c r="B367" s="32">
        <v>124</v>
      </c>
      <c r="C367" s="32">
        <v>41.5</v>
      </c>
      <c r="D367" s="32">
        <v>56</v>
      </c>
    </row>
    <row r="368" spans="1:4">
      <c r="A368" s="32">
        <v>111</v>
      </c>
      <c r="B368" s="32">
        <v>124</v>
      </c>
      <c r="C368" s="32">
        <v>41.5</v>
      </c>
      <c r="D368" s="32">
        <v>56</v>
      </c>
    </row>
    <row r="369" spans="1:4">
      <c r="A369" s="32">
        <v>111</v>
      </c>
      <c r="B369" s="32">
        <v>124</v>
      </c>
      <c r="C369" s="32">
        <v>41.5</v>
      </c>
      <c r="D369" s="32">
        <v>56</v>
      </c>
    </row>
    <row r="370" spans="1:4">
      <c r="A370" s="32">
        <v>111</v>
      </c>
      <c r="B370" s="32">
        <v>124</v>
      </c>
      <c r="C370" s="32">
        <v>41.5</v>
      </c>
      <c r="D370" s="32">
        <v>56</v>
      </c>
    </row>
    <row r="371" spans="1:4">
      <c r="A371" s="32">
        <v>111</v>
      </c>
      <c r="B371" s="32">
        <v>124</v>
      </c>
      <c r="C371" s="32">
        <v>41.5</v>
      </c>
      <c r="D371" s="32">
        <v>56</v>
      </c>
    </row>
    <row r="372" spans="1:4">
      <c r="A372" s="32">
        <v>111</v>
      </c>
      <c r="B372" s="32">
        <v>124</v>
      </c>
      <c r="C372" s="32">
        <v>41.5</v>
      </c>
      <c r="D372" s="32">
        <v>56</v>
      </c>
    </row>
    <row r="373" spans="1:4">
      <c r="A373" s="32">
        <v>258</v>
      </c>
      <c r="B373" s="32">
        <v>72</v>
      </c>
      <c r="C373" s="32">
        <v>47.6</v>
      </c>
      <c r="D373" s="32">
        <v>8.1999999999999993</v>
      </c>
    </row>
    <row r="374" spans="1:4">
      <c r="A374" s="32">
        <v>258</v>
      </c>
      <c r="B374" s="32">
        <v>72</v>
      </c>
      <c r="C374" s="32">
        <v>47.6</v>
      </c>
      <c r="D374" s="32">
        <v>8.1999999999999993</v>
      </c>
    </row>
    <row r="375" spans="1:4">
      <c r="A375" s="32">
        <v>258</v>
      </c>
      <c r="B375" s="32">
        <v>72</v>
      </c>
      <c r="C375" s="32">
        <v>47.6</v>
      </c>
      <c r="D375" s="32">
        <v>8.1999999999999993</v>
      </c>
    </row>
    <row r="376" spans="1:4">
      <c r="A376" s="32">
        <v>258</v>
      </c>
      <c r="B376" s="32">
        <v>72</v>
      </c>
      <c r="C376" s="32">
        <v>47.6</v>
      </c>
      <c r="D376" s="32">
        <v>8.1999999999999993</v>
      </c>
    </row>
    <row r="377" spans="1:4">
      <c r="A377" s="32">
        <v>258</v>
      </c>
      <c r="B377" s="32">
        <v>72</v>
      </c>
      <c r="C377" s="32">
        <v>47.6</v>
      </c>
      <c r="D377" s="32">
        <v>8.1999999999999993</v>
      </c>
    </row>
    <row r="378" spans="1:4">
      <c r="A378" s="32">
        <v>258</v>
      </c>
      <c r="B378" s="32">
        <v>72</v>
      </c>
      <c r="C378" s="32">
        <v>47.6</v>
      </c>
      <c r="D378" s="32">
        <v>8.1999999999999993</v>
      </c>
    </row>
  </sheetData>
  <sheetProtection formatCells="0" insertHyperlinks="0" autoFilter="0"/>
  <mergeCells count="37">
    <mergeCell ref="A1:A2"/>
    <mergeCell ref="B1:B2"/>
    <mergeCell ref="C1:C2"/>
    <mergeCell ref="D1:D2"/>
    <mergeCell ref="E1:E2"/>
    <mergeCell ref="N1:N2"/>
    <mergeCell ref="O1:O2"/>
    <mergeCell ref="F1:F2"/>
    <mergeCell ref="G1:G2"/>
    <mergeCell ref="H1:H2"/>
    <mergeCell ref="I1:I2"/>
    <mergeCell ref="J1:J2"/>
    <mergeCell ref="L1:L2"/>
    <mergeCell ref="F40:F42"/>
    <mergeCell ref="F43:F45"/>
    <mergeCell ref="F3:F4"/>
    <mergeCell ref="F6:F12"/>
    <mergeCell ref="M1:M2"/>
    <mergeCell ref="F14:F18"/>
    <mergeCell ref="F19:F24"/>
    <mergeCell ref="F31:F32"/>
    <mergeCell ref="F33:F34"/>
    <mergeCell ref="F36:F38"/>
    <mergeCell ref="F64:F65"/>
    <mergeCell ref="F66:F69"/>
    <mergeCell ref="F70:F73"/>
    <mergeCell ref="F46:F47"/>
    <mergeCell ref="F48:F49"/>
    <mergeCell ref="F50:F51"/>
    <mergeCell ref="F54:F55"/>
    <mergeCell ref="F56:F63"/>
    <mergeCell ref="F88:F91"/>
    <mergeCell ref="F92:F93"/>
    <mergeCell ref="F74:F79"/>
    <mergeCell ref="F80:F81"/>
    <mergeCell ref="F82:F83"/>
    <mergeCell ref="F84:F87"/>
  </mergeCells>
  <phoneticPr fontId="34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4FCC3F-7817-4D2C-87F7-F310DCF88472}">
  <dimension ref="A1:M315"/>
  <sheetViews>
    <sheetView topLeftCell="A29" workbookViewId="0">
      <selection activeCell="K1" sqref="K1:M1048576"/>
    </sheetView>
  </sheetViews>
  <sheetFormatPr defaultColWidth="9" defaultRowHeight="13.8"/>
  <cols>
    <col min="1" max="1" width="9" style="37"/>
    <col min="2" max="2" width="14.109375" style="37" customWidth="1"/>
    <col min="3" max="3" width="17.109375" style="37" customWidth="1"/>
    <col min="4" max="4" width="18.6640625" style="37" customWidth="1"/>
    <col min="5" max="5" width="10.6640625" style="37" customWidth="1"/>
    <col min="6" max="6" width="12" style="37" customWidth="1"/>
    <col min="7" max="7" width="14.77734375" style="37" customWidth="1"/>
    <col min="8" max="8" width="13.6640625" style="37" customWidth="1"/>
    <col min="9" max="9" width="13.109375" style="37" customWidth="1"/>
    <col min="10" max="10" width="12.21875" style="2" customWidth="1"/>
    <col min="11" max="11" width="11.44140625" style="239" customWidth="1"/>
    <col min="12" max="13" width="12.109375" style="239" customWidth="1"/>
  </cols>
  <sheetData>
    <row r="1" spans="1:13" ht="14.4">
      <c r="A1" s="253" t="s">
        <v>269</v>
      </c>
      <c r="B1" s="244" t="s">
        <v>166</v>
      </c>
      <c r="C1" s="253" t="s">
        <v>270</v>
      </c>
      <c r="D1" s="253" t="s">
        <v>271</v>
      </c>
      <c r="E1" s="253" t="s">
        <v>50</v>
      </c>
      <c r="F1" s="253" t="s">
        <v>49</v>
      </c>
      <c r="G1" s="253" t="s">
        <v>367</v>
      </c>
      <c r="H1" s="253"/>
      <c r="I1" s="253"/>
      <c r="J1" s="254" t="s">
        <v>360</v>
      </c>
      <c r="K1" s="251" t="s">
        <v>361</v>
      </c>
      <c r="L1" s="251" t="s">
        <v>362</v>
      </c>
      <c r="M1" s="251" t="s">
        <v>363</v>
      </c>
    </row>
    <row r="2" spans="1:13" ht="14.4">
      <c r="A2" s="253"/>
      <c r="B2" s="246"/>
      <c r="C2" s="253"/>
      <c r="D2" s="253"/>
      <c r="E2" s="253"/>
      <c r="F2" s="253"/>
      <c r="G2" s="37" t="s">
        <v>374</v>
      </c>
      <c r="H2" s="37" t="s">
        <v>375</v>
      </c>
      <c r="I2" s="37" t="s">
        <v>376</v>
      </c>
      <c r="J2" s="255"/>
      <c r="K2" s="252"/>
      <c r="L2" s="252"/>
      <c r="M2" s="252"/>
    </row>
    <row r="3" spans="1:13">
      <c r="A3" s="37" t="s">
        <v>60</v>
      </c>
      <c r="B3" s="250" t="s">
        <v>518</v>
      </c>
      <c r="C3" s="37" t="s">
        <v>324</v>
      </c>
      <c r="D3" s="37" t="s">
        <v>324</v>
      </c>
      <c r="E3" s="49">
        <f t="shared" ref="E3:E63" si="0">100*F3/(100-F3)</f>
        <v>4.2999999999999963</v>
      </c>
      <c r="F3" s="50">
        <v>4.1227229146692199</v>
      </c>
      <c r="G3" s="37" t="s">
        <v>73</v>
      </c>
      <c r="H3" s="51">
        <v>426.66666666666703</v>
      </c>
      <c r="I3" s="37" t="s">
        <v>73</v>
      </c>
      <c r="J3" s="49">
        <v>161</v>
      </c>
      <c r="K3" s="78">
        <v>91</v>
      </c>
      <c r="L3" s="78">
        <v>44</v>
      </c>
      <c r="M3" s="78">
        <v>15</v>
      </c>
    </row>
    <row r="4" spans="1:13">
      <c r="A4" s="37" t="s">
        <v>60</v>
      </c>
      <c r="B4" s="246"/>
      <c r="C4" s="37" t="s">
        <v>524</v>
      </c>
      <c r="D4" s="37" t="s">
        <v>524</v>
      </c>
      <c r="E4" s="49">
        <f t="shared" si="0"/>
        <v>4.2999999999999963</v>
      </c>
      <c r="F4" s="50">
        <v>4.1227229146692199</v>
      </c>
      <c r="G4" s="37" t="s">
        <v>73</v>
      </c>
      <c r="H4" s="51">
        <v>601</v>
      </c>
      <c r="I4" s="37" t="s">
        <v>73</v>
      </c>
      <c r="J4" s="49">
        <v>161</v>
      </c>
      <c r="K4" s="78">
        <v>91</v>
      </c>
      <c r="L4" s="78">
        <v>44</v>
      </c>
      <c r="M4" s="78">
        <v>15</v>
      </c>
    </row>
    <row r="5" spans="1:13" ht="27.6">
      <c r="A5" s="37" t="s">
        <v>60</v>
      </c>
      <c r="B5" s="234" t="s">
        <v>521</v>
      </c>
      <c r="C5" s="37" t="s">
        <v>556</v>
      </c>
      <c r="D5" s="37" t="s">
        <v>556</v>
      </c>
      <c r="E5" s="49">
        <f t="shared" si="0"/>
        <v>4.2999999999999963</v>
      </c>
      <c r="F5" s="50">
        <v>4.1227229146692199</v>
      </c>
      <c r="G5" s="37" t="s">
        <v>73</v>
      </c>
      <c r="H5" s="51">
        <v>407</v>
      </c>
      <c r="I5" s="37" t="s">
        <v>73</v>
      </c>
      <c r="J5" s="49">
        <v>161</v>
      </c>
      <c r="K5" s="78">
        <v>91</v>
      </c>
      <c r="L5" s="78">
        <v>44</v>
      </c>
      <c r="M5" s="78">
        <v>15</v>
      </c>
    </row>
    <row r="6" spans="1:13" ht="14.4">
      <c r="A6" s="37" t="s">
        <v>69</v>
      </c>
      <c r="B6" s="244" t="s">
        <v>384</v>
      </c>
      <c r="C6" s="37" t="s">
        <v>557</v>
      </c>
      <c r="D6" s="55" t="s">
        <v>558</v>
      </c>
      <c r="E6" s="49">
        <f t="shared" si="0"/>
        <v>4.1999999999999984</v>
      </c>
      <c r="F6" s="56">
        <v>4.0307101727447199</v>
      </c>
      <c r="G6" s="49">
        <v>8.3813877551020397</v>
      </c>
      <c r="H6" s="49">
        <v>2493.3447000000101</v>
      </c>
      <c r="I6" s="49">
        <v>3361.5038286130298</v>
      </c>
      <c r="J6" s="49">
        <v>161</v>
      </c>
      <c r="K6" s="78">
        <v>91</v>
      </c>
      <c r="L6" s="78">
        <v>44</v>
      </c>
      <c r="M6" s="78">
        <v>15</v>
      </c>
    </row>
    <row r="7" spans="1:13" ht="14.4">
      <c r="A7" s="37" t="s">
        <v>69</v>
      </c>
      <c r="B7" s="245"/>
      <c r="C7" s="37" t="s">
        <v>557</v>
      </c>
      <c r="D7" s="55" t="s">
        <v>559</v>
      </c>
      <c r="E7" s="49">
        <f t="shared" si="0"/>
        <v>4.1999999999999984</v>
      </c>
      <c r="F7" s="56">
        <v>4.0307101727447199</v>
      </c>
      <c r="G7" s="49">
        <v>9.23771428571429</v>
      </c>
      <c r="H7" s="49">
        <v>2407.5927750000101</v>
      </c>
      <c r="I7" s="49">
        <v>3836.9089580418199</v>
      </c>
      <c r="J7" s="49">
        <v>161</v>
      </c>
      <c r="K7" s="78">
        <v>91</v>
      </c>
      <c r="L7" s="78">
        <v>44</v>
      </c>
      <c r="M7" s="78">
        <v>15</v>
      </c>
    </row>
    <row r="8" spans="1:13" ht="14.4">
      <c r="A8" s="37" t="s">
        <v>69</v>
      </c>
      <c r="B8" s="245"/>
      <c r="C8" s="37" t="s">
        <v>557</v>
      </c>
      <c r="D8" s="55" t="s">
        <v>560</v>
      </c>
      <c r="E8" s="49">
        <f t="shared" si="0"/>
        <v>4.1999999999999984</v>
      </c>
      <c r="F8" s="56">
        <v>4.0307101727447199</v>
      </c>
      <c r="G8" s="49">
        <v>9.7546938775510199</v>
      </c>
      <c r="H8" s="49">
        <v>1943.9547750000099</v>
      </c>
      <c r="I8" s="49">
        <v>5017.9633821733196</v>
      </c>
      <c r="J8" s="49">
        <v>161</v>
      </c>
      <c r="K8" s="78">
        <v>91</v>
      </c>
      <c r="L8" s="78">
        <v>44</v>
      </c>
      <c r="M8" s="78">
        <v>15</v>
      </c>
    </row>
    <row r="9" spans="1:13" ht="14.4">
      <c r="A9" s="37" t="s">
        <v>69</v>
      </c>
      <c r="B9" s="245"/>
      <c r="C9" s="37" t="s">
        <v>557</v>
      </c>
      <c r="D9" s="55" t="s">
        <v>561</v>
      </c>
      <c r="E9" s="49">
        <f t="shared" si="0"/>
        <v>4.1999999999999984</v>
      </c>
      <c r="F9" s="56">
        <v>4.0307101727447199</v>
      </c>
      <c r="G9" s="49">
        <v>10.488081632653101</v>
      </c>
      <c r="H9" s="49">
        <v>2317.76002500001</v>
      </c>
      <c r="I9" s="49">
        <v>4525.0938490291101</v>
      </c>
      <c r="J9" s="49">
        <v>161</v>
      </c>
      <c r="K9" s="78">
        <v>91</v>
      </c>
      <c r="L9" s="78">
        <v>44</v>
      </c>
      <c r="M9" s="78">
        <v>15</v>
      </c>
    </row>
    <row r="10" spans="1:13" ht="14.4">
      <c r="A10" s="37" t="s">
        <v>69</v>
      </c>
      <c r="B10" s="245"/>
      <c r="C10" s="37" t="s">
        <v>557</v>
      </c>
      <c r="D10" s="55" t="s">
        <v>562</v>
      </c>
      <c r="E10" s="49">
        <f t="shared" si="0"/>
        <v>4.1999999999999984</v>
      </c>
      <c r="F10" s="56">
        <v>4.0307101727447199</v>
      </c>
      <c r="G10" s="49">
        <v>8.5588571428571392</v>
      </c>
      <c r="H10" s="49">
        <v>2132.2318500000001</v>
      </c>
      <c r="I10" s="49">
        <v>4014.0368144567101</v>
      </c>
      <c r="J10" s="49">
        <v>161</v>
      </c>
      <c r="K10" s="78">
        <v>91</v>
      </c>
      <c r="L10" s="78">
        <v>44</v>
      </c>
      <c r="M10" s="78">
        <v>15</v>
      </c>
    </row>
    <row r="11" spans="1:13" ht="14.4">
      <c r="A11" s="37" t="s">
        <v>69</v>
      </c>
      <c r="B11" s="245"/>
      <c r="C11" s="37" t="s">
        <v>563</v>
      </c>
      <c r="D11" s="55" t="s">
        <v>564</v>
      </c>
      <c r="E11" s="49">
        <f t="shared" si="0"/>
        <v>4.1999999999999984</v>
      </c>
      <c r="F11" s="56">
        <v>4.0307101727447199</v>
      </c>
      <c r="G11" s="49">
        <v>10.1548571428571</v>
      </c>
      <c r="H11" s="49">
        <v>2335.88985000001</v>
      </c>
      <c r="I11" s="49">
        <v>4347.3184931460301</v>
      </c>
      <c r="J11" s="49">
        <v>144</v>
      </c>
      <c r="K11" s="78">
        <v>107.8</v>
      </c>
      <c r="L11" s="78">
        <v>43.95</v>
      </c>
      <c r="M11" s="78">
        <v>60.3</v>
      </c>
    </row>
    <row r="12" spans="1:13" ht="14.4">
      <c r="A12" s="37" t="s">
        <v>69</v>
      </c>
      <c r="B12" s="245"/>
      <c r="C12" s="37" t="s">
        <v>563</v>
      </c>
      <c r="D12" s="55" t="s">
        <v>565</v>
      </c>
      <c r="E12" s="49">
        <f t="shared" si="0"/>
        <v>4.1999999999999984</v>
      </c>
      <c r="F12" s="56">
        <v>4.0307101727447199</v>
      </c>
      <c r="G12" s="49">
        <v>9.4511020408163304</v>
      </c>
      <c r="H12" s="49">
        <v>2586.0344999999902</v>
      </c>
      <c r="I12" s="49">
        <v>3654.66974273404</v>
      </c>
      <c r="J12" s="49">
        <v>144</v>
      </c>
      <c r="K12" s="78">
        <v>107.8</v>
      </c>
      <c r="L12" s="78">
        <v>43.95</v>
      </c>
      <c r="M12" s="78">
        <v>60.3</v>
      </c>
    </row>
    <row r="13" spans="1:13" ht="14.4">
      <c r="A13" s="37" t="s">
        <v>69</v>
      </c>
      <c r="B13" s="245"/>
      <c r="C13" s="37" t="s">
        <v>563</v>
      </c>
      <c r="D13" s="55" t="s">
        <v>566</v>
      </c>
      <c r="E13" s="49">
        <f t="shared" si="0"/>
        <v>4.1999999999999984</v>
      </c>
      <c r="F13" s="56">
        <v>4.0307101727447199</v>
      </c>
      <c r="G13" s="49">
        <v>9.3856326530612204</v>
      </c>
      <c r="H13" s="49">
        <v>2133.2209499999999</v>
      </c>
      <c r="I13" s="49">
        <v>4399.7470834238802</v>
      </c>
      <c r="J13" s="49">
        <v>144</v>
      </c>
      <c r="K13" s="78">
        <v>107.8</v>
      </c>
      <c r="L13" s="78">
        <v>43.95</v>
      </c>
      <c r="M13" s="78">
        <v>60.3</v>
      </c>
    </row>
    <row r="14" spans="1:13" ht="14.4">
      <c r="A14" s="37" t="s">
        <v>69</v>
      </c>
      <c r="B14" s="245"/>
      <c r="C14" s="37" t="s">
        <v>563</v>
      </c>
      <c r="D14" s="55" t="s">
        <v>567</v>
      </c>
      <c r="E14" s="49">
        <f t="shared" si="0"/>
        <v>4.1999999999999984</v>
      </c>
      <c r="F14" s="56">
        <v>4.0307101727447199</v>
      </c>
      <c r="G14" s="49">
        <v>10.031836734693901</v>
      </c>
      <c r="H14" s="49">
        <v>2432.8741500000001</v>
      </c>
      <c r="I14" s="49">
        <v>4123.4507484466103</v>
      </c>
      <c r="J14" s="49">
        <v>144</v>
      </c>
      <c r="K14" s="78">
        <v>107.8</v>
      </c>
      <c r="L14" s="78">
        <v>43.95</v>
      </c>
      <c r="M14" s="78">
        <v>60.3</v>
      </c>
    </row>
    <row r="15" spans="1:13" ht="14.4">
      <c r="A15" s="37" t="s">
        <v>69</v>
      </c>
      <c r="B15" s="245"/>
      <c r="C15" s="37" t="s">
        <v>563</v>
      </c>
      <c r="D15" s="55" t="s">
        <v>568</v>
      </c>
      <c r="E15" s="49">
        <f t="shared" si="0"/>
        <v>4.1999999999999984</v>
      </c>
      <c r="F15" s="56">
        <v>4.0307101727447199</v>
      </c>
      <c r="G15" s="49">
        <v>11.425387755101999</v>
      </c>
      <c r="H15" s="49">
        <v>2530.8491249999902</v>
      </c>
      <c r="I15" s="49">
        <v>4514.4483889777703</v>
      </c>
      <c r="J15" s="49">
        <v>144</v>
      </c>
      <c r="K15" s="78">
        <v>107.8</v>
      </c>
      <c r="L15" s="78">
        <v>43.95</v>
      </c>
      <c r="M15" s="78">
        <v>60.3</v>
      </c>
    </row>
    <row r="16" spans="1:13" ht="14.4">
      <c r="A16" s="37" t="s">
        <v>69</v>
      </c>
      <c r="B16" s="245"/>
      <c r="C16" s="37" t="s">
        <v>569</v>
      </c>
      <c r="D16" s="55" t="s">
        <v>570</v>
      </c>
      <c r="E16" s="49">
        <f t="shared" si="0"/>
        <v>4.1999999999999984</v>
      </c>
      <c r="F16" s="56">
        <v>4.0307101727447199</v>
      </c>
      <c r="G16" s="49">
        <v>8.7768979591836693</v>
      </c>
      <c r="H16" s="49">
        <v>2317.16467500001</v>
      </c>
      <c r="I16" s="49">
        <v>3787.7747981738198</v>
      </c>
      <c r="J16" s="49">
        <v>111</v>
      </c>
      <c r="K16" s="78">
        <v>124</v>
      </c>
      <c r="L16" s="78">
        <v>41.5</v>
      </c>
      <c r="M16" s="78">
        <v>56</v>
      </c>
    </row>
    <row r="17" spans="1:13" ht="14.4">
      <c r="A17" s="37" t="s">
        <v>69</v>
      </c>
      <c r="B17" s="245"/>
      <c r="C17" s="37" t="s">
        <v>569</v>
      </c>
      <c r="D17" s="55" t="s">
        <v>571</v>
      </c>
      <c r="E17" s="49">
        <f t="shared" si="0"/>
        <v>4.1999999999999984</v>
      </c>
      <c r="F17" s="56">
        <v>4.0307101727447199</v>
      </c>
      <c r="G17" s="49">
        <v>7.6994285714285704</v>
      </c>
      <c r="H17" s="49">
        <v>2696.6504249999998</v>
      </c>
      <c r="I17" s="49">
        <v>2855.1823032192101</v>
      </c>
      <c r="J17" s="49">
        <v>111</v>
      </c>
      <c r="K17" s="78">
        <v>124</v>
      </c>
      <c r="L17" s="78">
        <v>41.5</v>
      </c>
      <c r="M17" s="78">
        <v>56</v>
      </c>
    </row>
    <row r="18" spans="1:13" ht="14.4">
      <c r="A18" s="37" t="s">
        <v>69</v>
      </c>
      <c r="B18" s="245"/>
      <c r="C18" s="37" t="s">
        <v>569</v>
      </c>
      <c r="D18" s="55" t="s">
        <v>572</v>
      </c>
      <c r="E18" s="49">
        <f t="shared" si="0"/>
        <v>4.1999999999999984</v>
      </c>
      <c r="F18" s="56">
        <v>4.0307101727447199</v>
      </c>
      <c r="G18" s="49">
        <v>9.7936326530612305</v>
      </c>
      <c r="H18" s="49">
        <v>2529.7266749999899</v>
      </c>
      <c r="I18" s="49">
        <v>3871.4192919918</v>
      </c>
      <c r="J18" s="49">
        <v>111</v>
      </c>
      <c r="K18" s="78">
        <v>124</v>
      </c>
      <c r="L18" s="78">
        <v>41.5</v>
      </c>
      <c r="M18" s="78">
        <v>56</v>
      </c>
    </row>
    <row r="19" spans="1:13" ht="14.4">
      <c r="A19" s="37" t="s">
        <v>69</v>
      </c>
      <c r="B19" s="245"/>
      <c r="C19" s="37" t="s">
        <v>569</v>
      </c>
      <c r="D19" s="55" t="s">
        <v>573</v>
      </c>
      <c r="E19" s="49">
        <f t="shared" si="0"/>
        <v>4.1999999999999984</v>
      </c>
      <c r="F19" s="56">
        <v>4.0307101727447199</v>
      </c>
      <c r="G19" s="49">
        <v>8.4172244897959203</v>
      </c>
      <c r="H19" s="49">
        <v>2647.8963000000099</v>
      </c>
      <c r="I19" s="49">
        <v>3178.8346431073901</v>
      </c>
      <c r="J19" s="49">
        <v>111</v>
      </c>
      <c r="K19" s="78">
        <v>124</v>
      </c>
      <c r="L19" s="78">
        <v>41.5</v>
      </c>
      <c r="M19" s="78">
        <v>56</v>
      </c>
    </row>
    <row r="20" spans="1:13" ht="14.4">
      <c r="A20" s="37" t="s">
        <v>69</v>
      </c>
      <c r="B20" s="245"/>
      <c r="C20" s="37" t="s">
        <v>569</v>
      </c>
      <c r="D20" s="55" t="s">
        <v>574</v>
      </c>
      <c r="E20" s="49">
        <f t="shared" si="0"/>
        <v>4.1999999999999984</v>
      </c>
      <c r="F20" s="56">
        <v>4.0307101727447199</v>
      </c>
      <c r="G20" s="49">
        <v>9.36383673469388</v>
      </c>
      <c r="H20" s="49">
        <v>2917.6050749999999</v>
      </c>
      <c r="I20" s="49">
        <v>3209.4257084104802</v>
      </c>
      <c r="J20" s="49">
        <v>111</v>
      </c>
      <c r="K20" s="78">
        <v>124</v>
      </c>
      <c r="L20" s="78">
        <v>41.5</v>
      </c>
      <c r="M20" s="78">
        <v>56</v>
      </c>
    </row>
    <row r="21" spans="1:13">
      <c r="A21" s="37" t="s">
        <v>69</v>
      </c>
      <c r="B21" s="245"/>
      <c r="C21" s="37" t="s">
        <v>324</v>
      </c>
      <c r="D21" s="55" t="s">
        <v>306</v>
      </c>
      <c r="E21" s="49">
        <f t="shared" si="0"/>
        <v>4.1999999999999984</v>
      </c>
      <c r="F21" s="56">
        <v>4.0307101727447199</v>
      </c>
      <c r="G21" s="49">
        <v>10.1937959183673</v>
      </c>
      <c r="H21" s="49">
        <v>2340.0877499999901</v>
      </c>
      <c r="I21" s="49">
        <v>4356.1596860490999</v>
      </c>
      <c r="J21" s="49">
        <v>161</v>
      </c>
      <c r="K21" s="78">
        <v>91</v>
      </c>
      <c r="L21" s="78">
        <v>44</v>
      </c>
      <c r="M21" s="78">
        <v>15</v>
      </c>
    </row>
    <row r="22" spans="1:13">
      <c r="A22" s="37" t="s">
        <v>69</v>
      </c>
      <c r="B22" s="245"/>
      <c r="C22" s="37" t="s">
        <v>324</v>
      </c>
      <c r="D22" s="55" t="s">
        <v>312</v>
      </c>
      <c r="E22" s="49">
        <f t="shared" si="0"/>
        <v>4.1999999999999984</v>
      </c>
      <c r="F22" s="56">
        <v>4.0307101727447199</v>
      </c>
      <c r="G22" s="49">
        <v>10.081632653061201</v>
      </c>
      <c r="H22" s="49">
        <v>2383.7362499999999</v>
      </c>
      <c r="I22" s="49">
        <v>4229.34066344848</v>
      </c>
      <c r="J22" s="49">
        <v>161</v>
      </c>
      <c r="K22" s="78">
        <v>91</v>
      </c>
      <c r="L22" s="78">
        <v>44</v>
      </c>
      <c r="M22" s="78">
        <v>15</v>
      </c>
    </row>
    <row r="23" spans="1:13">
      <c r="A23" s="37" t="s">
        <v>69</v>
      </c>
      <c r="B23" s="245"/>
      <c r="C23" s="37" t="s">
        <v>324</v>
      </c>
      <c r="D23" s="55" t="s">
        <v>313</v>
      </c>
      <c r="E23" s="49">
        <f t="shared" si="0"/>
        <v>4.1999999999999984</v>
      </c>
      <c r="F23" s="56">
        <v>4.0307101727447199</v>
      </c>
      <c r="G23" s="49">
        <v>8.8469387755101998</v>
      </c>
      <c r="H23" s="49">
        <v>2595.5527499999998</v>
      </c>
      <c r="I23" s="49">
        <v>3408.4989316862102</v>
      </c>
      <c r="J23" s="49">
        <v>161</v>
      </c>
      <c r="K23" s="78">
        <v>91</v>
      </c>
      <c r="L23" s="78">
        <v>44</v>
      </c>
      <c r="M23" s="78">
        <v>15</v>
      </c>
    </row>
    <row r="24" spans="1:13">
      <c r="A24" s="37" t="s">
        <v>69</v>
      </c>
      <c r="B24" s="245"/>
      <c r="C24" s="37" t="s">
        <v>324</v>
      </c>
      <c r="D24" s="55" t="s">
        <v>325</v>
      </c>
      <c r="E24" s="49">
        <f t="shared" si="0"/>
        <v>4.1999999999999984</v>
      </c>
      <c r="F24" s="56">
        <v>4.0307101727447199</v>
      </c>
      <c r="G24" s="49">
        <v>10.7029387755102</v>
      </c>
      <c r="H24" s="49">
        <v>2520.6105749999901</v>
      </c>
      <c r="I24" s="49">
        <v>4246.16911539786</v>
      </c>
      <c r="J24" s="49">
        <v>161</v>
      </c>
      <c r="K24" s="78">
        <v>91</v>
      </c>
      <c r="L24" s="78">
        <v>44</v>
      </c>
      <c r="M24" s="78">
        <v>15</v>
      </c>
    </row>
    <row r="25" spans="1:13">
      <c r="A25" s="37" t="s">
        <v>69</v>
      </c>
      <c r="B25" s="246"/>
      <c r="C25" s="37" t="s">
        <v>324</v>
      </c>
      <c r="D25" s="55" t="s">
        <v>527</v>
      </c>
      <c r="E25" s="49">
        <f t="shared" si="0"/>
        <v>4.1999999999999984</v>
      </c>
      <c r="F25" s="56">
        <v>4.0307101727447199</v>
      </c>
      <c r="G25" s="49">
        <v>9.4106122448979601</v>
      </c>
      <c r="H25" s="49">
        <v>2737.05285</v>
      </c>
      <c r="I25" s="49">
        <v>3438.2281821478</v>
      </c>
      <c r="J25" s="49">
        <v>161</v>
      </c>
      <c r="K25" s="78">
        <v>91</v>
      </c>
      <c r="L25" s="78">
        <v>44</v>
      </c>
      <c r="M25" s="78">
        <v>15</v>
      </c>
    </row>
    <row r="26" spans="1:13" ht="14.4">
      <c r="A26" s="37" t="s">
        <v>78</v>
      </c>
      <c r="B26" s="244" t="s">
        <v>384</v>
      </c>
      <c r="C26" s="37" t="s">
        <v>324</v>
      </c>
      <c r="D26" s="37" t="s">
        <v>294</v>
      </c>
      <c r="E26" s="49">
        <f t="shared" si="0"/>
        <v>4.1999999999999984</v>
      </c>
      <c r="F26" s="56">
        <v>4.0307101727447199</v>
      </c>
      <c r="G26" s="37" t="s">
        <v>73</v>
      </c>
      <c r="H26" s="37">
        <v>1550</v>
      </c>
      <c r="I26" s="37" t="s">
        <v>73</v>
      </c>
      <c r="J26" s="49">
        <v>161</v>
      </c>
      <c r="K26" s="78">
        <v>91</v>
      </c>
      <c r="L26" s="78">
        <v>44</v>
      </c>
      <c r="M26" s="78">
        <v>15</v>
      </c>
    </row>
    <row r="27" spans="1:13" ht="14.4">
      <c r="A27" s="37" t="s">
        <v>78</v>
      </c>
      <c r="B27" s="245"/>
      <c r="C27" s="37" t="s">
        <v>324</v>
      </c>
      <c r="D27" s="37" t="s">
        <v>295</v>
      </c>
      <c r="E27" s="49">
        <f t="shared" si="0"/>
        <v>4.1999999999999984</v>
      </c>
      <c r="F27" s="56">
        <v>4.0307101727447199</v>
      </c>
      <c r="G27" s="37" t="s">
        <v>73</v>
      </c>
      <c r="H27" s="37">
        <v>2352</v>
      </c>
      <c r="I27" s="37" t="s">
        <v>73</v>
      </c>
      <c r="J27" s="49">
        <v>161</v>
      </c>
      <c r="K27" s="78">
        <v>91</v>
      </c>
      <c r="L27" s="78">
        <v>44</v>
      </c>
      <c r="M27" s="78">
        <v>15</v>
      </c>
    </row>
    <row r="28" spans="1:13" ht="14.4">
      <c r="A28" s="37" t="s">
        <v>78</v>
      </c>
      <c r="B28" s="245"/>
      <c r="C28" s="37" t="s">
        <v>324</v>
      </c>
      <c r="D28" s="37" t="s">
        <v>296</v>
      </c>
      <c r="E28" s="49">
        <f t="shared" si="0"/>
        <v>4.1999999999999984</v>
      </c>
      <c r="F28" s="56">
        <v>4.0307101727447199</v>
      </c>
      <c r="G28" s="37" t="s">
        <v>73</v>
      </c>
      <c r="H28" s="37">
        <v>1452</v>
      </c>
      <c r="I28" s="37" t="s">
        <v>73</v>
      </c>
      <c r="J28" s="49">
        <v>161</v>
      </c>
      <c r="K28" s="78">
        <v>91</v>
      </c>
      <c r="L28" s="78">
        <v>44</v>
      </c>
      <c r="M28" s="78">
        <v>15</v>
      </c>
    </row>
    <row r="29" spans="1:13" ht="14.4">
      <c r="A29" s="37" t="s">
        <v>78</v>
      </c>
      <c r="B29" s="245"/>
      <c r="C29" s="37" t="s">
        <v>324</v>
      </c>
      <c r="D29" s="37" t="s">
        <v>297</v>
      </c>
      <c r="E29" s="49">
        <f t="shared" si="0"/>
        <v>4.1999999999999984</v>
      </c>
      <c r="F29" s="56">
        <v>4.0307101727447199</v>
      </c>
      <c r="G29" s="37" t="s">
        <v>73</v>
      </c>
      <c r="H29" s="37">
        <v>2247</v>
      </c>
      <c r="I29" s="37" t="s">
        <v>73</v>
      </c>
      <c r="J29" s="49">
        <v>161</v>
      </c>
      <c r="K29" s="78">
        <v>91</v>
      </c>
      <c r="L29" s="78">
        <v>44</v>
      </c>
      <c r="M29" s="78">
        <v>15</v>
      </c>
    </row>
    <row r="30" spans="1:13" ht="14.4">
      <c r="A30" s="37" t="s">
        <v>78</v>
      </c>
      <c r="B30" s="245"/>
      <c r="C30" s="37" t="s">
        <v>324</v>
      </c>
      <c r="D30" s="37" t="s">
        <v>298</v>
      </c>
      <c r="E30" s="49">
        <f t="shared" si="0"/>
        <v>4.1999999999999984</v>
      </c>
      <c r="F30" s="56">
        <v>4.0307101727447199</v>
      </c>
      <c r="G30" s="37" t="s">
        <v>73</v>
      </c>
      <c r="H30" s="37">
        <v>2562</v>
      </c>
      <c r="I30" s="37" t="s">
        <v>73</v>
      </c>
      <c r="J30" s="49">
        <v>161</v>
      </c>
      <c r="K30" s="78">
        <v>91</v>
      </c>
      <c r="L30" s="78">
        <v>44</v>
      </c>
      <c r="M30" s="78">
        <v>15</v>
      </c>
    </row>
    <row r="31" spans="1:13" ht="14.4">
      <c r="A31" s="37" t="s">
        <v>78</v>
      </c>
      <c r="B31" s="245"/>
      <c r="C31" s="37" t="s">
        <v>324</v>
      </c>
      <c r="D31" s="37" t="s">
        <v>299</v>
      </c>
      <c r="E31" s="49">
        <f t="shared" si="0"/>
        <v>4.1999999999999984</v>
      </c>
      <c r="F31" s="56">
        <v>4.0307101727447199</v>
      </c>
      <c r="G31" s="37" t="s">
        <v>73</v>
      </c>
      <c r="H31" s="37">
        <v>1777</v>
      </c>
      <c r="I31" s="37" t="s">
        <v>73</v>
      </c>
      <c r="J31" s="49">
        <v>161</v>
      </c>
      <c r="K31" s="78">
        <v>91</v>
      </c>
      <c r="L31" s="78">
        <v>44</v>
      </c>
      <c r="M31" s="78">
        <v>15</v>
      </c>
    </row>
    <row r="32" spans="1:13" ht="14.4">
      <c r="A32" s="37" t="s">
        <v>78</v>
      </c>
      <c r="B32" s="245"/>
      <c r="C32" s="37" t="s">
        <v>324</v>
      </c>
      <c r="D32" s="37" t="s">
        <v>294</v>
      </c>
      <c r="E32" s="49">
        <f t="shared" si="0"/>
        <v>4.1999999999999984</v>
      </c>
      <c r="F32" s="56">
        <v>4.0307101727447199</v>
      </c>
      <c r="G32" s="37" t="s">
        <v>73</v>
      </c>
      <c r="H32" s="37">
        <v>2029</v>
      </c>
      <c r="I32" s="37" t="s">
        <v>73</v>
      </c>
      <c r="J32" s="49">
        <v>161</v>
      </c>
      <c r="K32" s="78">
        <v>91</v>
      </c>
      <c r="L32" s="78">
        <v>44</v>
      </c>
      <c r="M32" s="78">
        <v>15</v>
      </c>
    </row>
    <row r="33" spans="1:13" ht="14.4">
      <c r="A33" s="37" t="s">
        <v>78</v>
      </c>
      <c r="B33" s="245"/>
      <c r="C33" s="37" t="s">
        <v>324</v>
      </c>
      <c r="D33" s="37" t="s">
        <v>295</v>
      </c>
      <c r="E33" s="49">
        <f t="shared" si="0"/>
        <v>4.1999999999999984</v>
      </c>
      <c r="F33" s="56">
        <v>4.0307101727447199</v>
      </c>
      <c r="G33" s="37" t="s">
        <v>73</v>
      </c>
      <c r="H33" s="37">
        <v>2051</v>
      </c>
      <c r="I33" s="37" t="s">
        <v>73</v>
      </c>
      <c r="J33" s="49">
        <v>161</v>
      </c>
      <c r="K33" s="78">
        <v>91</v>
      </c>
      <c r="L33" s="78">
        <v>44</v>
      </c>
      <c r="M33" s="78">
        <v>15</v>
      </c>
    </row>
    <row r="34" spans="1:13" ht="14.4">
      <c r="A34" s="37" t="s">
        <v>78</v>
      </c>
      <c r="B34" s="245"/>
      <c r="C34" s="37" t="s">
        <v>324</v>
      </c>
      <c r="D34" s="37" t="s">
        <v>296</v>
      </c>
      <c r="E34" s="49">
        <f t="shared" si="0"/>
        <v>4.1999999999999984</v>
      </c>
      <c r="F34" s="56">
        <v>4.0307101727447199</v>
      </c>
      <c r="G34" s="37" t="s">
        <v>73</v>
      </c>
      <c r="H34" s="37">
        <v>2814</v>
      </c>
      <c r="I34" s="37" t="s">
        <v>73</v>
      </c>
      <c r="J34" s="49">
        <v>161</v>
      </c>
      <c r="K34" s="78">
        <v>91</v>
      </c>
      <c r="L34" s="78">
        <v>44</v>
      </c>
      <c r="M34" s="78">
        <v>15</v>
      </c>
    </row>
    <row r="35" spans="1:13" ht="14.4">
      <c r="A35" s="37" t="s">
        <v>78</v>
      </c>
      <c r="B35" s="245"/>
      <c r="C35" s="37" t="s">
        <v>324</v>
      </c>
      <c r="D35" s="37" t="s">
        <v>297</v>
      </c>
      <c r="E35" s="49">
        <f t="shared" si="0"/>
        <v>4.1999999999999984</v>
      </c>
      <c r="F35" s="56">
        <v>4.0307101727447199</v>
      </c>
      <c r="G35" s="37" t="s">
        <v>73</v>
      </c>
      <c r="H35" s="37">
        <v>1905</v>
      </c>
      <c r="I35" s="37" t="s">
        <v>73</v>
      </c>
      <c r="J35" s="49">
        <v>161</v>
      </c>
      <c r="K35" s="78">
        <v>91</v>
      </c>
      <c r="L35" s="78">
        <v>44</v>
      </c>
      <c r="M35" s="78">
        <v>15</v>
      </c>
    </row>
    <row r="36" spans="1:13" ht="14.4">
      <c r="A36" s="37" t="s">
        <v>78</v>
      </c>
      <c r="B36" s="245"/>
      <c r="C36" s="37" t="s">
        <v>324</v>
      </c>
      <c r="D36" s="37" t="s">
        <v>298</v>
      </c>
      <c r="E36" s="49">
        <f t="shared" si="0"/>
        <v>4.1999999999999984</v>
      </c>
      <c r="F36" s="56">
        <v>4.0307101727447199</v>
      </c>
      <c r="G36" s="37" t="s">
        <v>73</v>
      </c>
      <c r="H36" s="37">
        <v>1874</v>
      </c>
      <c r="I36" s="37" t="s">
        <v>73</v>
      </c>
      <c r="J36" s="49">
        <v>161</v>
      </c>
      <c r="K36" s="78">
        <v>91</v>
      </c>
      <c r="L36" s="78">
        <v>44</v>
      </c>
      <c r="M36" s="78">
        <v>15</v>
      </c>
    </row>
    <row r="37" spans="1:13" ht="14.4">
      <c r="A37" s="37" t="s">
        <v>78</v>
      </c>
      <c r="B37" s="245"/>
      <c r="C37" s="37" t="s">
        <v>324</v>
      </c>
      <c r="D37" s="37" t="s">
        <v>294</v>
      </c>
      <c r="E37" s="49">
        <f t="shared" si="0"/>
        <v>4.1999999999999984</v>
      </c>
      <c r="F37" s="56">
        <v>4.0307101727447199</v>
      </c>
      <c r="G37" s="37" t="s">
        <v>73</v>
      </c>
      <c r="H37" s="37">
        <v>1593</v>
      </c>
      <c r="I37" s="37" t="s">
        <v>73</v>
      </c>
      <c r="J37" s="49">
        <v>161</v>
      </c>
      <c r="K37" s="78">
        <v>91</v>
      </c>
      <c r="L37" s="78">
        <v>44</v>
      </c>
      <c r="M37" s="78">
        <v>15</v>
      </c>
    </row>
    <row r="38" spans="1:13" ht="14.4">
      <c r="A38" s="37" t="s">
        <v>78</v>
      </c>
      <c r="B38" s="245"/>
      <c r="C38" s="37" t="s">
        <v>324</v>
      </c>
      <c r="D38" s="37" t="s">
        <v>295</v>
      </c>
      <c r="E38" s="49">
        <f t="shared" si="0"/>
        <v>4.1999999999999984</v>
      </c>
      <c r="F38" s="56">
        <v>4.0307101727447199</v>
      </c>
      <c r="G38" s="37" t="s">
        <v>73</v>
      </c>
      <c r="H38" s="37">
        <v>1930</v>
      </c>
      <c r="I38" s="37" t="s">
        <v>73</v>
      </c>
      <c r="J38" s="49">
        <v>161</v>
      </c>
      <c r="K38" s="78">
        <v>91</v>
      </c>
      <c r="L38" s="78">
        <v>44</v>
      </c>
      <c r="M38" s="78">
        <v>15</v>
      </c>
    </row>
    <row r="39" spans="1:13" ht="14.4">
      <c r="A39" s="37" t="s">
        <v>78</v>
      </c>
      <c r="B39" s="245"/>
      <c r="C39" s="37" t="s">
        <v>324</v>
      </c>
      <c r="D39" s="37" t="s">
        <v>296</v>
      </c>
      <c r="E39" s="49">
        <f t="shared" si="0"/>
        <v>4.1999999999999984</v>
      </c>
      <c r="F39" s="56">
        <v>4.0307101727447199</v>
      </c>
      <c r="G39" s="37" t="s">
        <v>73</v>
      </c>
      <c r="H39" s="37">
        <v>1517</v>
      </c>
      <c r="I39" s="37" t="s">
        <v>73</v>
      </c>
      <c r="J39" s="49">
        <v>161</v>
      </c>
      <c r="K39" s="78">
        <v>91</v>
      </c>
      <c r="L39" s="78">
        <v>44</v>
      </c>
      <c r="M39" s="78">
        <v>15</v>
      </c>
    </row>
    <row r="40" spans="1:13" ht="14.4">
      <c r="A40" s="37" t="s">
        <v>78</v>
      </c>
      <c r="B40" s="245"/>
      <c r="C40" s="37" t="s">
        <v>324</v>
      </c>
      <c r="D40" s="37" t="s">
        <v>297</v>
      </c>
      <c r="E40" s="49">
        <f t="shared" si="0"/>
        <v>4.1999999999999984</v>
      </c>
      <c r="F40" s="56">
        <v>4.0307101727447199</v>
      </c>
      <c r="G40" s="37" t="s">
        <v>73</v>
      </c>
      <c r="H40" s="37">
        <v>2075</v>
      </c>
      <c r="I40" s="37" t="s">
        <v>73</v>
      </c>
      <c r="J40" s="49">
        <v>161</v>
      </c>
      <c r="K40" s="78">
        <v>91</v>
      </c>
      <c r="L40" s="78">
        <v>44</v>
      </c>
      <c r="M40" s="78">
        <v>15</v>
      </c>
    </row>
    <row r="41" spans="1:13" ht="14.4">
      <c r="A41" s="37" t="s">
        <v>78</v>
      </c>
      <c r="B41" s="245"/>
      <c r="C41" s="37" t="s">
        <v>324</v>
      </c>
      <c r="D41" s="37" t="s">
        <v>298</v>
      </c>
      <c r="E41" s="49">
        <f t="shared" si="0"/>
        <v>4.1999999999999984</v>
      </c>
      <c r="F41" s="56">
        <v>4.0307101727447199</v>
      </c>
      <c r="G41" s="37" t="s">
        <v>73</v>
      </c>
      <c r="H41" s="37">
        <v>1739</v>
      </c>
      <c r="I41" s="37" t="s">
        <v>73</v>
      </c>
      <c r="J41" s="49">
        <v>161</v>
      </c>
      <c r="K41" s="78">
        <v>91</v>
      </c>
      <c r="L41" s="78">
        <v>44</v>
      </c>
      <c r="M41" s="78">
        <v>15</v>
      </c>
    </row>
    <row r="42" spans="1:13" ht="14.4">
      <c r="A42" s="37" t="s">
        <v>78</v>
      </c>
      <c r="B42" s="245"/>
      <c r="C42" s="37" t="s">
        <v>324</v>
      </c>
      <c r="D42" s="37" t="s">
        <v>299</v>
      </c>
      <c r="E42" s="49">
        <f t="shared" si="0"/>
        <v>4.1999999999999984</v>
      </c>
      <c r="F42" s="56">
        <v>4.0307101727447199</v>
      </c>
      <c r="G42" s="37" t="s">
        <v>73</v>
      </c>
      <c r="H42" s="37">
        <v>1578</v>
      </c>
      <c r="I42" s="37" t="s">
        <v>73</v>
      </c>
      <c r="J42" s="49">
        <v>161</v>
      </c>
      <c r="K42" s="78">
        <v>91</v>
      </c>
      <c r="L42" s="78">
        <v>44</v>
      </c>
      <c r="M42" s="78">
        <v>15</v>
      </c>
    </row>
    <row r="43" spans="1:13" ht="14.4">
      <c r="A43" s="37" t="s">
        <v>78</v>
      </c>
      <c r="B43" s="246"/>
      <c r="C43" s="37" t="s">
        <v>324</v>
      </c>
      <c r="D43" s="37" t="s">
        <v>404</v>
      </c>
      <c r="E43" s="49">
        <f t="shared" si="0"/>
        <v>4.1999999999999984</v>
      </c>
      <c r="F43" s="56">
        <v>4.0307101727447199</v>
      </c>
      <c r="G43" s="37" t="s">
        <v>73</v>
      </c>
      <c r="H43" s="37">
        <v>1523</v>
      </c>
      <c r="I43" s="37" t="s">
        <v>73</v>
      </c>
      <c r="J43" s="49">
        <v>161</v>
      </c>
      <c r="K43" s="78">
        <v>91</v>
      </c>
      <c r="L43" s="78">
        <v>44</v>
      </c>
      <c r="M43" s="78">
        <v>15</v>
      </c>
    </row>
    <row r="44" spans="1:13" ht="14.4">
      <c r="A44" s="37" t="s">
        <v>80</v>
      </c>
      <c r="B44" s="244" t="s">
        <v>384</v>
      </c>
      <c r="C44" s="37" t="s">
        <v>575</v>
      </c>
      <c r="D44" s="37" t="s">
        <v>575</v>
      </c>
      <c r="E44" s="49">
        <f t="shared" si="0"/>
        <v>4.3999999999999995</v>
      </c>
      <c r="F44" s="50">
        <v>4.2145593869731801</v>
      </c>
      <c r="G44" s="37" t="s">
        <v>73</v>
      </c>
      <c r="H44" s="37">
        <v>1885</v>
      </c>
      <c r="I44" s="37" t="s">
        <v>73</v>
      </c>
      <c r="J44" s="49">
        <v>161</v>
      </c>
      <c r="K44" s="78">
        <v>91</v>
      </c>
      <c r="L44" s="78">
        <v>44</v>
      </c>
      <c r="M44" s="78">
        <v>15</v>
      </c>
    </row>
    <row r="45" spans="1:13" ht="14.4">
      <c r="A45" s="37" t="s">
        <v>80</v>
      </c>
      <c r="B45" s="245"/>
      <c r="C45" s="37" t="s">
        <v>576</v>
      </c>
      <c r="D45" s="37" t="s">
        <v>576</v>
      </c>
      <c r="E45" s="49">
        <f t="shared" si="0"/>
        <v>4.3999999999999995</v>
      </c>
      <c r="F45" s="50">
        <v>4.2145593869731801</v>
      </c>
      <c r="G45" s="37" t="s">
        <v>73</v>
      </c>
      <c r="H45" s="37" t="s">
        <v>405</v>
      </c>
      <c r="I45" s="37" t="s">
        <v>73</v>
      </c>
      <c r="J45" s="49">
        <v>161</v>
      </c>
      <c r="K45" s="78">
        <v>91</v>
      </c>
      <c r="L45" s="78">
        <v>44</v>
      </c>
      <c r="M45" s="78">
        <v>15</v>
      </c>
    </row>
    <row r="46" spans="1:13">
      <c r="A46" s="37" t="s">
        <v>80</v>
      </c>
      <c r="B46" s="245"/>
      <c r="C46" s="37" t="s">
        <v>324</v>
      </c>
      <c r="D46" s="37" t="s">
        <v>324</v>
      </c>
      <c r="E46" s="49">
        <f t="shared" si="0"/>
        <v>4.3999999999999995</v>
      </c>
      <c r="F46" s="50">
        <v>4.2145593869731801</v>
      </c>
      <c r="G46" s="37" t="s">
        <v>73</v>
      </c>
      <c r="H46" s="37">
        <v>2375</v>
      </c>
      <c r="I46" s="37" t="s">
        <v>73</v>
      </c>
      <c r="J46" s="49">
        <v>161</v>
      </c>
      <c r="K46" s="78">
        <v>91</v>
      </c>
      <c r="L46" s="78">
        <v>44</v>
      </c>
      <c r="M46" s="78">
        <v>15</v>
      </c>
    </row>
    <row r="47" spans="1:13" ht="14.4">
      <c r="A47" s="37" t="s">
        <v>80</v>
      </c>
      <c r="B47" s="245"/>
      <c r="C47" s="37" t="s">
        <v>577</v>
      </c>
      <c r="D47" s="37" t="s">
        <v>577</v>
      </c>
      <c r="E47" s="49">
        <f t="shared" si="0"/>
        <v>4.3999999999999995</v>
      </c>
      <c r="F47" s="50">
        <v>4.2145593869731801</v>
      </c>
      <c r="G47" s="37" t="s">
        <v>73</v>
      </c>
      <c r="H47" s="37">
        <v>2649</v>
      </c>
      <c r="I47" s="37" t="s">
        <v>73</v>
      </c>
      <c r="J47" s="49">
        <v>258</v>
      </c>
      <c r="K47" s="78">
        <v>72.2</v>
      </c>
      <c r="L47" s="78">
        <v>47.6</v>
      </c>
      <c r="M47" s="78">
        <v>8.1999999999999993</v>
      </c>
    </row>
    <row r="48" spans="1:13">
      <c r="A48" s="37" t="s">
        <v>80</v>
      </c>
      <c r="B48" s="246"/>
      <c r="C48" s="37" t="s">
        <v>526</v>
      </c>
      <c r="D48" s="37" t="s">
        <v>526</v>
      </c>
      <c r="E48" s="49">
        <f t="shared" si="0"/>
        <v>4.3999999999999995</v>
      </c>
      <c r="F48" s="50">
        <v>4.2145593869731801</v>
      </c>
      <c r="G48" s="37" t="s">
        <v>73</v>
      </c>
      <c r="H48" s="37">
        <v>1984</v>
      </c>
      <c r="I48" s="37" t="s">
        <v>73</v>
      </c>
      <c r="J48" s="49">
        <v>161</v>
      </c>
      <c r="K48" s="78">
        <v>91</v>
      </c>
      <c r="L48" s="78">
        <v>44</v>
      </c>
      <c r="M48" s="78">
        <v>15</v>
      </c>
    </row>
    <row r="49" spans="1:13" ht="14.4">
      <c r="A49" s="63" t="s">
        <v>83</v>
      </c>
      <c r="B49" s="244" t="s">
        <v>384</v>
      </c>
      <c r="C49" s="63" t="s">
        <v>578</v>
      </c>
      <c r="D49" s="63" t="s">
        <v>578</v>
      </c>
      <c r="E49" s="49">
        <f t="shared" si="0"/>
        <v>4.5041279130525647</v>
      </c>
      <c r="F49" s="37">
        <v>4.3099999999999996</v>
      </c>
      <c r="G49" s="37" t="s">
        <v>73</v>
      </c>
      <c r="H49" s="37">
        <v>2848</v>
      </c>
      <c r="I49" s="37" t="s">
        <v>73</v>
      </c>
      <c r="J49" s="49">
        <v>161</v>
      </c>
      <c r="K49" s="78">
        <v>91</v>
      </c>
      <c r="L49" s="78">
        <v>44</v>
      </c>
      <c r="M49" s="78">
        <v>15</v>
      </c>
    </row>
    <row r="50" spans="1:13" ht="14.4">
      <c r="A50" s="63" t="s">
        <v>83</v>
      </c>
      <c r="B50" s="245"/>
      <c r="C50" s="63" t="s">
        <v>579</v>
      </c>
      <c r="D50" s="63" t="s">
        <v>579</v>
      </c>
      <c r="E50" s="49">
        <f t="shared" si="0"/>
        <v>4.5041279130525647</v>
      </c>
      <c r="F50" s="37">
        <v>4.3099999999999996</v>
      </c>
      <c r="G50" s="37" t="s">
        <v>73</v>
      </c>
      <c r="H50" s="37">
        <v>2695</v>
      </c>
      <c r="I50" s="37" t="s">
        <v>73</v>
      </c>
      <c r="J50" s="49">
        <v>161</v>
      </c>
      <c r="K50" s="78">
        <v>91</v>
      </c>
      <c r="L50" s="78">
        <v>44</v>
      </c>
      <c r="M50" s="78">
        <v>15</v>
      </c>
    </row>
    <row r="51" spans="1:13" ht="14.4">
      <c r="A51" s="63" t="s">
        <v>83</v>
      </c>
      <c r="B51" s="245"/>
      <c r="C51" s="63" t="s">
        <v>580</v>
      </c>
      <c r="D51" s="63" t="s">
        <v>580</v>
      </c>
      <c r="E51" s="49">
        <f t="shared" si="0"/>
        <v>4.5041279130525647</v>
      </c>
      <c r="F51" s="37">
        <v>4.3099999999999996</v>
      </c>
      <c r="G51" s="37" t="s">
        <v>73</v>
      </c>
      <c r="H51" s="37">
        <v>2718</v>
      </c>
      <c r="I51" s="37" t="s">
        <v>73</v>
      </c>
      <c r="J51" s="49">
        <v>161</v>
      </c>
      <c r="K51" s="78">
        <v>91</v>
      </c>
      <c r="L51" s="78">
        <v>44</v>
      </c>
      <c r="M51" s="78">
        <v>15</v>
      </c>
    </row>
    <row r="52" spans="1:13" ht="14.4">
      <c r="A52" s="63" t="s">
        <v>83</v>
      </c>
      <c r="B52" s="245"/>
      <c r="C52" s="63" t="s">
        <v>319</v>
      </c>
      <c r="D52" s="63" t="s">
        <v>319</v>
      </c>
      <c r="E52" s="49">
        <f t="shared" si="0"/>
        <v>4.5041279130525647</v>
      </c>
      <c r="F52" s="37">
        <v>4.3099999999999996</v>
      </c>
      <c r="G52" s="37" t="s">
        <v>73</v>
      </c>
      <c r="H52" s="37">
        <v>3098</v>
      </c>
      <c r="I52" s="37" t="s">
        <v>73</v>
      </c>
      <c r="J52" s="49">
        <v>161</v>
      </c>
      <c r="K52" s="78">
        <v>91</v>
      </c>
      <c r="L52" s="78">
        <v>44</v>
      </c>
      <c r="M52" s="78">
        <v>15</v>
      </c>
    </row>
    <row r="53" spans="1:13" ht="14.4">
      <c r="A53" s="63" t="s">
        <v>83</v>
      </c>
      <c r="B53" s="245"/>
      <c r="C53" s="63" t="s">
        <v>320</v>
      </c>
      <c r="D53" s="63" t="s">
        <v>320</v>
      </c>
      <c r="E53" s="49">
        <f t="shared" si="0"/>
        <v>4.5041279130525647</v>
      </c>
      <c r="F53" s="37">
        <v>4.3099999999999996</v>
      </c>
      <c r="G53" s="37" t="s">
        <v>73</v>
      </c>
      <c r="H53" s="37">
        <v>2844</v>
      </c>
      <c r="I53" s="37" t="s">
        <v>73</v>
      </c>
      <c r="J53" s="49"/>
      <c r="K53" s="78"/>
      <c r="L53" s="78"/>
      <c r="M53" s="78"/>
    </row>
    <row r="54" spans="1:13" ht="14.4">
      <c r="A54" s="63" t="s">
        <v>83</v>
      </c>
      <c r="B54" s="246"/>
      <c r="C54" s="63" t="s">
        <v>321</v>
      </c>
      <c r="D54" s="63" t="s">
        <v>321</v>
      </c>
      <c r="E54" s="49">
        <f t="shared" si="0"/>
        <v>4.5041279130525647</v>
      </c>
      <c r="F54" s="37">
        <v>4.3099999999999996</v>
      </c>
      <c r="G54" s="37" t="s">
        <v>73</v>
      </c>
      <c r="H54" s="37">
        <v>2705</v>
      </c>
      <c r="I54" s="37" t="s">
        <v>73</v>
      </c>
      <c r="J54" s="49"/>
      <c r="K54" s="78"/>
      <c r="L54" s="78"/>
      <c r="M54" s="78"/>
    </row>
    <row r="55" spans="1:13">
      <c r="A55" s="37" t="s">
        <v>84</v>
      </c>
      <c r="B55" s="37" t="s">
        <v>245</v>
      </c>
      <c r="C55" s="37" t="s">
        <v>324</v>
      </c>
      <c r="D55" s="37" t="s">
        <v>324</v>
      </c>
      <c r="E55" s="49">
        <f t="shared" si="0"/>
        <v>4.0000000000000044</v>
      </c>
      <c r="F55" s="65">
        <v>3.8461538461538498</v>
      </c>
      <c r="G55" s="37">
        <v>11.9</v>
      </c>
      <c r="H55" s="37">
        <v>2144</v>
      </c>
      <c r="I55" s="37">
        <v>5538</v>
      </c>
      <c r="J55" s="49">
        <v>161</v>
      </c>
      <c r="K55" s="78">
        <v>91</v>
      </c>
      <c r="L55" s="78">
        <v>44</v>
      </c>
      <c r="M55" s="78">
        <v>15</v>
      </c>
    </row>
    <row r="56" spans="1:13">
      <c r="A56" s="37" t="s">
        <v>84</v>
      </c>
      <c r="B56" s="37" t="s">
        <v>246</v>
      </c>
      <c r="C56" s="37" t="s">
        <v>304</v>
      </c>
      <c r="D56" s="37" t="s">
        <v>304</v>
      </c>
      <c r="E56" s="49">
        <f t="shared" si="0"/>
        <v>4.1999999999999984</v>
      </c>
      <c r="F56" s="65">
        <v>4.0307101727447199</v>
      </c>
      <c r="G56" s="37">
        <v>12.6</v>
      </c>
      <c r="H56" s="37">
        <v>2386</v>
      </c>
      <c r="I56" s="37">
        <v>5347</v>
      </c>
      <c r="J56" s="49">
        <v>144</v>
      </c>
      <c r="K56" s="78">
        <v>107.8</v>
      </c>
      <c r="L56" s="78">
        <v>43.95</v>
      </c>
      <c r="M56" s="78">
        <v>60.3</v>
      </c>
    </row>
    <row r="57" spans="1:13">
      <c r="A57" s="37" t="s">
        <v>84</v>
      </c>
      <c r="B57" s="37" t="s">
        <v>247</v>
      </c>
      <c r="C57" s="37" t="s">
        <v>305</v>
      </c>
      <c r="D57" s="37" t="s">
        <v>305</v>
      </c>
      <c r="E57" s="49">
        <f t="shared" si="0"/>
        <v>4.1999999999999984</v>
      </c>
      <c r="F57" s="65">
        <v>4.0307101727447199</v>
      </c>
      <c r="G57" s="37">
        <v>10.9</v>
      </c>
      <c r="H57" s="37">
        <v>2245</v>
      </c>
      <c r="I57" s="37">
        <v>4895</v>
      </c>
      <c r="J57" s="49">
        <v>111</v>
      </c>
      <c r="K57" s="78">
        <v>124</v>
      </c>
      <c r="L57" s="78">
        <v>41.5</v>
      </c>
      <c r="M57" s="78">
        <v>56</v>
      </c>
    </row>
    <row r="58" spans="1:13">
      <c r="A58" s="63" t="s">
        <v>92</v>
      </c>
      <c r="B58" s="63" t="s">
        <v>249</v>
      </c>
      <c r="C58" s="63" t="s">
        <v>323</v>
      </c>
      <c r="D58" s="63" t="s">
        <v>323</v>
      </c>
      <c r="E58" s="49">
        <f t="shared" si="0"/>
        <v>4.1999999999999984</v>
      </c>
      <c r="F58" s="65">
        <v>4.0307101727447199</v>
      </c>
      <c r="G58" s="37">
        <v>11</v>
      </c>
      <c r="H58" s="37">
        <v>2753</v>
      </c>
      <c r="I58" s="37">
        <v>4048</v>
      </c>
      <c r="J58" s="49">
        <v>161</v>
      </c>
      <c r="K58" s="78">
        <v>91</v>
      </c>
      <c r="L58" s="78">
        <v>44</v>
      </c>
      <c r="M58" s="78">
        <v>15</v>
      </c>
    </row>
    <row r="59" spans="1:13">
      <c r="A59" s="63" t="s">
        <v>92</v>
      </c>
      <c r="B59" s="63" t="s">
        <v>248</v>
      </c>
      <c r="C59" s="63" t="s">
        <v>322</v>
      </c>
      <c r="D59" s="63" t="s">
        <v>322</v>
      </c>
      <c r="E59" s="49">
        <f t="shared" si="0"/>
        <v>4.1999999999999984</v>
      </c>
      <c r="F59" s="65">
        <v>4.0307101727447199</v>
      </c>
      <c r="G59" s="37">
        <v>8.4</v>
      </c>
      <c r="H59" s="37">
        <v>2425</v>
      </c>
      <c r="I59" s="37">
        <v>3535</v>
      </c>
      <c r="J59" s="49">
        <v>161</v>
      </c>
      <c r="K59" s="78">
        <v>91</v>
      </c>
      <c r="L59" s="78">
        <v>44</v>
      </c>
      <c r="M59" s="78">
        <v>15</v>
      </c>
    </row>
    <row r="60" spans="1:13" ht="14.4">
      <c r="A60" s="66" t="s">
        <v>93</v>
      </c>
      <c r="B60" s="244" t="s">
        <v>94</v>
      </c>
      <c r="C60" s="63" t="s">
        <v>324</v>
      </c>
      <c r="D60" s="63" t="s">
        <v>294</v>
      </c>
      <c r="E60" s="49">
        <f t="shared" si="0"/>
        <v>6.255771770843694</v>
      </c>
      <c r="F60" s="65">
        <v>5.8874653739612297</v>
      </c>
      <c r="G60" s="37">
        <v>11.8</v>
      </c>
      <c r="H60" s="37">
        <v>2059</v>
      </c>
      <c r="I60" s="37">
        <v>5736</v>
      </c>
      <c r="J60" s="49">
        <v>161</v>
      </c>
      <c r="K60" s="78">
        <v>91</v>
      </c>
      <c r="L60" s="78">
        <v>44</v>
      </c>
      <c r="M60" s="78">
        <v>15</v>
      </c>
    </row>
    <row r="61" spans="1:13" ht="14.4">
      <c r="A61" s="66" t="s">
        <v>93</v>
      </c>
      <c r="B61" s="245"/>
      <c r="C61" s="63" t="s">
        <v>324</v>
      </c>
      <c r="D61" s="63" t="s">
        <v>295</v>
      </c>
      <c r="E61" s="49">
        <f t="shared" si="0"/>
        <v>6.255771770843694</v>
      </c>
      <c r="F61" s="65">
        <v>5.8874653739612297</v>
      </c>
      <c r="G61" s="37">
        <v>13.1</v>
      </c>
      <c r="H61" s="37">
        <v>2330</v>
      </c>
      <c r="I61" s="37">
        <v>5630</v>
      </c>
      <c r="J61" s="49">
        <v>161</v>
      </c>
      <c r="K61" s="78">
        <v>91</v>
      </c>
      <c r="L61" s="78">
        <v>44</v>
      </c>
      <c r="M61" s="78">
        <v>15</v>
      </c>
    </row>
    <row r="62" spans="1:13" ht="14.4">
      <c r="A62" s="66" t="s">
        <v>93</v>
      </c>
      <c r="B62" s="245"/>
      <c r="C62" s="63" t="s">
        <v>324</v>
      </c>
      <c r="D62" s="63" t="s">
        <v>296</v>
      </c>
      <c r="E62" s="49">
        <f t="shared" si="0"/>
        <v>6.255771770843694</v>
      </c>
      <c r="F62" s="65">
        <v>5.8874653739612297</v>
      </c>
      <c r="G62" s="37">
        <v>9.6999999999999993</v>
      </c>
      <c r="H62" s="37">
        <v>1858</v>
      </c>
      <c r="I62" s="37">
        <v>5195</v>
      </c>
      <c r="J62" s="49">
        <v>161</v>
      </c>
      <c r="K62" s="78">
        <v>91</v>
      </c>
      <c r="L62" s="78">
        <v>44</v>
      </c>
      <c r="M62" s="78">
        <v>15</v>
      </c>
    </row>
    <row r="63" spans="1:13" ht="14.4">
      <c r="A63" s="66" t="s">
        <v>93</v>
      </c>
      <c r="B63" s="246"/>
      <c r="C63" s="63" t="s">
        <v>324</v>
      </c>
      <c r="D63" s="63" t="s">
        <v>297</v>
      </c>
      <c r="E63" s="49">
        <f t="shared" si="0"/>
        <v>6.255771770843694</v>
      </c>
      <c r="F63" s="65">
        <v>5.8874653739612297</v>
      </c>
      <c r="G63" s="37">
        <v>10.8</v>
      </c>
      <c r="H63" s="37">
        <v>1881</v>
      </c>
      <c r="I63" s="37">
        <v>5762</v>
      </c>
      <c r="J63" s="49">
        <v>161</v>
      </c>
      <c r="K63" s="78">
        <v>91</v>
      </c>
      <c r="L63" s="78">
        <v>44</v>
      </c>
      <c r="M63" s="78">
        <v>15</v>
      </c>
    </row>
    <row r="64" spans="1:13">
      <c r="A64" s="37" t="s">
        <v>95</v>
      </c>
      <c r="B64" s="53" t="s">
        <v>250</v>
      </c>
      <c r="C64" s="37" t="s">
        <v>324</v>
      </c>
      <c r="D64" s="37" t="s">
        <v>324</v>
      </c>
      <c r="E64" s="37">
        <v>4.8000000000000096</v>
      </c>
      <c r="F64" s="50">
        <v>4.5801526717557302</v>
      </c>
      <c r="G64" s="37">
        <v>10.199999999999999</v>
      </c>
      <c r="H64" s="37">
        <v>2044</v>
      </c>
      <c r="I64" s="37">
        <v>4988</v>
      </c>
      <c r="J64" s="49">
        <v>161</v>
      </c>
      <c r="K64" s="78">
        <v>91</v>
      </c>
      <c r="L64" s="78">
        <v>44</v>
      </c>
      <c r="M64" s="78">
        <v>15</v>
      </c>
    </row>
    <row r="65" spans="1:13">
      <c r="A65" s="37" t="s">
        <v>95</v>
      </c>
      <c r="B65" s="53" t="s">
        <v>251</v>
      </c>
      <c r="C65" s="37" t="s">
        <v>304</v>
      </c>
      <c r="D65" s="37" t="s">
        <v>304</v>
      </c>
      <c r="E65" s="37">
        <v>4.8000000000000096</v>
      </c>
      <c r="F65" s="50">
        <v>4.5801526717557302</v>
      </c>
      <c r="G65" s="37">
        <v>8.5</v>
      </c>
      <c r="H65" s="37">
        <v>2321</v>
      </c>
      <c r="I65" s="37">
        <v>3562</v>
      </c>
      <c r="J65" s="49">
        <v>144</v>
      </c>
      <c r="K65" s="78">
        <v>107.8</v>
      </c>
      <c r="L65" s="78">
        <v>43.95</v>
      </c>
      <c r="M65" s="78">
        <v>60.3</v>
      </c>
    </row>
    <row r="66" spans="1:13">
      <c r="A66" s="37" t="s">
        <v>95</v>
      </c>
      <c r="B66" s="53" t="s">
        <v>252</v>
      </c>
      <c r="C66" s="37" t="s">
        <v>305</v>
      </c>
      <c r="D66" s="37" t="s">
        <v>305</v>
      </c>
      <c r="E66" s="37">
        <v>4.8000000000000096</v>
      </c>
      <c r="F66" s="50">
        <v>4.5801526717557302</v>
      </c>
      <c r="G66" s="37">
        <v>8.8000000000000007</v>
      </c>
      <c r="H66" s="37">
        <v>2242</v>
      </c>
      <c r="I66" s="37">
        <v>4055</v>
      </c>
      <c r="J66" s="49">
        <v>111</v>
      </c>
      <c r="K66" s="78">
        <v>124</v>
      </c>
      <c r="L66" s="78">
        <v>41.5</v>
      </c>
      <c r="M66" s="78">
        <v>56</v>
      </c>
    </row>
    <row r="67" spans="1:13">
      <c r="A67" s="37" t="s">
        <v>98</v>
      </c>
      <c r="B67" s="244" t="s">
        <v>416</v>
      </c>
      <c r="C67" s="37" t="s">
        <v>304</v>
      </c>
      <c r="D67" s="37" t="s">
        <v>304</v>
      </c>
      <c r="E67" s="37">
        <v>4.2</v>
      </c>
      <c r="F67" s="67">
        <v>4.0307101727447199</v>
      </c>
      <c r="G67" s="37">
        <v>7.4</v>
      </c>
      <c r="H67" s="37">
        <v>2285</v>
      </c>
      <c r="I67" s="37">
        <v>3384</v>
      </c>
      <c r="J67" s="49">
        <v>144</v>
      </c>
      <c r="K67" s="78">
        <v>107.8</v>
      </c>
      <c r="L67" s="78">
        <v>43.95</v>
      </c>
      <c r="M67" s="78">
        <v>60.3</v>
      </c>
    </row>
    <row r="68" spans="1:13">
      <c r="A68" s="37" t="s">
        <v>98</v>
      </c>
      <c r="B68" s="245"/>
      <c r="C68" s="37" t="s">
        <v>332</v>
      </c>
      <c r="D68" s="37" t="s">
        <v>332</v>
      </c>
      <c r="E68" s="37">
        <v>4.2</v>
      </c>
      <c r="F68" s="67">
        <v>4.0307101727447199</v>
      </c>
      <c r="G68" s="37">
        <v>8</v>
      </c>
      <c r="H68" s="37">
        <v>2076</v>
      </c>
      <c r="I68" s="37">
        <v>3825</v>
      </c>
      <c r="J68" s="49">
        <v>144</v>
      </c>
      <c r="K68" s="78">
        <v>107.8</v>
      </c>
      <c r="L68" s="78">
        <v>43.95</v>
      </c>
      <c r="M68" s="78">
        <v>60.3</v>
      </c>
    </row>
    <row r="69" spans="1:13">
      <c r="A69" s="37" t="s">
        <v>98</v>
      </c>
      <c r="B69" s="246"/>
      <c r="C69" s="37" t="s">
        <v>333</v>
      </c>
      <c r="D69" s="37" t="s">
        <v>333</v>
      </c>
      <c r="E69" s="37">
        <v>4.2</v>
      </c>
      <c r="F69" s="67">
        <v>4.0307101727447199</v>
      </c>
      <c r="G69" s="37">
        <v>9.9</v>
      </c>
      <c r="H69" s="37">
        <v>1527</v>
      </c>
      <c r="I69" s="37">
        <v>6488</v>
      </c>
      <c r="J69" s="49">
        <v>144</v>
      </c>
      <c r="K69" s="78">
        <v>107.8</v>
      </c>
      <c r="L69" s="78">
        <v>43.95</v>
      </c>
      <c r="M69" s="78">
        <v>60.3</v>
      </c>
    </row>
    <row r="70" spans="1:13" ht="14.4">
      <c r="A70" s="63" t="s">
        <v>100</v>
      </c>
      <c r="B70" s="247" t="s">
        <v>218</v>
      </c>
      <c r="C70" s="63" t="s">
        <v>324</v>
      </c>
      <c r="D70" s="37" t="s">
        <v>294</v>
      </c>
      <c r="E70" s="68">
        <v>4.8</v>
      </c>
      <c r="F70" s="68">
        <v>4.5801526717557302</v>
      </c>
      <c r="G70" s="37">
        <v>9.6999999999999993</v>
      </c>
      <c r="H70" s="37">
        <v>2219</v>
      </c>
      <c r="I70" s="37">
        <v>4367</v>
      </c>
      <c r="J70" s="49">
        <v>161</v>
      </c>
      <c r="K70" s="78">
        <v>91</v>
      </c>
      <c r="L70" s="78">
        <v>44</v>
      </c>
      <c r="M70" s="78">
        <v>15</v>
      </c>
    </row>
    <row r="71" spans="1:13" ht="14.4">
      <c r="A71" s="63" t="s">
        <v>100</v>
      </c>
      <c r="B71" s="248"/>
      <c r="C71" s="63" t="s">
        <v>324</v>
      </c>
      <c r="D71" s="37" t="s">
        <v>295</v>
      </c>
      <c r="E71" s="68">
        <v>4.8</v>
      </c>
      <c r="F71" s="68">
        <v>4.5801526717557302</v>
      </c>
      <c r="G71" s="37">
        <v>7.5</v>
      </c>
      <c r="H71" s="37">
        <v>1976</v>
      </c>
      <c r="I71" s="37">
        <v>3738</v>
      </c>
      <c r="J71" s="49">
        <v>161</v>
      </c>
      <c r="K71" s="78">
        <v>91</v>
      </c>
      <c r="L71" s="78">
        <v>44</v>
      </c>
      <c r="M71" s="78">
        <v>15</v>
      </c>
    </row>
    <row r="72" spans="1:13" ht="14.4">
      <c r="A72" s="63" t="s">
        <v>100</v>
      </c>
      <c r="B72" s="249"/>
      <c r="C72" s="63" t="s">
        <v>324</v>
      </c>
      <c r="D72" s="37" t="s">
        <v>296</v>
      </c>
      <c r="E72" s="68">
        <v>4.8</v>
      </c>
      <c r="F72" s="68">
        <v>4.5801526717557302</v>
      </c>
      <c r="G72" s="37">
        <v>7.9</v>
      </c>
      <c r="H72" s="37">
        <v>2005</v>
      </c>
      <c r="I72" s="37">
        <v>4032</v>
      </c>
      <c r="J72" s="49">
        <v>161</v>
      </c>
      <c r="K72" s="78">
        <v>91</v>
      </c>
      <c r="L72" s="78">
        <v>44</v>
      </c>
      <c r="M72" s="78">
        <v>15</v>
      </c>
    </row>
    <row r="73" spans="1:13" ht="14.4">
      <c r="A73" s="63" t="s">
        <v>101</v>
      </c>
      <c r="B73" s="247" t="s">
        <v>218</v>
      </c>
      <c r="C73" s="63" t="s">
        <v>324</v>
      </c>
      <c r="D73" s="63" t="s">
        <v>294</v>
      </c>
      <c r="E73" s="68">
        <v>4.8</v>
      </c>
      <c r="F73" s="68">
        <v>4.5801526717557302</v>
      </c>
      <c r="G73" s="37">
        <v>9.6999999999999993</v>
      </c>
      <c r="H73" s="37">
        <v>2012</v>
      </c>
      <c r="I73" s="37">
        <v>4823</v>
      </c>
      <c r="J73" s="49">
        <v>161</v>
      </c>
      <c r="K73" s="78">
        <v>91</v>
      </c>
      <c r="L73" s="78">
        <v>44</v>
      </c>
      <c r="M73" s="78">
        <v>15</v>
      </c>
    </row>
    <row r="74" spans="1:13" ht="14.4">
      <c r="A74" s="63" t="s">
        <v>101</v>
      </c>
      <c r="B74" s="248"/>
      <c r="C74" s="63" t="s">
        <v>324</v>
      </c>
      <c r="D74" s="63" t="s">
        <v>295</v>
      </c>
      <c r="E74" s="68">
        <v>4.8</v>
      </c>
      <c r="F74" s="68">
        <v>4.5801526717557302</v>
      </c>
      <c r="G74" s="37">
        <v>7.4</v>
      </c>
      <c r="H74" s="37">
        <v>2233</v>
      </c>
      <c r="I74" s="37">
        <v>3737</v>
      </c>
      <c r="J74" s="49">
        <v>161</v>
      </c>
      <c r="K74" s="78">
        <v>91</v>
      </c>
      <c r="L74" s="78">
        <v>44</v>
      </c>
      <c r="M74" s="78">
        <v>15</v>
      </c>
    </row>
    <row r="75" spans="1:13" ht="14.4">
      <c r="A75" s="63" t="s">
        <v>101</v>
      </c>
      <c r="B75" s="249"/>
      <c r="C75" s="63" t="s">
        <v>324</v>
      </c>
      <c r="D75" s="63" t="s">
        <v>296</v>
      </c>
      <c r="E75" s="68">
        <v>4.8</v>
      </c>
      <c r="F75" s="68">
        <v>4.5801526717557302</v>
      </c>
      <c r="G75" s="37">
        <v>9.4</v>
      </c>
      <c r="H75" s="37">
        <v>1960</v>
      </c>
      <c r="I75" s="37">
        <v>4085</v>
      </c>
      <c r="J75" s="49">
        <v>161</v>
      </c>
      <c r="K75" s="78">
        <v>91</v>
      </c>
      <c r="L75" s="78">
        <v>44</v>
      </c>
      <c r="M75" s="78">
        <v>15</v>
      </c>
    </row>
    <row r="76" spans="1:13" ht="14.4">
      <c r="A76" s="37" t="s">
        <v>102</v>
      </c>
      <c r="B76" s="247" t="s">
        <v>218</v>
      </c>
      <c r="C76" s="63" t="s">
        <v>324</v>
      </c>
      <c r="D76" s="63" t="s">
        <v>294</v>
      </c>
      <c r="E76" s="68">
        <v>4.9000000000000004</v>
      </c>
      <c r="F76" s="68">
        <v>4.6711153479504297</v>
      </c>
      <c r="G76" s="37">
        <v>7.23</v>
      </c>
      <c r="H76" s="37">
        <v>2062</v>
      </c>
      <c r="I76" s="37">
        <v>3507</v>
      </c>
      <c r="J76" s="49">
        <v>161</v>
      </c>
      <c r="K76" s="78">
        <v>91</v>
      </c>
      <c r="L76" s="78">
        <v>44</v>
      </c>
      <c r="M76" s="78">
        <v>15</v>
      </c>
    </row>
    <row r="77" spans="1:13" ht="14.4">
      <c r="A77" s="37" t="s">
        <v>102</v>
      </c>
      <c r="B77" s="248"/>
      <c r="C77" s="63" t="s">
        <v>324</v>
      </c>
      <c r="D77" s="63" t="s">
        <v>295</v>
      </c>
      <c r="E77" s="68">
        <v>4.9000000000000004</v>
      </c>
      <c r="F77" s="68">
        <v>4.6711153479504297</v>
      </c>
      <c r="G77" s="37">
        <v>7.4</v>
      </c>
      <c r="H77" s="37">
        <v>1904</v>
      </c>
      <c r="I77" s="37">
        <v>3887</v>
      </c>
      <c r="J77" s="49">
        <v>161</v>
      </c>
      <c r="K77" s="78">
        <v>91</v>
      </c>
      <c r="L77" s="78">
        <v>44</v>
      </c>
      <c r="M77" s="78">
        <v>15</v>
      </c>
    </row>
    <row r="78" spans="1:13" ht="14.4">
      <c r="A78" s="37" t="s">
        <v>102</v>
      </c>
      <c r="B78" s="249"/>
      <c r="C78" s="63" t="s">
        <v>324</v>
      </c>
      <c r="D78" s="63" t="s">
        <v>296</v>
      </c>
      <c r="E78" s="68">
        <v>4.9000000000000004</v>
      </c>
      <c r="F78" s="68">
        <v>4.6711153479504297</v>
      </c>
      <c r="G78" s="37">
        <v>6.78</v>
      </c>
      <c r="H78" s="37">
        <v>2171</v>
      </c>
      <c r="I78" s="37">
        <v>3123</v>
      </c>
      <c r="J78" s="49">
        <v>161</v>
      </c>
      <c r="K78" s="78">
        <v>91</v>
      </c>
      <c r="L78" s="78">
        <v>44</v>
      </c>
      <c r="M78" s="78">
        <v>15</v>
      </c>
    </row>
    <row r="79" spans="1:13" ht="14.4">
      <c r="A79" s="37" t="s">
        <v>103</v>
      </c>
      <c r="B79" s="250" t="s">
        <v>218</v>
      </c>
      <c r="C79" s="63" t="s">
        <v>324</v>
      </c>
      <c r="D79" s="37" t="s">
        <v>294</v>
      </c>
      <c r="E79" s="68">
        <v>4.8</v>
      </c>
      <c r="F79" s="68">
        <v>4.5801526717557302</v>
      </c>
      <c r="G79" s="37">
        <v>13.7</v>
      </c>
      <c r="H79" s="37">
        <v>2678</v>
      </c>
      <c r="I79" s="37">
        <v>5133</v>
      </c>
      <c r="J79" s="49">
        <v>161</v>
      </c>
      <c r="K79" s="78">
        <v>91</v>
      </c>
      <c r="L79" s="78">
        <v>44</v>
      </c>
      <c r="M79" s="78">
        <v>15</v>
      </c>
    </row>
    <row r="80" spans="1:13" ht="14.4">
      <c r="A80" s="37" t="s">
        <v>103</v>
      </c>
      <c r="B80" s="245"/>
      <c r="C80" s="63" t="s">
        <v>324</v>
      </c>
      <c r="D80" s="37" t="s">
        <v>295</v>
      </c>
      <c r="E80" s="68">
        <v>4.8</v>
      </c>
      <c r="F80" s="68">
        <v>4.5801526717557302</v>
      </c>
      <c r="G80" s="37">
        <v>11.1</v>
      </c>
      <c r="H80" s="37">
        <v>2478</v>
      </c>
      <c r="I80" s="37">
        <v>4484</v>
      </c>
      <c r="J80" s="49">
        <v>161</v>
      </c>
      <c r="K80" s="78">
        <v>91</v>
      </c>
      <c r="L80" s="78">
        <v>44</v>
      </c>
      <c r="M80" s="78">
        <v>15</v>
      </c>
    </row>
    <row r="81" spans="1:13" ht="14.4">
      <c r="A81" s="37" t="s">
        <v>103</v>
      </c>
      <c r="B81" s="245"/>
      <c r="C81" s="63" t="s">
        <v>324</v>
      </c>
      <c r="D81" s="37" t="s">
        <v>296</v>
      </c>
      <c r="E81" s="68">
        <v>4.8</v>
      </c>
      <c r="F81" s="68">
        <v>4.5801526717557302</v>
      </c>
      <c r="G81" s="37">
        <v>11.9</v>
      </c>
      <c r="H81" s="37">
        <v>2517</v>
      </c>
      <c r="I81" s="37">
        <v>4747</v>
      </c>
      <c r="J81" s="49">
        <v>161</v>
      </c>
      <c r="K81" s="78">
        <v>91</v>
      </c>
      <c r="L81" s="78">
        <v>44</v>
      </c>
      <c r="M81" s="78">
        <v>15</v>
      </c>
    </row>
    <row r="82" spans="1:13" ht="14.4">
      <c r="A82" s="37" t="s">
        <v>103</v>
      </c>
      <c r="B82" s="245"/>
      <c r="C82" s="63" t="s">
        <v>324</v>
      </c>
      <c r="D82" s="37" t="s">
        <v>297</v>
      </c>
      <c r="E82" s="68">
        <v>4.8</v>
      </c>
      <c r="F82" s="68">
        <v>4.5801526717557302</v>
      </c>
      <c r="G82" s="37">
        <v>12.1</v>
      </c>
      <c r="H82" s="37">
        <v>2380</v>
      </c>
      <c r="I82" s="37">
        <v>5090</v>
      </c>
      <c r="J82" s="49">
        <v>161</v>
      </c>
      <c r="K82" s="78">
        <v>91</v>
      </c>
      <c r="L82" s="78">
        <v>44</v>
      </c>
      <c r="M82" s="78">
        <v>15</v>
      </c>
    </row>
    <row r="83" spans="1:13" ht="14.4">
      <c r="A83" s="37" t="s">
        <v>103</v>
      </c>
      <c r="B83" s="245"/>
      <c r="C83" s="63" t="s">
        <v>324</v>
      </c>
      <c r="D83" s="37" t="s">
        <v>298</v>
      </c>
      <c r="E83" s="68">
        <v>4.8</v>
      </c>
      <c r="F83" s="68">
        <v>4.5801526717557302</v>
      </c>
      <c r="G83" s="37">
        <v>12.4</v>
      </c>
      <c r="H83" s="37">
        <v>2643</v>
      </c>
      <c r="I83" s="37">
        <v>4709</v>
      </c>
      <c r="J83" s="49">
        <v>161</v>
      </c>
      <c r="K83" s="78">
        <v>91</v>
      </c>
      <c r="L83" s="78">
        <v>44</v>
      </c>
      <c r="M83" s="78">
        <v>15</v>
      </c>
    </row>
    <row r="84" spans="1:13" ht="14.4">
      <c r="A84" s="37" t="s">
        <v>103</v>
      </c>
      <c r="B84" s="246"/>
      <c r="C84" s="63" t="s">
        <v>324</v>
      </c>
      <c r="D84" s="37" t="s">
        <v>299</v>
      </c>
      <c r="E84" s="68">
        <v>4.8</v>
      </c>
      <c r="F84" s="68">
        <v>4.5801526717557302</v>
      </c>
      <c r="G84" s="37">
        <v>14</v>
      </c>
      <c r="H84" s="37">
        <v>2454</v>
      </c>
      <c r="I84" s="37">
        <v>5688</v>
      </c>
      <c r="J84" s="49">
        <v>161</v>
      </c>
      <c r="K84" s="78">
        <v>91</v>
      </c>
      <c r="L84" s="78">
        <v>44</v>
      </c>
      <c r="M84" s="78">
        <v>15</v>
      </c>
    </row>
    <row r="85" spans="1:13" ht="14.4">
      <c r="A85" s="37" t="s">
        <v>104</v>
      </c>
      <c r="B85" s="244" t="s">
        <v>197</v>
      </c>
      <c r="C85" s="63" t="s">
        <v>324</v>
      </c>
      <c r="D85" s="37" t="s">
        <v>294</v>
      </c>
      <c r="E85" s="68">
        <v>4.5999999999999996</v>
      </c>
      <c r="F85" s="68">
        <v>4.3977055449330802</v>
      </c>
      <c r="G85" s="37">
        <v>10.199999999999999</v>
      </c>
      <c r="H85" s="37">
        <v>2820</v>
      </c>
      <c r="I85" s="37">
        <v>3614</v>
      </c>
      <c r="J85" s="49">
        <v>161</v>
      </c>
      <c r="K85" s="78">
        <v>91</v>
      </c>
      <c r="L85" s="78">
        <v>44</v>
      </c>
      <c r="M85" s="78">
        <v>15</v>
      </c>
    </row>
    <row r="86" spans="1:13" ht="14.4">
      <c r="A86" s="37" t="s">
        <v>104</v>
      </c>
      <c r="B86" s="245"/>
      <c r="C86" s="63" t="s">
        <v>324</v>
      </c>
      <c r="D86" s="37" t="s">
        <v>295</v>
      </c>
      <c r="E86" s="68">
        <v>4.5999999999999996</v>
      </c>
      <c r="F86" s="68">
        <v>4.3977055449330802</v>
      </c>
      <c r="G86" s="37">
        <v>10.6</v>
      </c>
      <c r="H86" s="37">
        <v>1934</v>
      </c>
      <c r="I86" s="37">
        <v>5486</v>
      </c>
      <c r="J86" s="49">
        <v>161</v>
      </c>
      <c r="K86" s="78">
        <v>91</v>
      </c>
      <c r="L86" s="78">
        <v>44</v>
      </c>
      <c r="M86" s="78">
        <v>15</v>
      </c>
    </row>
    <row r="87" spans="1:13" ht="14.4">
      <c r="A87" s="37" t="s">
        <v>104</v>
      </c>
      <c r="B87" s="245"/>
      <c r="C87" s="63" t="s">
        <v>324</v>
      </c>
      <c r="D87" s="37" t="s">
        <v>296</v>
      </c>
      <c r="E87" s="68">
        <v>4.5999999999999996</v>
      </c>
      <c r="F87" s="68">
        <v>4.3977055449330802</v>
      </c>
      <c r="G87" s="37">
        <v>9</v>
      </c>
      <c r="H87" s="37">
        <v>2472</v>
      </c>
      <c r="I87" s="37">
        <v>3651</v>
      </c>
      <c r="J87" s="49">
        <v>161</v>
      </c>
      <c r="K87" s="78">
        <v>91</v>
      </c>
      <c r="L87" s="78">
        <v>44</v>
      </c>
      <c r="M87" s="78">
        <v>15</v>
      </c>
    </row>
    <row r="88" spans="1:13" ht="14.4">
      <c r="A88" s="37" t="s">
        <v>104</v>
      </c>
      <c r="B88" s="245"/>
      <c r="C88" s="63" t="s">
        <v>324</v>
      </c>
      <c r="D88" s="37" t="s">
        <v>297</v>
      </c>
      <c r="E88" s="68">
        <v>4.5999999999999996</v>
      </c>
      <c r="F88" s="68">
        <v>4.3977055449330802</v>
      </c>
      <c r="G88" s="37">
        <v>9.5</v>
      </c>
      <c r="H88" s="37">
        <v>2384</v>
      </c>
      <c r="I88" s="37">
        <v>3989</v>
      </c>
      <c r="J88" s="49">
        <v>161</v>
      </c>
      <c r="K88" s="78">
        <v>91</v>
      </c>
      <c r="L88" s="78">
        <v>44</v>
      </c>
      <c r="M88" s="78">
        <v>15</v>
      </c>
    </row>
    <row r="89" spans="1:13" ht="14.4">
      <c r="A89" s="37" t="s">
        <v>104</v>
      </c>
      <c r="B89" s="246"/>
      <c r="C89" s="63" t="s">
        <v>324</v>
      </c>
      <c r="D89" s="37" t="s">
        <v>298</v>
      </c>
      <c r="E89" s="68">
        <v>4.5999999999999996</v>
      </c>
      <c r="F89" s="68">
        <v>4.3977055449330802</v>
      </c>
      <c r="G89" s="37">
        <v>9.1999999999999993</v>
      </c>
      <c r="H89" s="37">
        <v>2183</v>
      </c>
      <c r="I89" s="37">
        <v>4236</v>
      </c>
      <c r="J89" s="49">
        <v>161</v>
      </c>
      <c r="K89" s="78">
        <v>91</v>
      </c>
      <c r="L89" s="78">
        <v>44</v>
      </c>
      <c r="M89" s="78">
        <v>15</v>
      </c>
    </row>
    <row r="90" spans="1:13" ht="14.4">
      <c r="A90" s="37" t="s">
        <v>109</v>
      </c>
      <c r="B90" s="244" t="s">
        <v>255</v>
      </c>
      <c r="C90" s="37" t="s">
        <v>324</v>
      </c>
      <c r="D90" s="37" t="s">
        <v>294</v>
      </c>
      <c r="E90" s="37">
        <v>4.9000000000000004</v>
      </c>
      <c r="F90" s="50">
        <v>4.6711153479504297</v>
      </c>
      <c r="G90" s="37">
        <v>9.6999999999999993</v>
      </c>
      <c r="H90" s="37">
        <v>2124</v>
      </c>
      <c r="I90" s="37">
        <v>4554</v>
      </c>
      <c r="J90" s="49">
        <v>161</v>
      </c>
      <c r="K90" s="78">
        <v>91</v>
      </c>
      <c r="L90" s="78">
        <v>44</v>
      </c>
      <c r="M90" s="78">
        <v>15</v>
      </c>
    </row>
    <row r="91" spans="1:13" ht="14.4">
      <c r="A91" s="37" t="s">
        <v>109</v>
      </c>
      <c r="B91" s="245"/>
      <c r="C91" s="37" t="s">
        <v>324</v>
      </c>
      <c r="D91" s="37" t="s">
        <v>295</v>
      </c>
      <c r="E91" s="37">
        <v>4.9000000000000004</v>
      </c>
      <c r="F91" s="50">
        <v>4.6711153479504297</v>
      </c>
      <c r="G91" s="37">
        <v>8.6999999999999993</v>
      </c>
      <c r="H91" s="37">
        <v>2440</v>
      </c>
      <c r="I91" s="37">
        <v>3568</v>
      </c>
      <c r="J91" s="49">
        <v>161</v>
      </c>
      <c r="K91" s="78">
        <v>91</v>
      </c>
      <c r="L91" s="78">
        <v>44</v>
      </c>
      <c r="M91" s="78">
        <v>15</v>
      </c>
    </row>
    <row r="92" spans="1:13" ht="14.4">
      <c r="A92" s="37" t="s">
        <v>109</v>
      </c>
      <c r="B92" s="245"/>
      <c r="C92" s="37" t="s">
        <v>324</v>
      </c>
      <c r="D92" s="37" t="s">
        <v>296</v>
      </c>
      <c r="E92" s="37">
        <v>4.9000000000000004</v>
      </c>
      <c r="F92" s="50">
        <v>4.6711153479504297</v>
      </c>
      <c r="G92" s="37">
        <v>8.5</v>
      </c>
      <c r="H92" s="37">
        <v>2102</v>
      </c>
      <c r="I92" s="37">
        <v>4062</v>
      </c>
      <c r="J92" s="49">
        <v>161</v>
      </c>
      <c r="K92" s="78">
        <v>91</v>
      </c>
      <c r="L92" s="78">
        <v>44</v>
      </c>
      <c r="M92" s="78">
        <v>15</v>
      </c>
    </row>
    <row r="93" spans="1:13" ht="14.4">
      <c r="A93" s="37" t="s">
        <v>109</v>
      </c>
      <c r="B93" s="245"/>
      <c r="C93" s="37" t="s">
        <v>324</v>
      </c>
      <c r="D93" s="37" t="s">
        <v>297</v>
      </c>
      <c r="E93" s="37">
        <v>4.9000000000000004</v>
      </c>
      <c r="F93" s="50">
        <v>4.6711153479504297</v>
      </c>
      <c r="G93" s="37">
        <v>9</v>
      </c>
      <c r="H93" s="37">
        <v>2015</v>
      </c>
      <c r="I93" s="37">
        <v>4486</v>
      </c>
      <c r="J93" s="49">
        <v>161</v>
      </c>
      <c r="K93" s="78">
        <v>91</v>
      </c>
      <c r="L93" s="78">
        <v>44</v>
      </c>
      <c r="M93" s="78">
        <v>15</v>
      </c>
    </row>
    <row r="94" spans="1:13" ht="14.4">
      <c r="A94" s="37" t="s">
        <v>109</v>
      </c>
      <c r="B94" s="245"/>
      <c r="C94" s="37" t="s">
        <v>324</v>
      </c>
      <c r="D94" s="37" t="s">
        <v>298</v>
      </c>
      <c r="E94" s="37">
        <v>4.9000000000000004</v>
      </c>
      <c r="F94" s="50">
        <v>4.6711153479504297</v>
      </c>
      <c r="G94" s="37">
        <v>9.6</v>
      </c>
      <c r="H94" s="37">
        <v>2064</v>
      </c>
      <c r="I94" s="37">
        <v>4657</v>
      </c>
      <c r="J94" s="49">
        <v>161</v>
      </c>
      <c r="K94" s="78">
        <v>91</v>
      </c>
      <c r="L94" s="78">
        <v>44</v>
      </c>
      <c r="M94" s="78">
        <v>15</v>
      </c>
    </row>
    <row r="95" spans="1:13" ht="14.4">
      <c r="A95" s="37" t="s">
        <v>109</v>
      </c>
      <c r="B95" s="246"/>
      <c r="C95" s="37" t="s">
        <v>324</v>
      </c>
      <c r="D95" s="37" t="s">
        <v>299</v>
      </c>
      <c r="E95" s="37">
        <v>4.9000000000000004</v>
      </c>
      <c r="F95" s="50">
        <v>4.6711153479504297</v>
      </c>
      <c r="G95" s="37">
        <v>9.1</v>
      </c>
      <c r="H95" s="37">
        <v>2149</v>
      </c>
      <c r="I95" s="37">
        <v>4265</v>
      </c>
      <c r="J95" s="49">
        <v>161</v>
      </c>
      <c r="K95" s="78">
        <v>91</v>
      </c>
      <c r="L95" s="78">
        <v>44</v>
      </c>
      <c r="M95" s="78">
        <v>15</v>
      </c>
    </row>
    <row r="96" spans="1:13" ht="14.4">
      <c r="A96" s="37" t="s">
        <v>110</v>
      </c>
      <c r="B96" s="244" t="s">
        <v>218</v>
      </c>
      <c r="C96" s="37" t="s">
        <v>324</v>
      </c>
      <c r="D96" s="37" t="s">
        <v>294</v>
      </c>
      <c r="E96" s="68">
        <v>4.8</v>
      </c>
      <c r="F96" s="68">
        <v>4.5801526717557302</v>
      </c>
      <c r="G96" s="37">
        <v>10.5</v>
      </c>
      <c r="H96" s="37">
        <v>2024</v>
      </c>
      <c r="I96" s="37">
        <v>5192</v>
      </c>
      <c r="J96" s="49">
        <v>161</v>
      </c>
      <c r="K96" s="78">
        <v>91</v>
      </c>
      <c r="L96" s="78">
        <v>44</v>
      </c>
      <c r="M96" s="78">
        <v>15</v>
      </c>
    </row>
    <row r="97" spans="1:13" ht="14.4">
      <c r="A97" s="37" t="s">
        <v>110</v>
      </c>
      <c r="B97" s="245"/>
      <c r="C97" s="37" t="s">
        <v>324</v>
      </c>
      <c r="D97" s="37" t="s">
        <v>295</v>
      </c>
      <c r="E97" s="68">
        <v>4.8</v>
      </c>
      <c r="F97" s="68">
        <v>4.5801526717557302</v>
      </c>
      <c r="G97" s="37">
        <v>9.1999999999999993</v>
      </c>
      <c r="H97" s="37">
        <v>2288</v>
      </c>
      <c r="I97" s="37">
        <v>4004</v>
      </c>
      <c r="J97" s="49">
        <v>161</v>
      </c>
      <c r="K97" s="78">
        <v>91</v>
      </c>
      <c r="L97" s="78">
        <v>44</v>
      </c>
      <c r="M97" s="78">
        <v>15</v>
      </c>
    </row>
    <row r="98" spans="1:13" ht="14.4">
      <c r="A98" s="37" t="s">
        <v>110</v>
      </c>
      <c r="B98" s="245"/>
      <c r="C98" s="37" t="s">
        <v>324</v>
      </c>
      <c r="D98" s="37" t="s">
        <v>296</v>
      </c>
      <c r="E98" s="68">
        <v>4.8</v>
      </c>
      <c r="F98" s="68">
        <v>4.5801526717557302</v>
      </c>
      <c r="G98" s="37">
        <v>9.5</v>
      </c>
      <c r="H98" s="37">
        <v>2276</v>
      </c>
      <c r="I98" s="37">
        <v>4164</v>
      </c>
      <c r="J98" s="49">
        <v>161</v>
      </c>
      <c r="K98" s="78">
        <v>91</v>
      </c>
      <c r="L98" s="78">
        <v>44</v>
      </c>
      <c r="M98" s="78">
        <v>15</v>
      </c>
    </row>
    <row r="99" spans="1:13" ht="14.4">
      <c r="A99" s="37" t="s">
        <v>110</v>
      </c>
      <c r="B99" s="245"/>
      <c r="C99" s="37" t="s">
        <v>324</v>
      </c>
      <c r="D99" s="37" t="s">
        <v>297</v>
      </c>
      <c r="E99" s="68">
        <v>4.8</v>
      </c>
      <c r="F99" s="68">
        <v>4.5801526717557302</v>
      </c>
      <c r="G99" s="37">
        <v>9.3000000000000007</v>
      </c>
      <c r="H99" s="37">
        <v>2049</v>
      </c>
      <c r="I99" s="37">
        <v>4535</v>
      </c>
      <c r="J99" s="49">
        <v>161</v>
      </c>
      <c r="K99" s="78">
        <v>91</v>
      </c>
      <c r="L99" s="78">
        <v>44</v>
      </c>
      <c r="M99" s="78">
        <v>15</v>
      </c>
    </row>
    <row r="100" spans="1:13" ht="14.4">
      <c r="A100" s="37" t="s">
        <v>110</v>
      </c>
      <c r="B100" s="245"/>
      <c r="C100" s="37" t="s">
        <v>324</v>
      </c>
      <c r="D100" s="37" t="s">
        <v>298</v>
      </c>
      <c r="E100" s="68">
        <v>4.8</v>
      </c>
      <c r="F100" s="68">
        <v>4.5801526717557302</v>
      </c>
      <c r="G100" s="37">
        <v>10</v>
      </c>
      <c r="H100" s="37">
        <v>2409</v>
      </c>
      <c r="I100" s="37">
        <v>4143</v>
      </c>
      <c r="J100" s="49">
        <v>161</v>
      </c>
      <c r="K100" s="78">
        <v>91</v>
      </c>
      <c r="L100" s="78">
        <v>44</v>
      </c>
      <c r="M100" s="78">
        <v>15</v>
      </c>
    </row>
    <row r="101" spans="1:13" ht="14.4">
      <c r="A101" s="37" t="s">
        <v>110</v>
      </c>
      <c r="B101" s="245"/>
      <c r="C101" s="37" t="s">
        <v>324</v>
      </c>
      <c r="D101" s="37" t="s">
        <v>299</v>
      </c>
      <c r="E101" s="68">
        <v>4.8</v>
      </c>
      <c r="F101" s="68">
        <v>4.5801526717557302</v>
      </c>
      <c r="G101" s="37">
        <v>8.6999999999999993</v>
      </c>
      <c r="H101" s="37">
        <v>2385</v>
      </c>
      <c r="I101" s="37">
        <v>3665</v>
      </c>
      <c r="J101" s="49">
        <v>161</v>
      </c>
      <c r="K101" s="78">
        <v>91</v>
      </c>
      <c r="L101" s="78">
        <v>44</v>
      </c>
      <c r="M101" s="78">
        <v>15</v>
      </c>
    </row>
    <row r="102" spans="1:13" ht="14.4">
      <c r="A102" s="37" t="s">
        <v>110</v>
      </c>
      <c r="B102" s="246"/>
      <c r="C102" s="37" t="s">
        <v>324</v>
      </c>
      <c r="D102" s="37" t="s">
        <v>404</v>
      </c>
      <c r="E102" s="68">
        <v>4.8</v>
      </c>
      <c r="F102" s="68">
        <v>4.5801526717557302</v>
      </c>
      <c r="G102" s="37">
        <v>10.1</v>
      </c>
      <c r="H102" s="37">
        <v>1968</v>
      </c>
      <c r="I102" s="37">
        <v>5136</v>
      </c>
      <c r="J102" s="49">
        <v>161</v>
      </c>
      <c r="K102" s="78">
        <v>91</v>
      </c>
      <c r="L102" s="78">
        <v>44</v>
      </c>
      <c r="M102" s="78">
        <v>15</v>
      </c>
    </row>
    <row r="103" spans="1:13" ht="14.4">
      <c r="A103" s="37" t="s">
        <v>112</v>
      </c>
      <c r="B103" s="244" t="s">
        <v>218</v>
      </c>
      <c r="C103" s="37" t="s">
        <v>324</v>
      </c>
      <c r="D103" s="37" t="s">
        <v>294</v>
      </c>
      <c r="E103" s="68">
        <v>4.8</v>
      </c>
      <c r="F103" s="68">
        <v>4.5801526717557302</v>
      </c>
      <c r="G103" s="37">
        <v>8</v>
      </c>
      <c r="H103" s="37">
        <v>2423</v>
      </c>
      <c r="I103" s="37">
        <v>3292</v>
      </c>
      <c r="J103" s="49">
        <v>161</v>
      </c>
      <c r="K103" s="78">
        <v>91</v>
      </c>
      <c r="L103" s="78">
        <v>44</v>
      </c>
      <c r="M103" s="78">
        <v>15</v>
      </c>
    </row>
    <row r="104" spans="1:13" ht="14.4">
      <c r="A104" s="37" t="s">
        <v>112</v>
      </c>
      <c r="B104" s="245"/>
      <c r="C104" s="37" t="s">
        <v>324</v>
      </c>
      <c r="D104" s="37" t="s">
        <v>295</v>
      </c>
      <c r="E104" s="68">
        <v>4.8</v>
      </c>
      <c r="F104" s="68">
        <v>4.5801526717557302</v>
      </c>
      <c r="G104" s="37">
        <v>8.6999999999999993</v>
      </c>
      <c r="H104" s="37">
        <v>2605</v>
      </c>
      <c r="I104" s="37">
        <v>3334</v>
      </c>
      <c r="J104" s="49">
        <v>161</v>
      </c>
      <c r="K104" s="78">
        <v>91</v>
      </c>
      <c r="L104" s="78">
        <v>44</v>
      </c>
      <c r="M104" s="78">
        <v>15</v>
      </c>
    </row>
    <row r="105" spans="1:13" ht="14.4">
      <c r="A105" s="37" t="s">
        <v>112</v>
      </c>
      <c r="B105" s="245"/>
      <c r="C105" s="37" t="s">
        <v>324</v>
      </c>
      <c r="D105" s="37" t="s">
        <v>296</v>
      </c>
      <c r="E105" s="68">
        <v>4.8</v>
      </c>
      <c r="F105" s="68">
        <v>4.5801526717557302</v>
      </c>
      <c r="G105" s="37">
        <v>8.8000000000000007</v>
      </c>
      <c r="H105" s="37">
        <v>2648</v>
      </c>
      <c r="I105" s="37">
        <v>3314</v>
      </c>
      <c r="J105" s="49">
        <v>161</v>
      </c>
      <c r="K105" s="78">
        <v>91</v>
      </c>
      <c r="L105" s="78">
        <v>44</v>
      </c>
      <c r="M105" s="78">
        <v>15</v>
      </c>
    </row>
    <row r="106" spans="1:13" ht="14.4">
      <c r="A106" s="37" t="s">
        <v>112</v>
      </c>
      <c r="B106" s="245"/>
      <c r="C106" s="37" t="s">
        <v>324</v>
      </c>
      <c r="D106" s="37" t="s">
        <v>297</v>
      </c>
      <c r="E106" s="68">
        <v>4.8</v>
      </c>
      <c r="F106" s="68">
        <v>4.5801526717557302</v>
      </c>
      <c r="G106" s="37">
        <v>9.6</v>
      </c>
      <c r="H106" s="37">
        <v>2151</v>
      </c>
      <c r="I106" s="37">
        <v>4450</v>
      </c>
      <c r="J106" s="49">
        <v>161</v>
      </c>
      <c r="K106" s="78">
        <v>91</v>
      </c>
      <c r="L106" s="78">
        <v>44</v>
      </c>
      <c r="M106" s="78">
        <v>15</v>
      </c>
    </row>
    <row r="107" spans="1:13" ht="14.4">
      <c r="A107" s="37" t="s">
        <v>112</v>
      </c>
      <c r="B107" s="245"/>
      <c r="C107" s="37" t="s">
        <v>324</v>
      </c>
      <c r="D107" s="37" t="s">
        <v>298</v>
      </c>
      <c r="E107" s="68">
        <v>4.8</v>
      </c>
      <c r="F107" s="68">
        <v>4.5801526717557302</v>
      </c>
      <c r="G107" s="37">
        <v>9.4</v>
      </c>
      <c r="H107" s="37">
        <v>2549</v>
      </c>
      <c r="I107" s="37">
        <v>3684</v>
      </c>
      <c r="J107" s="49">
        <v>161</v>
      </c>
      <c r="K107" s="78">
        <v>91</v>
      </c>
      <c r="L107" s="78">
        <v>44</v>
      </c>
      <c r="M107" s="78">
        <v>15</v>
      </c>
    </row>
    <row r="108" spans="1:13" ht="14.4">
      <c r="A108" s="37" t="s">
        <v>112</v>
      </c>
      <c r="B108" s="245"/>
      <c r="C108" s="37" t="s">
        <v>324</v>
      </c>
      <c r="D108" s="37" t="s">
        <v>299</v>
      </c>
      <c r="E108" s="68">
        <v>4.8</v>
      </c>
      <c r="F108" s="68">
        <v>4.5801526717557302</v>
      </c>
      <c r="G108" s="37">
        <v>10.4</v>
      </c>
      <c r="H108" s="37">
        <v>2606</v>
      </c>
      <c r="I108" s="37">
        <v>3993</v>
      </c>
      <c r="J108" s="49">
        <v>161</v>
      </c>
      <c r="K108" s="78">
        <v>91</v>
      </c>
      <c r="L108" s="78">
        <v>44</v>
      </c>
      <c r="M108" s="78">
        <v>15</v>
      </c>
    </row>
    <row r="109" spans="1:13" ht="14.4">
      <c r="A109" s="37" t="s">
        <v>112</v>
      </c>
      <c r="B109" s="246"/>
      <c r="C109" s="37" t="s">
        <v>324</v>
      </c>
      <c r="D109" s="37" t="s">
        <v>404</v>
      </c>
      <c r="E109" s="68">
        <v>4.8</v>
      </c>
      <c r="F109" s="68">
        <v>4.5801526717557302</v>
      </c>
      <c r="G109" s="37">
        <v>9.5</v>
      </c>
      <c r="H109" s="37">
        <v>2125</v>
      </c>
      <c r="I109" s="37">
        <v>4458</v>
      </c>
      <c r="J109" s="49">
        <v>161</v>
      </c>
      <c r="K109" s="78">
        <v>91</v>
      </c>
      <c r="L109" s="78">
        <v>44</v>
      </c>
      <c r="M109" s="78">
        <v>15</v>
      </c>
    </row>
    <row r="110" spans="1:13" ht="14.4">
      <c r="A110" s="37" t="s">
        <v>256</v>
      </c>
      <c r="B110" s="244" t="s">
        <v>257</v>
      </c>
      <c r="C110" s="63" t="s">
        <v>324</v>
      </c>
      <c r="D110" s="37" t="s">
        <v>294</v>
      </c>
      <c r="E110" s="65">
        <v>4.9000000000000004</v>
      </c>
      <c r="F110" s="65">
        <v>4.6711153479504297</v>
      </c>
      <c r="G110" s="67">
        <v>13.7</v>
      </c>
      <c r="H110" s="78">
        <v>2678</v>
      </c>
      <c r="I110" s="78">
        <v>5133</v>
      </c>
      <c r="J110" s="49">
        <v>161</v>
      </c>
      <c r="K110" s="78">
        <v>91</v>
      </c>
      <c r="L110" s="78">
        <v>44</v>
      </c>
      <c r="M110" s="78">
        <v>15</v>
      </c>
    </row>
    <row r="111" spans="1:13" ht="14.4">
      <c r="A111" s="37" t="s">
        <v>256</v>
      </c>
      <c r="B111" s="245"/>
      <c r="C111" s="63" t="s">
        <v>324</v>
      </c>
      <c r="D111" s="37" t="s">
        <v>295</v>
      </c>
      <c r="E111" s="65">
        <v>4.9000000000000004</v>
      </c>
      <c r="F111" s="65">
        <v>4.6711153479504297</v>
      </c>
      <c r="G111" s="67">
        <v>11.1</v>
      </c>
      <c r="H111" s="78">
        <v>2478</v>
      </c>
      <c r="I111" s="78">
        <v>4484</v>
      </c>
      <c r="J111" s="49">
        <v>161</v>
      </c>
      <c r="K111" s="78">
        <v>91</v>
      </c>
      <c r="L111" s="78">
        <v>44</v>
      </c>
      <c r="M111" s="78">
        <v>15</v>
      </c>
    </row>
    <row r="112" spans="1:13" ht="14.4">
      <c r="A112" s="37" t="s">
        <v>256</v>
      </c>
      <c r="B112" s="245"/>
      <c r="C112" s="63" t="s">
        <v>324</v>
      </c>
      <c r="D112" s="37" t="s">
        <v>296</v>
      </c>
      <c r="E112" s="65">
        <v>4.9000000000000004</v>
      </c>
      <c r="F112" s="65">
        <v>4.6711153479504297</v>
      </c>
      <c r="G112" s="67">
        <v>11.9</v>
      </c>
      <c r="H112" s="78">
        <v>2517</v>
      </c>
      <c r="I112" s="78">
        <v>4747</v>
      </c>
      <c r="J112" s="49">
        <v>161</v>
      </c>
      <c r="K112" s="78">
        <v>91</v>
      </c>
      <c r="L112" s="78">
        <v>44</v>
      </c>
      <c r="M112" s="78">
        <v>15</v>
      </c>
    </row>
    <row r="113" spans="1:13" ht="14.4">
      <c r="A113" s="37" t="s">
        <v>256</v>
      </c>
      <c r="B113" s="245"/>
      <c r="C113" s="63" t="s">
        <v>324</v>
      </c>
      <c r="D113" s="37" t="s">
        <v>297</v>
      </c>
      <c r="E113" s="65">
        <v>4.9000000000000004</v>
      </c>
      <c r="F113" s="65">
        <v>4.6711153479504297</v>
      </c>
      <c r="G113" s="67">
        <v>12.1</v>
      </c>
      <c r="H113" s="78">
        <v>2380</v>
      </c>
      <c r="I113" s="78">
        <v>5090</v>
      </c>
      <c r="J113" s="49">
        <v>161</v>
      </c>
      <c r="K113" s="78">
        <v>91</v>
      </c>
      <c r="L113" s="78">
        <v>44</v>
      </c>
      <c r="M113" s="78">
        <v>15</v>
      </c>
    </row>
    <row r="114" spans="1:13" ht="14.4">
      <c r="A114" s="37" t="s">
        <v>256</v>
      </c>
      <c r="B114" s="245"/>
      <c r="C114" s="63" t="s">
        <v>324</v>
      </c>
      <c r="D114" s="37" t="s">
        <v>298</v>
      </c>
      <c r="E114" s="65">
        <v>4.9000000000000004</v>
      </c>
      <c r="F114" s="65">
        <v>4.6711153479504297</v>
      </c>
      <c r="G114" s="67">
        <v>12.4</v>
      </c>
      <c r="H114" s="78">
        <v>2643</v>
      </c>
      <c r="I114" s="78">
        <v>4709</v>
      </c>
      <c r="J114" s="49">
        <v>161</v>
      </c>
      <c r="K114" s="78">
        <v>91</v>
      </c>
      <c r="L114" s="78">
        <v>44</v>
      </c>
      <c r="M114" s="78">
        <v>15</v>
      </c>
    </row>
    <row r="115" spans="1:13" ht="14.4">
      <c r="A115" s="37" t="s">
        <v>256</v>
      </c>
      <c r="B115" s="246"/>
      <c r="C115" s="63" t="s">
        <v>324</v>
      </c>
      <c r="D115" s="37" t="s">
        <v>299</v>
      </c>
      <c r="E115" s="65">
        <v>4.9000000000000004</v>
      </c>
      <c r="F115" s="65">
        <v>4.6711153479504297</v>
      </c>
      <c r="G115" s="67">
        <v>14</v>
      </c>
      <c r="H115" s="78">
        <v>2454</v>
      </c>
      <c r="I115" s="78">
        <v>5688</v>
      </c>
      <c r="J115" s="49">
        <v>161</v>
      </c>
      <c r="K115" s="78">
        <v>91</v>
      </c>
      <c r="L115" s="78">
        <v>44</v>
      </c>
      <c r="M115" s="78">
        <v>15</v>
      </c>
    </row>
    <row r="116" spans="1:13" ht="14.4">
      <c r="A116" s="37" t="s">
        <v>114</v>
      </c>
      <c r="B116" s="244" t="s">
        <v>218</v>
      </c>
      <c r="C116" s="37" t="s">
        <v>314</v>
      </c>
      <c r="D116" s="37" t="s">
        <v>294</v>
      </c>
      <c r="E116" s="50">
        <v>5.2</v>
      </c>
      <c r="F116" s="50">
        <v>4.9429657794676798</v>
      </c>
      <c r="G116" s="67">
        <v>6.5060000000000002</v>
      </c>
      <c r="H116" s="78">
        <v>2699</v>
      </c>
      <c r="I116" s="78">
        <v>2411</v>
      </c>
      <c r="J116" s="49">
        <v>258</v>
      </c>
      <c r="K116" s="78">
        <v>72.2</v>
      </c>
      <c r="L116" s="78">
        <v>47.6</v>
      </c>
      <c r="M116" s="78">
        <v>8.1999999999999993</v>
      </c>
    </row>
    <row r="117" spans="1:13" ht="14.4">
      <c r="A117" s="37" t="s">
        <v>114</v>
      </c>
      <c r="B117" s="245"/>
      <c r="C117" s="37" t="s">
        <v>314</v>
      </c>
      <c r="D117" s="37" t="s">
        <v>295</v>
      </c>
      <c r="E117" s="50">
        <v>5.2</v>
      </c>
      <c r="F117" s="50">
        <v>4.9429657794676798</v>
      </c>
      <c r="G117" s="67">
        <v>5.9180000000000001</v>
      </c>
      <c r="H117" s="78">
        <v>2646.5</v>
      </c>
      <c r="I117" s="78">
        <v>2237.1999999999998</v>
      </c>
      <c r="J117" s="49">
        <v>258</v>
      </c>
      <c r="K117" s="78">
        <v>72.2</v>
      </c>
      <c r="L117" s="78">
        <v>47.6</v>
      </c>
      <c r="M117" s="78">
        <v>8.1999999999999993</v>
      </c>
    </row>
    <row r="118" spans="1:13" ht="14.4">
      <c r="A118" s="37" t="s">
        <v>114</v>
      </c>
      <c r="B118" s="245"/>
      <c r="C118" s="37" t="s">
        <v>314</v>
      </c>
      <c r="D118" s="37" t="s">
        <v>296</v>
      </c>
      <c r="E118" s="50">
        <v>5.2</v>
      </c>
      <c r="F118" s="50">
        <v>4.9429657794676798</v>
      </c>
      <c r="G118" s="67">
        <v>5.069</v>
      </c>
      <c r="H118" s="78">
        <v>2273</v>
      </c>
      <c r="I118" s="78">
        <v>2239</v>
      </c>
      <c r="J118" s="49">
        <v>258</v>
      </c>
      <c r="K118" s="78">
        <v>72.2</v>
      </c>
      <c r="L118" s="78">
        <v>47.6</v>
      </c>
      <c r="M118" s="78">
        <v>8.1999999999999993</v>
      </c>
    </row>
    <row r="119" spans="1:13" ht="14.4">
      <c r="A119" s="37" t="s">
        <v>114</v>
      </c>
      <c r="B119" s="245"/>
      <c r="C119" s="37" t="s">
        <v>314</v>
      </c>
      <c r="D119" s="37" t="s">
        <v>297</v>
      </c>
      <c r="E119" s="50">
        <v>5.2</v>
      </c>
      <c r="F119" s="50">
        <v>4.9429657794676798</v>
      </c>
      <c r="G119" s="67">
        <v>5.4859999999999998</v>
      </c>
      <c r="H119" s="78">
        <v>1974</v>
      </c>
      <c r="I119" s="78">
        <v>2779</v>
      </c>
      <c r="J119" s="49">
        <v>258</v>
      </c>
      <c r="K119" s="78">
        <v>72.2</v>
      </c>
      <c r="L119" s="78">
        <v>47.6</v>
      </c>
      <c r="M119" s="78">
        <v>8.1999999999999993</v>
      </c>
    </row>
    <row r="120" spans="1:13" ht="14.4">
      <c r="A120" s="37" t="s">
        <v>114</v>
      </c>
      <c r="B120" s="245"/>
      <c r="C120" s="37" t="s">
        <v>314</v>
      </c>
      <c r="D120" s="37" t="s">
        <v>298</v>
      </c>
      <c r="E120" s="50">
        <v>5.2</v>
      </c>
      <c r="F120" s="50">
        <v>4.9429657794676798</v>
      </c>
      <c r="G120" s="67">
        <v>4.3099999999999996</v>
      </c>
      <c r="H120" s="78">
        <v>1790</v>
      </c>
      <c r="I120" s="78">
        <v>2408</v>
      </c>
      <c r="J120" s="49">
        <v>258</v>
      </c>
      <c r="K120" s="78">
        <v>72.2</v>
      </c>
      <c r="L120" s="78">
        <v>47.6</v>
      </c>
      <c r="M120" s="78">
        <v>8.1999999999999993</v>
      </c>
    </row>
    <row r="121" spans="1:13" ht="14.4">
      <c r="A121" s="37" t="s">
        <v>114</v>
      </c>
      <c r="B121" s="245"/>
      <c r="C121" s="37" t="s">
        <v>314</v>
      </c>
      <c r="D121" s="37" t="s">
        <v>299</v>
      </c>
      <c r="E121" s="50">
        <v>5.2</v>
      </c>
      <c r="F121" s="50">
        <v>4.9429657794676798</v>
      </c>
      <c r="G121" s="67">
        <v>4.4489999999999998</v>
      </c>
      <c r="H121" s="78">
        <v>1853</v>
      </c>
      <c r="I121" s="78">
        <v>2401</v>
      </c>
      <c r="J121" s="49">
        <v>258</v>
      </c>
      <c r="K121" s="78">
        <v>72.2</v>
      </c>
      <c r="L121" s="78">
        <v>47.6</v>
      </c>
      <c r="M121" s="78">
        <v>8.1999999999999993</v>
      </c>
    </row>
    <row r="122" spans="1:13" ht="14.4">
      <c r="A122" s="37" t="s">
        <v>114</v>
      </c>
      <c r="B122" s="245"/>
      <c r="C122" s="37" t="s">
        <v>324</v>
      </c>
      <c r="D122" s="37" t="s">
        <v>294</v>
      </c>
      <c r="E122" s="50">
        <v>5.2</v>
      </c>
      <c r="F122" s="50">
        <v>4.9429657794676798</v>
      </c>
      <c r="G122" s="67">
        <v>5.0860000000000003</v>
      </c>
      <c r="H122" s="78">
        <v>1643</v>
      </c>
      <c r="I122" s="78">
        <v>3095</v>
      </c>
      <c r="J122" s="49">
        <v>161</v>
      </c>
      <c r="K122" s="78">
        <v>91</v>
      </c>
      <c r="L122" s="78">
        <v>44</v>
      </c>
      <c r="M122" s="78">
        <v>15</v>
      </c>
    </row>
    <row r="123" spans="1:13" ht="14.4">
      <c r="A123" s="37" t="s">
        <v>114</v>
      </c>
      <c r="B123" s="245"/>
      <c r="C123" s="37" t="s">
        <v>324</v>
      </c>
      <c r="D123" s="37" t="s">
        <v>295</v>
      </c>
      <c r="E123" s="50">
        <v>5.2</v>
      </c>
      <c r="F123" s="50">
        <v>4.9429657794676798</v>
      </c>
      <c r="G123" s="67">
        <v>6.0410000000000004</v>
      </c>
      <c r="H123" s="78">
        <v>1912</v>
      </c>
      <c r="I123" s="78">
        <v>3530</v>
      </c>
      <c r="J123" s="49">
        <v>161</v>
      </c>
      <c r="K123" s="78">
        <v>91</v>
      </c>
      <c r="L123" s="78">
        <v>44</v>
      </c>
      <c r="M123" s="78">
        <v>15</v>
      </c>
    </row>
    <row r="124" spans="1:13" ht="14.4">
      <c r="A124" s="37" t="s">
        <v>114</v>
      </c>
      <c r="B124" s="245"/>
      <c r="C124" s="37" t="s">
        <v>324</v>
      </c>
      <c r="D124" s="37" t="s">
        <v>296</v>
      </c>
      <c r="E124" s="50">
        <v>5.2</v>
      </c>
      <c r="F124" s="50">
        <v>4.9429657794676798</v>
      </c>
      <c r="G124" s="67">
        <v>5.82</v>
      </c>
      <c r="H124" s="78">
        <v>2646</v>
      </c>
      <c r="I124" s="78">
        <v>2200</v>
      </c>
      <c r="J124" s="49">
        <v>161</v>
      </c>
      <c r="K124" s="78">
        <v>91</v>
      </c>
      <c r="L124" s="78">
        <v>44</v>
      </c>
      <c r="M124" s="78">
        <v>15</v>
      </c>
    </row>
    <row r="125" spans="1:13" ht="14.4">
      <c r="A125" s="37" t="s">
        <v>114</v>
      </c>
      <c r="B125" s="245"/>
      <c r="C125" s="37" t="s">
        <v>324</v>
      </c>
      <c r="D125" s="37" t="s">
        <v>297</v>
      </c>
      <c r="E125" s="50">
        <v>5.2</v>
      </c>
      <c r="F125" s="50">
        <v>4.9429657794676798</v>
      </c>
      <c r="G125" s="67">
        <v>6.2779999999999996</v>
      </c>
      <c r="H125" s="78">
        <v>2158</v>
      </c>
      <c r="I125" s="78">
        <v>3206</v>
      </c>
      <c r="J125" s="49">
        <v>161</v>
      </c>
      <c r="K125" s="78">
        <v>91</v>
      </c>
      <c r="L125" s="78">
        <v>44</v>
      </c>
      <c r="M125" s="78">
        <v>15</v>
      </c>
    </row>
    <row r="126" spans="1:13" ht="14.4">
      <c r="A126" s="37" t="s">
        <v>114</v>
      </c>
      <c r="B126" s="245"/>
      <c r="C126" s="37" t="s">
        <v>324</v>
      </c>
      <c r="D126" s="37" t="s">
        <v>298</v>
      </c>
      <c r="E126" s="50">
        <v>5.2</v>
      </c>
      <c r="F126" s="50">
        <v>4.9429657794676798</v>
      </c>
      <c r="G126" s="67">
        <v>5.8070000000000004</v>
      </c>
      <c r="H126" s="78">
        <v>2394</v>
      </c>
      <c r="I126" s="78">
        <v>2438</v>
      </c>
      <c r="J126" s="49">
        <v>161</v>
      </c>
      <c r="K126" s="78">
        <v>91</v>
      </c>
      <c r="L126" s="78">
        <v>44</v>
      </c>
      <c r="M126" s="78">
        <v>15</v>
      </c>
    </row>
    <row r="127" spans="1:13" ht="14.4">
      <c r="A127" s="37" t="s">
        <v>114</v>
      </c>
      <c r="B127" s="246"/>
      <c r="C127" s="37" t="s">
        <v>324</v>
      </c>
      <c r="D127" s="37" t="s">
        <v>299</v>
      </c>
      <c r="E127" s="50">
        <v>5.2</v>
      </c>
      <c r="F127" s="50">
        <v>4.9429657794676798</v>
      </c>
      <c r="G127" s="67">
        <v>4.58</v>
      </c>
      <c r="H127" s="78">
        <v>2248</v>
      </c>
      <c r="I127" s="78">
        <v>2778</v>
      </c>
      <c r="J127" s="49">
        <v>161</v>
      </c>
      <c r="K127" s="78">
        <v>91</v>
      </c>
      <c r="L127" s="78">
        <v>44</v>
      </c>
      <c r="M127" s="78">
        <v>15</v>
      </c>
    </row>
    <row r="128" spans="1:13" ht="14.4">
      <c r="A128" s="37" t="s">
        <v>118</v>
      </c>
      <c r="B128" s="244" t="s">
        <v>218</v>
      </c>
      <c r="C128" s="37" t="s">
        <v>314</v>
      </c>
      <c r="D128" s="37" t="s">
        <v>294</v>
      </c>
      <c r="E128" s="50">
        <v>5.5</v>
      </c>
      <c r="F128" s="50">
        <v>5.2132701421800904</v>
      </c>
      <c r="G128" s="67">
        <v>7.3390000000000004</v>
      </c>
      <c r="H128" s="78">
        <v>1942</v>
      </c>
      <c r="I128" s="78">
        <v>3778</v>
      </c>
      <c r="J128" s="49">
        <v>258</v>
      </c>
      <c r="K128" s="78">
        <v>72.2</v>
      </c>
      <c r="L128" s="78">
        <v>47.6</v>
      </c>
      <c r="M128" s="78">
        <v>8.1999999999999993</v>
      </c>
    </row>
    <row r="129" spans="1:13" ht="14.4">
      <c r="A129" s="37" t="s">
        <v>118</v>
      </c>
      <c r="B129" s="245"/>
      <c r="C129" s="37" t="s">
        <v>314</v>
      </c>
      <c r="D129" s="37" t="s">
        <v>295</v>
      </c>
      <c r="E129" s="50">
        <v>5.5</v>
      </c>
      <c r="F129" s="50">
        <v>5.2132701421800904</v>
      </c>
      <c r="G129" s="67">
        <v>7.0940000000000003</v>
      </c>
      <c r="H129" s="78">
        <v>2201</v>
      </c>
      <c r="I129" s="78">
        <v>3861</v>
      </c>
      <c r="J129" s="49">
        <v>258</v>
      </c>
      <c r="K129" s="78">
        <v>72.2</v>
      </c>
      <c r="L129" s="78">
        <v>47.6</v>
      </c>
      <c r="M129" s="78">
        <v>8.1999999999999993</v>
      </c>
    </row>
    <row r="130" spans="1:13" ht="14.4">
      <c r="A130" s="37" t="s">
        <v>118</v>
      </c>
      <c r="B130" s="245"/>
      <c r="C130" s="37" t="s">
        <v>314</v>
      </c>
      <c r="D130" s="37" t="s">
        <v>296</v>
      </c>
      <c r="E130" s="50">
        <v>5.5</v>
      </c>
      <c r="F130" s="50">
        <v>5.2132701421800904</v>
      </c>
      <c r="G130" s="67">
        <v>7.3879999999999999</v>
      </c>
      <c r="H130" s="78">
        <v>2336</v>
      </c>
      <c r="I130" s="78">
        <v>3222</v>
      </c>
      <c r="J130" s="49">
        <v>258</v>
      </c>
      <c r="K130" s="78">
        <v>72.2</v>
      </c>
      <c r="L130" s="78">
        <v>47.6</v>
      </c>
      <c r="M130" s="78">
        <v>8.1999999999999993</v>
      </c>
    </row>
    <row r="131" spans="1:13" ht="14.4">
      <c r="A131" s="37" t="s">
        <v>118</v>
      </c>
      <c r="B131" s="245"/>
      <c r="C131" s="37" t="s">
        <v>314</v>
      </c>
      <c r="D131" s="37" t="s">
        <v>297</v>
      </c>
      <c r="E131" s="50">
        <v>5.5</v>
      </c>
      <c r="F131" s="50">
        <v>5.2132701421800904</v>
      </c>
      <c r="G131" s="67">
        <v>7.2409999999999997</v>
      </c>
      <c r="H131" s="78">
        <v>1821</v>
      </c>
      <c r="I131" s="78">
        <v>3162</v>
      </c>
      <c r="J131" s="49">
        <v>258</v>
      </c>
      <c r="K131" s="78">
        <v>72.2</v>
      </c>
      <c r="L131" s="78">
        <v>47.6</v>
      </c>
      <c r="M131" s="78">
        <v>8.1999999999999993</v>
      </c>
    </row>
    <row r="132" spans="1:13" ht="14.4">
      <c r="A132" s="37" t="s">
        <v>118</v>
      </c>
      <c r="B132" s="245"/>
      <c r="C132" s="37" t="s">
        <v>314</v>
      </c>
      <c r="D132" s="37" t="s">
        <v>298</v>
      </c>
      <c r="E132" s="50">
        <v>5.5</v>
      </c>
      <c r="F132" s="50">
        <v>5.2132701421800904</v>
      </c>
      <c r="G132" s="67">
        <v>7.8040000000000003</v>
      </c>
      <c r="H132" s="78">
        <v>2021</v>
      </c>
      <c r="I132" s="78">
        <v>3974</v>
      </c>
      <c r="J132" s="49">
        <v>258</v>
      </c>
      <c r="K132" s="78">
        <v>72.2</v>
      </c>
      <c r="L132" s="78">
        <v>47.6</v>
      </c>
      <c r="M132" s="78">
        <v>8.1999999999999993</v>
      </c>
    </row>
    <row r="133" spans="1:13" ht="14.4">
      <c r="A133" s="37" t="s">
        <v>118</v>
      </c>
      <c r="B133" s="245"/>
      <c r="C133" s="37" t="s">
        <v>332</v>
      </c>
      <c r="D133" s="37" t="s">
        <v>294</v>
      </c>
      <c r="E133" s="50">
        <v>5.5</v>
      </c>
      <c r="F133" s="50">
        <v>5.2132701421800904</v>
      </c>
      <c r="G133" s="67">
        <v>7.6239999999999997</v>
      </c>
      <c r="H133" s="78">
        <v>2219</v>
      </c>
      <c r="I133" s="78">
        <v>3287</v>
      </c>
      <c r="J133" s="49">
        <v>144</v>
      </c>
      <c r="K133" s="78">
        <v>107.8</v>
      </c>
      <c r="L133" s="78">
        <v>43.95</v>
      </c>
      <c r="M133" s="78">
        <v>60.3</v>
      </c>
    </row>
    <row r="134" spans="1:13" ht="14.4">
      <c r="A134" s="37" t="s">
        <v>118</v>
      </c>
      <c r="B134" s="245"/>
      <c r="C134" s="37" t="s">
        <v>332</v>
      </c>
      <c r="D134" s="37" t="s">
        <v>295</v>
      </c>
      <c r="E134" s="50">
        <v>5.5</v>
      </c>
      <c r="F134" s="50">
        <v>5.2132701421800904</v>
      </c>
      <c r="G134" s="67">
        <v>7.7629999999999999</v>
      </c>
      <c r="H134" s="78">
        <v>2205</v>
      </c>
      <c r="I134" s="78">
        <v>4583</v>
      </c>
      <c r="J134" s="49">
        <v>144</v>
      </c>
      <c r="K134" s="78">
        <v>107.8</v>
      </c>
      <c r="L134" s="78">
        <v>43.95</v>
      </c>
      <c r="M134" s="78">
        <v>60.3</v>
      </c>
    </row>
    <row r="135" spans="1:13" ht="14.4">
      <c r="A135" s="37" t="s">
        <v>118</v>
      </c>
      <c r="B135" s="245"/>
      <c r="C135" s="37" t="s">
        <v>332</v>
      </c>
      <c r="D135" s="37" t="s">
        <v>296</v>
      </c>
      <c r="E135" s="50">
        <v>5.5</v>
      </c>
      <c r="F135" s="50">
        <v>5.2132701421800904</v>
      </c>
      <c r="G135" s="67">
        <v>7.1840000000000002</v>
      </c>
      <c r="H135" s="78">
        <v>1986</v>
      </c>
      <c r="I135" s="78">
        <v>3258</v>
      </c>
      <c r="J135" s="49">
        <v>144</v>
      </c>
      <c r="K135" s="78">
        <v>107.8</v>
      </c>
      <c r="L135" s="78">
        <v>43.95</v>
      </c>
      <c r="M135" s="78">
        <v>60.3</v>
      </c>
    </row>
    <row r="136" spans="1:13" ht="14.4">
      <c r="A136" s="37" t="s">
        <v>118</v>
      </c>
      <c r="B136" s="245"/>
      <c r="C136" s="37" t="s">
        <v>332</v>
      </c>
      <c r="D136" s="37" t="s">
        <v>297</v>
      </c>
      <c r="E136" s="50">
        <v>5.5</v>
      </c>
      <c r="F136" s="50">
        <v>5.2132701421800904</v>
      </c>
      <c r="G136" s="67">
        <v>8.1210000000000004</v>
      </c>
      <c r="H136" s="78">
        <v>1879</v>
      </c>
      <c r="I136" s="78">
        <v>4115</v>
      </c>
      <c r="J136" s="49">
        <v>144</v>
      </c>
      <c r="K136" s="78">
        <v>107.8</v>
      </c>
      <c r="L136" s="78">
        <v>43.95</v>
      </c>
      <c r="M136" s="78">
        <v>60.3</v>
      </c>
    </row>
    <row r="137" spans="1:13" ht="14.4">
      <c r="A137" s="37" t="s">
        <v>118</v>
      </c>
      <c r="B137" s="245"/>
      <c r="C137" s="37" t="s">
        <v>332</v>
      </c>
      <c r="D137" s="37" t="s">
        <v>298</v>
      </c>
      <c r="E137" s="50">
        <v>5.5</v>
      </c>
      <c r="F137" s="50">
        <v>5.2132701421800904</v>
      </c>
      <c r="G137" s="67">
        <v>6.9550000000000001</v>
      </c>
      <c r="H137" s="78">
        <v>2148</v>
      </c>
      <c r="I137" s="78">
        <v>3239</v>
      </c>
      <c r="J137" s="49">
        <v>144</v>
      </c>
      <c r="K137" s="78">
        <v>107.8</v>
      </c>
      <c r="L137" s="78">
        <v>43.95</v>
      </c>
      <c r="M137" s="78">
        <v>60.3</v>
      </c>
    </row>
    <row r="138" spans="1:13" ht="14.4">
      <c r="A138" s="37" t="s">
        <v>118</v>
      </c>
      <c r="B138" s="245"/>
      <c r="C138" s="37" t="s">
        <v>333</v>
      </c>
      <c r="D138" s="37" t="s">
        <v>294</v>
      </c>
      <c r="E138" s="50">
        <v>5.5</v>
      </c>
      <c r="F138" s="50">
        <v>5.2132701421800904</v>
      </c>
      <c r="G138" s="67">
        <v>6.2590000000000003</v>
      </c>
      <c r="H138" s="78">
        <v>1998</v>
      </c>
      <c r="I138" s="78">
        <v>3381</v>
      </c>
      <c r="J138" s="49">
        <v>144</v>
      </c>
      <c r="K138" s="78">
        <v>107.8</v>
      </c>
      <c r="L138" s="78">
        <v>43.95</v>
      </c>
      <c r="M138" s="78">
        <v>60.3</v>
      </c>
    </row>
    <row r="139" spans="1:13" ht="14.4">
      <c r="A139" s="37" t="s">
        <v>118</v>
      </c>
      <c r="B139" s="245"/>
      <c r="C139" s="37" t="s">
        <v>333</v>
      </c>
      <c r="D139" s="37" t="s">
        <v>295</v>
      </c>
      <c r="E139" s="50">
        <v>5.5</v>
      </c>
      <c r="F139" s="50">
        <v>5.2132701421800904</v>
      </c>
      <c r="G139" s="67">
        <v>6.8730000000000002</v>
      </c>
      <c r="H139" s="78">
        <v>2106</v>
      </c>
      <c r="I139" s="78">
        <v>3262</v>
      </c>
      <c r="J139" s="49">
        <v>144</v>
      </c>
      <c r="K139" s="78">
        <v>107.8</v>
      </c>
      <c r="L139" s="78">
        <v>43.95</v>
      </c>
      <c r="M139" s="78">
        <v>60.3</v>
      </c>
    </row>
    <row r="140" spans="1:13" ht="14.4">
      <c r="A140" s="37" t="s">
        <v>118</v>
      </c>
      <c r="B140" s="245"/>
      <c r="C140" s="37" t="s">
        <v>333</v>
      </c>
      <c r="D140" s="37" t="s">
        <v>296</v>
      </c>
      <c r="E140" s="50">
        <v>5.5</v>
      </c>
      <c r="F140" s="50">
        <v>5.2132701421800904</v>
      </c>
      <c r="G140" s="67">
        <v>6.5880000000000001</v>
      </c>
      <c r="H140" s="78">
        <v>2190</v>
      </c>
      <c r="I140" s="78">
        <v>3007</v>
      </c>
      <c r="J140" s="49">
        <v>144</v>
      </c>
      <c r="K140" s="78">
        <v>107.8</v>
      </c>
      <c r="L140" s="78">
        <v>43.95</v>
      </c>
      <c r="M140" s="78">
        <v>60.3</v>
      </c>
    </row>
    <row r="141" spans="1:13" ht="14.4">
      <c r="A141" s="37" t="s">
        <v>118</v>
      </c>
      <c r="B141" s="245"/>
      <c r="C141" s="37" t="s">
        <v>333</v>
      </c>
      <c r="D141" s="37" t="s">
        <v>297</v>
      </c>
      <c r="E141" s="50">
        <v>5.5</v>
      </c>
      <c r="F141" s="50">
        <v>5.2132701421800904</v>
      </c>
      <c r="G141" s="67">
        <v>7.069</v>
      </c>
      <c r="H141" s="78">
        <v>2045</v>
      </c>
      <c r="I141" s="78">
        <v>3891</v>
      </c>
      <c r="J141" s="49">
        <v>144</v>
      </c>
      <c r="K141" s="78">
        <v>107.8</v>
      </c>
      <c r="L141" s="78">
        <v>43.95</v>
      </c>
      <c r="M141" s="78">
        <v>60.3</v>
      </c>
    </row>
    <row r="142" spans="1:13" ht="14.4">
      <c r="A142" s="37" t="s">
        <v>118</v>
      </c>
      <c r="B142" s="246"/>
      <c r="C142" s="37" t="s">
        <v>333</v>
      </c>
      <c r="D142" s="37" t="s">
        <v>298</v>
      </c>
      <c r="E142" s="50">
        <v>5.5</v>
      </c>
      <c r="F142" s="50">
        <v>5.2132701421800904</v>
      </c>
      <c r="G142" s="67">
        <v>6.6529999999999996</v>
      </c>
      <c r="H142" s="78">
        <v>1816</v>
      </c>
      <c r="I142" s="78">
        <v>3275</v>
      </c>
      <c r="J142" s="49">
        <v>144</v>
      </c>
      <c r="K142" s="78">
        <v>107.8</v>
      </c>
      <c r="L142" s="78">
        <v>43.95</v>
      </c>
      <c r="M142" s="78">
        <v>60.3</v>
      </c>
    </row>
    <row r="143" spans="1:13" ht="14.4">
      <c r="A143" s="37" t="s">
        <v>119</v>
      </c>
      <c r="B143" s="244" t="s">
        <v>245</v>
      </c>
      <c r="C143" s="37" t="s">
        <v>324</v>
      </c>
      <c r="D143" s="37" t="s">
        <v>294</v>
      </c>
      <c r="E143" s="50">
        <f t="shared" ref="E143:E148" si="1">100*F143/(100-F143)</f>
        <v>4.1999999999999984</v>
      </c>
      <c r="F143" s="65">
        <v>4.0307101727447199</v>
      </c>
      <c r="G143" s="67">
        <v>5.069</v>
      </c>
      <c r="H143" s="78">
        <v>1719</v>
      </c>
      <c r="I143" s="78">
        <v>2950</v>
      </c>
      <c r="J143" s="49">
        <v>161</v>
      </c>
      <c r="K143" s="78">
        <v>91</v>
      </c>
      <c r="L143" s="78">
        <v>44</v>
      </c>
      <c r="M143" s="78">
        <v>15</v>
      </c>
    </row>
    <row r="144" spans="1:13" ht="14.4">
      <c r="A144" s="37" t="s">
        <v>119</v>
      </c>
      <c r="B144" s="245"/>
      <c r="C144" s="37" t="s">
        <v>324</v>
      </c>
      <c r="D144" s="37" t="s">
        <v>295</v>
      </c>
      <c r="E144" s="50">
        <f t="shared" si="1"/>
        <v>5.2971967905576083</v>
      </c>
      <c r="F144" s="65">
        <v>5.0307101727447199</v>
      </c>
      <c r="G144" s="67">
        <v>6.8819999999999997</v>
      </c>
      <c r="H144" s="78">
        <v>2226</v>
      </c>
      <c r="I144" s="78">
        <v>3091</v>
      </c>
      <c r="J144" s="49">
        <v>161</v>
      </c>
      <c r="K144" s="78">
        <v>91</v>
      </c>
      <c r="L144" s="78">
        <v>44</v>
      </c>
      <c r="M144" s="78">
        <v>15</v>
      </c>
    </row>
    <row r="145" spans="1:13" ht="14.4">
      <c r="A145" s="37" t="s">
        <v>119</v>
      </c>
      <c r="B145" s="245"/>
      <c r="C145" s="37" t="s">
        <v>324</v>
      </c>
      <c r="D145" s="37" t="s">
        <v>296</v>
      </c>
      <c r="E145" s="50">
        <f t="shared" si="1"/>
        <v>6.4177458229502813</v>
      </c>
      <c r="F145" s="65">
        <v>6.0307101727447199</v>
      </c>
      <c r="G145" s="67">
        <v>6.18</v>
      </c>
      <c r="H145" s="78">
        <v>2352</v>
      </c>
      <c r="I145" s="78">
        <v>2627</v>
      </c>
      <c r="J145" s="49">
        <v>161</v>
      </c>
      <c r="K145" s="78">
        <v>91</v>
      </c>
      <c r="L145" s="78">
        <v>44</v>
      </c>
      <c r="M145" s="78">
        <v>15</v>
      </c>
    </row>
    <row r="146" spans="1:13" ht="14.4">
      <c r="A146" s="37" t="s">
        <v>119</v>
      </c>
      <c r="B146" s="245"/>
      <c r="C146" s="37" t="s">
        <v>324</v>
      </c>
      <c r="D146" s="37" t="s">
        <v>297</v>
      </c>
      <c r="E146" s="50">
        <f t="shared" si="1"/>
        <v>7.5624006441356793</v>
      </c>
      <c r="F146" s="65">
        <v>7.0307101727447199</v>
      </c>
      <c r="G146" s="67">
        <v>4.58</v>
      </c>
      <c r="H146" s="78">
        <v>2308</v>
      </c>
      <c r="I146" s="78">
        <v>1984</v>
      </c>
      <c r="J146" s="49">
        <v>161</v>
      </c>
      <c r="K146" s="78">
        <v>91</v>
      </c>
      <c r="L146" s="78">
        <v>44</v>
      </c>
      <c r="M146" s="78">
        <v>15</v>
      </c>
    </row>
    <row r="147" spans="1:13" ht="14.4">
      <c r="A147" s="37" t="s">
        <v>119</v>
      </c>
      <c r="B147" s="245"/>
      <c r="C147" s="37" t="s">
        <v>324</v>
      </c>
      <c r="D147" s="37" t="s">
        <v>298</v>
      </c>
      <c r="E147" s="50">
        <f t="shared" si="1"/>
        <v>8.7319475749227795</v>
      </c>
      <c r="F147" s="65">
        <v>8.0307101727447208</v>
      </c>
      <c r="G147" s="67">
        <v>5.2329999999999997</v>
      </c>
      <c r="H147" s="78">
        <v>1848</v>
      </c>
      <c r="I147" s="78">
        <v>2832</v>
      </c>
      <c r="J147" s="49">
        <v>161</v>
      </c>
      <c r="K147" s="78">
        <v>91</v>
      </c>
      <c r="L147" s="78">
        <v>44</v>
      </c>
      <c r="M147" s="78">
        <v>15</v>
      </c>
    </row>
    <row r="148" spans="1:13" ht="14.4">
      <c r="A148" s="37" t="s">
        <v>119</v>
      </c>
      <c r="B148" s="246"/>
      <c r="C148" s="37" t="s">
        <v>324</v>
      </c>
      <c r="D148" s="37" t="s">
        <v>299</v>
      </c>
      <c r="E148" s="50">
        <f t="shared" si="1"/>
        <v>9.9272075113408569</v>
      </c>
      <c r="F148" s="65">
        <v>9.0307101727447208</v>
      </c>
      <c r="G148" s="67">
        <v>4.7590000000000003</v>
      </c>
      <c r="H148" s="78">
        <v>1764</v>
      </c>
      <c r="I148" s="78">
        <v>2698</v>
      </c>
      <c r="J148" s="49">
        <v>161</v>
      </c>
      <c r="K148" s="78">
        <v>91</v>
      </c>
      <c r="L148" s="78">
        <v>44</v>
      </c>
      <c r="M148" s="78">
        <v>15</v>
      </c>
    </row>
    <row r="149" spans="1:13" ht="14.4">
      <c r="A149" s="80" t="s">
        <v>123</v>
      </c>
      <c r="B149" s="240" t="s">
        <v>218</v>
      </c>
      <c r="C149" s="81" t="s">
        <v>304</v>
      </c>
      <c r="D149" s="81" t="s">
        <v>423</v>
      </c>
      <c r="E149" s="82">
        <v>4.8</v>
      </c>
      <c r="F149" s="82">
        <v>4.58</v>
      </c>
      <c r="G149" s="83">
        <v>7.3</v>
      </c>
      <c r="H149" s="84">
        <v>2326</v>
      </c>
      <c r="I149" s="84">
        <v>3127</v>
      </c>
      <c r="J149" s="49">
        <v>144</v>
      </c>
      <c r="K149" s="78">
        <v>107.8</v>
      </c>
      <c r="L149" s="78">
        <v>43.95</v>
      </c>
      <c r="M149" s="78">
        <v>60.3</v>
      </c>
    </row>
    <row r="150" spans="1:13" ht="14.4">
      <c r="A150" s="85" t="s">
        <v>123</v>
      </c>
      <c r="B150" s="241"/>
      <c r="C150" s="86" t="s">
        <v>304</v>
      </c>
      <c r="D150" s="86" t="s">
        <v>424</v>
      </c>
      <c r="E150" s="87">
        <v>4.8</v>
      </c>
      <c r="F150" s="87">
        <v>4.58</v>
      </c>
      <c r="G150" s="88">
        <v>5.6</v>
      </c>
      <c r="H150" s="89">
        <v>2032</v>
      </c>
      <c r="I150" s="89">
        <v>2740</v>
      </c>
      <c r="J150" s="49">
        <v>144</v>
      </c>
      <c r="K150" s="78">
        <v>107.8</v>
      </c>
      <c r="L150" s="78">
        <v>43.95</v>
      </c>
      <c r="M150" s="78">
        <v>60.3</v>
      </c>
    </row>
    <row r="151" spans="1:13" ht="14.4">
      <c r="A151" s="85" t="s">
        <v>123</v>
      </c>
      <c r="B151" s="241"/>
      <c r="C151" s="86" t="s">
        <v>304</v>
      </c>
      <c r="D151" s="86" t="s">
        <v>431</v>
      </c>
      <c r="E151" s="87">
        <v>4.8</v>
      </c>
      <c r="F151" s="87">
        <v>4.58</v>
      </c>
      <c r="G151" s="88">
        <v>7</v>
      </c>
      <c r="H151" s="89">
        <v>2268</v>
      </c>
      <c r="I151" s="89">
        <v>3092</v>
      </c>
      <c r="J151" s="49">
        <v>144</v>
      </c>
      <c r="K151" s="78">
        <v>107.8</v>
      </c>
      <c r="L151" s="78">
        <v>43.95</v>
      </c>
      <c r="M151" s="78">
        <v>60.3</v>
      </c>
    </row>
    <row r="152" spans="1:13" ht="14.4">
      <c r="A152" s="85" t="s">
        <v>123</v>
      </c>
      <c r="B152" s="241"/>
      <c r="C152" s="86" t="s">
        <v>304</v>
      </c>
      <c r="D152" s="86" t="s">
        <v>432</v>
      </c>
      <c r="E152" s="87">
        <v>4.8</v>
      </c>
      <c r="F152" s="87">
        <v>4.58</v>
      </c>
      <c r="G152" s="88">
        <v>7.5</v>
      </c>
      <c r="H152" s="89">
        <v>2473</v>
      </c>
      <c r="I152" s="89">
        <v>3031</v>
      </c>
      <c r="J152" s="49">
        <v>144</v>
      </c>
      <c r="K152" s="78">
        <v>107.8</v>
      </c>
      <c r="L152" s="78">
        <v>43.95</v>
      </c>
      <c r="M152" s="78">
        <v>60.3</v>
      </c>
    </row>
    <row r="153" spans="1:13" ht="14.4">
      <c r="A153" s="85" t="s">
        <v>123</v>
      </c>
      <c r="B153" s="241"/>
      <c r="C153" s="86" t="s">
        <v>304</v>
      </c>
      <c r="D153" s="86" t="s">
        <v>433</v>
      </c>
      <c r="E153" s="87">
        <v>4.8</v>
      </c>
      <c r="F153" s="87">
        <v>4.58</v>
      </c>
      <c r="G153" s="88">
        <v>7.2</v>
      </c>
      <c r="H153" s="89">
        <v>2678</v>
      </c>
      <c r="I153" s="89">
        <v>2689</v>
      </c>
      <c r="J153" s="49">
        <v>144</v>
      </c>
      <c r="K153" s="78">
        <v>107.8</v>
      </c>
      <c r="L153" s="78">
        <v>43.95</v>
      </c>
      <c r="M153" s="78">
        <v>60.3</v>
      </c>
    </row>
    <row r="154" spans="1:13" ht="14.4">
      <c r="A154" s="85" t="s">
        <v>123</v>
      </c>
      <c r="B154" s="242"/>
      <c r="C154" s="86" t="s">
        <v>304</v>
      </c>
      <c r="D154" s="86" t="s">
        <v>434</v>
      </c>
      <c r="E154" s="87">
        <v>4.8</v>
      </c>
      <c r="F154" s="87">
        <v>4.58</v>
      </c>
      <c r="G154" s="88">
        <v>7.2</v>
      </c>
      <c r="H154" s="89">
        <v>2310</v>
      </c>
      <c r="I154" s="89">
        <v>3096</v>
      </c>
      <c r="J154" s="49">
        <v>144</v>
      </c>
      <c r="K154" s="78">
        <v>107.8</v>
      </c>
      <c r="L154" s="78">
        <v>43.95</v>
      </c>
      <c r="M154" s="78">
        <v>60.3</v>
      </c>
    </row>
    <row r="155" spans="1:13" ht="14.4">
      <c r="A155" s="85" t="s">
        <v>124</v>
      </c>
      <c r="B155" s="243" t="s">
        <v>254</v>
      </c>
      <c r="C155" s="86" t="s">
        <v>306</v>
      </c>
      <c r="D155" s="86" t="s">
        <v>423</v>
      </c>
      <c r="E155" s="90">
        <v>4.5999999999999996</v>
      </c>
      <c r="F155" s="90">
        <v>4.4000000000000004</v>
      </c>
      <c r="G155" s="88">
        <v>4.5999999999999996</v>
      </c>
      <c r="H155" s="89">
        <v>1948</v>
      </c>
      <c r="I155" s="89">
        <v>2260</v>
      </c>
      <c r="J155" s="49">
        <v>161</v>
      </c>
      <c r="K155" s="78">
        <v>91</v>
      </c>
      <c r="L155" s="78">
        <v>44</v>
      </c>
      <c r="M155" s="78">
        <v>15</v>
      </c>
    </row>
    <row r="156" spans="1:13" ht="14.4">
      <c r="A156" s="85" t="s">
        <v>124</v>
      </c>
      <c r="B156" s="241"/>
      <c r="C156" s="86" t="s">
        <v>306</v>
      </c>
      <c r="D156" s="86" t="s">
        <v>424</v>
      </c>
      <c r="E156" s="90">
        <v>4.5999999999999996</v>
      </c>
      <c r="F156" s="90">
        <v>4.4000000000000004</v>
      </c>
      <c r="G156" s="88">
        <v>4.3</v>
      </c>
      <c r="H156" s="89">
        <v>2275</v>
      </c>
      <c r="I156" s="89">
        <v>2426</v>
      </c>
      <c r="J156" s="49">
        <v>161</v>
      </c>
      <c r="K156" s="78">
        <v>91</v>
      </c>
      <c r="L156" s="78">
        <v>44</v>
      </c>
      <c r="M156" s="78">
        <v>15</v>
      </c>
    </row>
    <row r="157" spans="1:13" ht="14.4">
      <c r="A157" s="85" t="s">
        <v>124</v>
      </c>
      <c r="B157" s="241"/>
      <c r="C157" s="86" t="s">
        <v>306</v>
      </c>
      <c r="D157" s="86" t="s">
        <v>431</v>
      </c>
      <c r="E157" s="90">
        <v>4.5999999999999996</v>
      </c>
      <c r="F157" s="90">
        <v>4.4000000000000004</v>
      </c>
      <c r="G157" s="88">
        <v>5</v>
      </c>
      <c r="H157" s="89">
        <v>2206</v>
      </c>
      <c r="I157" s="89">
        <v>2283</v>
      </c>
      <c r="J157" s="49">
        <v>161</v>
      </c>
      <c r="K157" s="78">
        <v>91</v>
      </c>
      <c r="L157" s="78">
        <v>44</v>
      </c>
      <c r="M157" s="78">
        <v>15</v>
      </c>
    </row>
    <row r="158" spans="1:13" ht="14.4">
      <c r="A158" s="85" t="s">
        <v>124</v>
      </c>
      <c r="B158" s="241"/>
      <c r="C158" s="86" t="s">
        <v>306</v>
      </c>
      <c r="D158" s="86" t="s">
        <v>432</v>
      </c>
      <c r="E158" s="90">
        <v>4.5999999999999996</v>
      </c>
      <c r="F158" s="90">
        <v>4.4000000000000004</v>
      </c>
      <c r="G158" s="88">
        <v>4.9000000000000004</v>
      </c>
      <c r="H158" s="89">
        <v>2528</v>
      </c>
      <c r="I158" s="89">
        <v>1924</v>
      </c>
      <c r="J158" s="49">
        <v>161</v>
      </c>
      <c r="K158" s="78">
        <v>91</v>
      </c>
      <c r="L158" s="78">
        <v>44</v>
      </c>
      <c r="M158" s="78">
        <v>15</v>
      </c>
    </row>
    <row r="159" spans="1:13" ht="14.4">
      <c r="A159" s="85" t="s">
        <v>124</v>
      </c>
      <c r="B159" s="241"/>
      <c r="C159" s="86" t="s">
        <v>306</v>
      </c>
      <c r="D159" s="86" t="s">
        <v>433</v>
      </c>
      <c r="E159" s="90">
        <v>4.5999999999999996</v>
      </c>
      <c r="F159" s="90">
        <v>4.4000000000000004</v>
      </c>
      <c r="G159" s="88">
        <v>5.4</v>
      </c>
      <c r="H159" s="89">
        <v>2447</v>
      </c>
      <c r="I159" s="89">
        <v>2189</v>
      </c>
      <c r="J159" s="49">
        <v>161</v>
      </c>
      <c r="K159" s="78">
        <v>91</v>
      </c>
      <c r="L159" s="78">
        <v>44</v>
      </c>
      <c r="M159" s="78">
        <v>15</v>
      </c>
    </row>
    <row r="160" spans="1:13" ht="14.4">
      <c r="A160" s="85" t="s">
        <v>124</v>
      </c>
      <c r="B160" s="241"/>
      <c r="C160" s="86" t="s">
        <v>306</v>
      </c>
      <c r="D160" s="86" t="s">
        <v>434</v>
      </c>
      <c r="E160" s="90">
        <v>4.5999999999999996</v>
      </c>
      <c r="F160" s="90">
        <v>4.4000000000000004</v>
      </c>
      <c r="G160" s="88">
        <v>4.8</v>
      </c>
      <c r="H160" s="89">
        <v>2085</v>
      </c>
      <c r="I160" s="89">
        <v>2663</v>
      </c>
      <c r="J160" s="49">
        <v>161</v>
      </c>
      <c r="K160" s="78">
        <v>91</v>
      </c>
      <c r="L160" s="78">
        <v>44</v>
      </c>
      <c r="M160" s="78">
        <v>15</v>
      </c>
    </row>
    <row r="161" spans="1:13" ht="14.4">
      <c r="A161" s="85" t="s">
        <v>124</v>
      </c>
      <c r="B161" s="241"/>
      <c r="C161" s="86" t="s">
        <v>334</v>
      </c>
      <c r="D161" s="86" t="s">
        <v>423</v>
      </c>
      <c r="E161" s="90">
        <v>4.5999999999999996</v>
      </c>
      <c r="F161" s="90">
        <v>4.4000000000000004</v>
      </c>
      <c r="G161" s="88">
        <v>5.5</v>
      </c>
      <c r="H161" s="89">
        <v>2594</v>
      </c>
      <c r="I161" s="89">
        <v>2499</v>
      </c>
      <c r="J161" s="49">
        <v>258</v>
      </c>
      <c r="K161" s="78">
        <v>72.2</v>
      </c>
      <c r="L161" s="78">
        <v>47.6</v>
      </c>
      <c r="M161" s="78">
        <v>8.1999999999999993</v>
      </c>
    </row>
    <row r="162" spans="1:13" ht="14.4">
      <c r="A162" s="85" t="s">
        <v>124</v>
      </c>
      <c r="B162" s="241"/>
      <c r="C162" s="86" t="s">
        <v>334</v>
      </c>
      <c r="D162" s="86" t="s">
        <v>424</v>
      </c>
      <c r="E162" s="90">
        <v>4.5999999999999996</v>
      </c>
      <c r="F162" s="90">
        <v>4.4000000000000004</v>
      </c>
      <c r="G162" s="88">
        <v>6.7</v>
      </c>
      <c r="H162" s="89">
        <v>2625</v>
      </c>
      <c r="I162" s="89">
        <v>2584</v>
      </c>
      <c r="J162" s="49">
        <v>258</v>
      </c>
      <c r="K162" s="78">
        <v>72.2</v>
      </c>
      <c r="L162" s="78">
        <v>47.6</v>
      </c>
      <c r="M162" s="78">
        <v>8.1999999999999993</v>
      </c>
    </row>
    <row r="163" spans="1:13" ht="14.4">
      <c r="A163" s="85" t="s">
        <v>124</v>
      </c>
      <c r="B163" s="241"/>
      <c r="C163" s="86" t="s">
        <v>334</v>
      </c>
      <c r="D163" s="86" t="s">
        <v>431</v>
      </c>
      <c r="E163" s="90">
        <v>4.5999999999999996</v>
      </c>
      <c r="F163" s="90">
        <v>4.4000000000000004</v>
      </c>
      <c r="G163" s="88">
        <v>4.0999999999999996</v>
      </c>
      <c r="H163" s="89">
        <v>2898</v>
      </c>
      <c r="I163" s="89">
        <v>1414</v>
      </c>
      <c r="J163" s="49">
        <v>258</v>
      </c>
      <c r="K163" s="78">
        <v>72.2</v>
      </c>
      <c r="L163" s="78">
        <v>47.6</v>
      </c>
      <c r="M163" s="78">
        <v>8.1999999999999993</v>
      </c>
    </row>
    <row r="164" spans="1:13" ht="14.4">
      <c r="A164" s="85" t="s">
        <v>124</v>
      </c>
      <c r="B164" s="241"/>
      <c r="C164" s="86" t="s">
        <v>334</v>
      </c>
      <c r="D164" s="86" t="s">
        <v>432</v>
      </c>
      <c r="E164" s="90">
        <v>4.5999999999999996</v>
      </c>
      <c r="F164" s="90">
        <v>4.4000000000000004</v>
      </c>
      <c r="G164" s="88">
        <v>5.9</v>
      </c>
      <c r="H164" s="89">
        <v>2662</v>
      </c>
      <c r="I164" s="89">
        <v>2223</v>
      </c>
      <c r="J164" s="49">
        <v>258</v>
      </c>
      <c r="K164" s="78">
        <v>72.2</v>
      </c>
      <c r="L164" s="78">
        <v>47.6</v>
      </c>
      <c r="M164" s="78">
        <v>8.1999999999999993</v>
      </c>
    </row>
    <row r="165" spans="1:13" ht="14.4">
      <c r="A165" s="85" t="s">
        <v>124</v>
      </c>
      <c r="B165" s="241"/>
      <c r="C165" s="86" t="s">
        <v>334</v>
      </c>
      <c r="D165" s="86" t="s">
        <v>433</v>
      </c>
      <c r="E165" s="90">
        <v>4.5999999999999996</v>
      </c>
      <c r="F165" s="90">
        <v>4.4000000000000004</v>
      </c>
      <c r="G165" s="88">
        <v>5.2</v>
      </c>
      <c r="H165" s="89">
        <v>1554</v>
      </c>
      <c r="I165" s="89">
        <v>3372</v>
      </c>
      <c r="J165" s="49">
        <v>258</v>
      </c>
      <c r="K165" s="78">
        <v>72.2</v>
      </c>
      <c r="L165" s="78">
        <v>47.6</v>
      </c>
      <c r="M165" s="78">
        <v>8.1999999999999993</v>
      </c>
    </row>
    <row r="166" spans="1:13" ht="14.4">
      <c r="A166" s="85" t="s">
        <v>124</v>
      </c>
      <c r="B166" s="242"/>
      <c r="C166" s="86" t="s">
        <v>334</v>
      </c>
      <c r="D166" s="86" t="s">
        <v>434</v>
      </c>
      <c r="E166" s="90">
        <v>4.5999999999999996</v>
      </c>
      <c r="F166" s="90">
        <v>4.4000000000000004</v>
      </c>
      <c r="G166" s="88">
        <v>4.7</v>
      </c>
      <c r="H166" s="89">
        <v>1979</v>
      </c>
      <c r="I166" s="89">
        <v>2384</v>
      </c>
      <c r="J166" s="49">
        <v>258</v>
      </c>
      <c r="K166" s="78">
        <v>72.2</v>
      </c>
      <c r="L166" s="78">
        <v>47.6</v>
      </c>
      <c r="M166" s="78">
        <v>8.1999999999999993</v>
      </c>
    </row>
    <row r="167" spans="1:13" ht="14.4">
      <c r="A167" s="85" t="s">
        <v>124</v>
      </c>
      <c r="B167" s="241" t="s">
        <v>255</v>
      </c>
      <c r="C167" s="86" t="s">
        <v>330</v>
      </c>
      <c r="D167" s="86" t="s">
        <v>423</v>
      </c>
      <c r="E167" s="90">
        <v>4.5999999999999996</v>
      </c>
      <c r="F167" s="90">
        <v>4.4000000000000004</v>
      </c>
      <c r="G167" s="88">
        <v>5.5</v>
      </c>
      <c r="H167" s="89">
        <v>2090</v>
      </c>
      <c r="I167" s="89">
        <v>2653</v>
      </c>
      <c r="J167" s="49">
        <v>111</v>
      </c>
      <c r="K167" s="78">
        <v>124</v>
      </c>
      <c r="L167" s="78">
        <v>41.5</v>
      </c>
      <c r="M167" s="78">
        <v>56</v>
      </c>
    </row>
    <row r="168" spans="1:13" ht="14.4">
      <c r="A168" s="85" t="s">
        <v>124</v>
      </c>
      <c r="B168" s="241"/>
      <c r="C168" s="86" t="s">
        <v>330</v>
      </c>
      <c r="D168" s="86" t="s">
        <v>424</v>
      </c>
      <c r="E168" s="90">
        <v>4.5999999999999996</v>
      </c>
      <c r="F168" s="90">
        <v>4.4000000000000004</v>
      </c>
      <c r="G168" s="88">
        <v>4.4000000000000004</v>
      </c>
      <c r="H168" s="89">
        <v>2143</v>
      </c>
      <c r="I168" s="89">
        <v>2161</v>
      </c>
      <c r="J168" s="49">
        <v>111</v>
      </c>
      <c r="K168" s="78">
        <v>124</v>
      </c>
      <c r="L168" s="78">
        <v>41.5</v>
      </c>
      <c r="M168" s="78">
        <v>56</v>
      </c>
    </row>
    <row r="169" spans="1:13" ht="14.4">
      <c r="A169" s="85" t="s">
        <v>124</v>
      </c>
      <c r="B169" s="241"/>
      <c r="C169" s="86" t="s">
        <v>330</v>
      </c>
      <c r="D169" s="86" t="s">
        <v>431</v>
      </c>
      <c r="E169" s="90">
        <v>4.5999999999999996</v>
      </c>
      <c r="F169" s="90">
        <v>4.4000000000000004</v>
      </c>
      <c r="G169" s="88">
        <v>5.3</v>
      </c>
      <c r="H169" s="89">
        <v>1911</v>
      </c>
      <c r="I169" s="89">
        <v>2768</v>
      </c>
      <c r="J169" s="49">
        <v>111</v>
      </c>
      <c r="K169" s="78">
        <v>124</v>
      </c>
      <c r="L169" s="78">
        <v>41.5</v>
      </c>
      <c r="M169" s="78">
        <v>56</v>
      </c>
    </row>
    <row r="170" spans="1:13" ht="14.4">
      <c r="A170" s="85" t="s">
        <v>124</v>
      </c>
      <c r="B170" s="241"/>
      <c r="C170" s="86" t="s">
        <v>330</v>
      </c>
      <c r="D170" s="86" t="s">
        <v>432</v>
      </c>
      <c r="E170" s="90">
        <v>4.5999999999999996</v>
      </c>
      <c r="F170" s="90">
        <v>4.4000000000000004</v>
      </c>
      <c r="G170" s="88">
        <v>4.7</v>
      </c>
      <c r="H170" s="89">
        <v>1605</v>
      </c>
      <c r="I170" s="89">
        <v>2930</v>
      </c>
      <c r="J170" s="49">
        <v>111</v>
      </c>
      <c r="K170" s="78">
        <v>124</v>
      </c>
      <c r="L170" s="78">
        <v>41.5</v>
      </c>
      <c r="M170" s="78">
        <v>56</v>
      </c>
    </row>
    <row r="171" spans="1:13" ht="14.4">
      <c r="A171" s="85" t="s">
        <v>124</v>
      </c>
      <c r="B171" s="241"/>
      <c r="C171" s="86" t="s">
        <v>330</v>
      </c>
      <c r="D171" s="86" t="s">
        <v>433</v>
      </c>
      <c r="E171" s="90">
        <v>4.5999999999999996</v>
      </c>
      <c r="F171" s="90">
        <v>4.4000000000000004</v>
      </c>
      <c r="G171" s="88">
        <v>4.5</v>
      </c>
      <c r="H171" s="89">
        <v>2085</v>
      </c>
      <c r="I171" s="89">
        <v>2138</v>
      </c>
      <c r="J171" s="49">
        <v>111</v>
      </c>
      <c r="K171" s="78">
        <v>124</v>
      </c>
      <c r="L171" s="78">
        <v>41.5</v>
      </c>
      <c r="M171" s="78">
        <v>56</v>
      </c>
    </row>
    <row r="172" spans="1:13" ht="14.4">
      <c r="A172" s="85" t="s">
        <v>124</v>
      </c>
      <c r="B172" s="241"/>
      <c r="C172" s="86" t="s">
        <v>330</v>
      </c>
      <c r="D172" s="86" t="s">
        <v>434</v>
      </c>
      <c r="E172" s="90">
        <v>4.5999999999999996</v>
      </c>
      <c r="F172" s="90">
        <v>4.4000000000000004</v>
      </c>
      <c r="G172" s="88">
        <v>6.3</v>
      </c>
      <c r="H172" s="89">
        <v>2378</v>
      </c>
      <c r="I172" s="89">
        <v>2650</v>
      </c>
      <c r="J172" s="49">
        <v>111</v>
      </c>
      <c r="K172" s="78">
        <v>124</v>
      </c>
      <c r="L172" s="78">
        <v>41.5</v>
      </c>
      <c r="M172" s="78">
        <v>56</v>
      </c>
    </row>
    <row r="173" spans="1:13" ht="14.4">
      <c r="A173" s="85" t="s">
        <v>124</v>
      </c>
      <c r="B173" s="241"/>
      <c r="C173" s="86" t="s">
        <v>335</v>
      </c>
      <c r="D173" s="86" t="s">
        <v>423</v>
      </c>
      <c r="E173" s="90">
        <v>4.5999999999999996</v>
      </c>
      <c r="F173" s="90">
        <v>4.4000000000000004</v>
      </c>
      <c r="G173" s="88">
        <v>5</v>
      </c>
      <c r="H173" s="89">
        <v>1722</v>
      </c>
      <c r="I173" s="89">
        <v>2915</v>
      </c>
      <c r="J173" s="49">
        <v>258</v>
      </c>
      <c r="K173" s="78">
        <v>72.2</v>
      </c>
      <c r="L173" s="78">
        <v>47.6</v>
      </c>
      <c r="M173" s="78">
        <v>8.1999999999999993</v>
      </c>
    </row>
    <row r="174" spans="1:13" ht="14.4">
      <c r="A174" s="85" t="s">
        <v>124</v>
      </c>
      <c r="B174" s="241"/>
      <c r="C174" s="86" t="s">
        <v>335</v>
      </c>
      <c r="D174" s="86" t="s">
        <v>424</v>
      </c>
      <c r="E174" s="90">
        <v>4.5999999999999996</v>
      </c>
      <c r="F174" s="90">
        <v>4.4000000000000004</v>
      </c>
      <c r="G174" s="88">
        <v>4.2</v>
      </c>
      <c r="H174" s="89">
        <v>1775</v>
      </c>
      <c r="I174" s="89">
        <v>2388</v>
      </c>
      <c r="J174" s="49">
        <v>258</v>
      </c>
      <c r="K174" s="78">
        <v>72.2</v>
      </c>
      <c r="L174" s="78">
        <v>47.6</v>
      </c>
      <c r="M174" s="78">
        <v>8.1999999999999993</v>
      </c>
    </row>
    <row r="175" spans="1:13" ht="14.4">
      <c r="A175" s="85" t="s">
        <v>124</v>
      </c>
      <c r="B175" s="241"/>
      <c r="C175" s="86" t="s">
        <v>335</v>
      </c>
      <c r="D175" s="86" t="s">
        <v>431</v>
      </c>
      <c r="E175" s="90">
        <v>4.5999999999999996</v>
      </c>
      <c r="F175" s="90">
        <v>4.4000000000000004</v>
      </c>
      <c r="G175" s="88">
        <v>4.7</v>
      </c>
      <c r="H175" s="89">
        <v>1974</v>
      </c>
      <c r="I175" s="89">
        <v>2361</v>
      </c>
      <c r="J175" s="49">
        <v>258</v>
      </c>
      <c r="K175" s="78">
        <v>72.2</v>
      </c>
      <c r="L175" s="78">
        <v>47.6</v>
      </c>
      <c r="M175" s="78">
        <v>8.1999999999999993</v>
      </c>
    </row>
    <row r="176" spans="1:13" ht="14.4">
      <c r="A176" s="85" t="s">
        <v>124</v>
      </c>
      <c r="B176" s="241"/>
      <c r="C176" s="86" t="s">
        <v>335</v>
      </c>
      <c r="D176" s="86" t="s">
        <v>432</v>
      </c>
      <c r="E176" s="90">
        <v>4.5999999999999996</v>
      </c>
      <c r="F176" s="90">
        <v>4.4000000000000004</v>
      </c>
      <c r="G176" s="88">
        <v>5.2</v>
      </c>
      <c r="H176" s="89">
        <v>1964</v>
      </c>
      <c r="I176" s="89">
        <v>2632</v>
      </c>
      <c r="J176" s="49">
        <v>258</v>
      </c>
      <c r="K176" s="78">
        <v>72.2</v>
      </c>
      <c r="L176" s="78">
        <v>47.6</v>
      </c>
      <c r="M176" s="78">
        <v>8.1999999999999993</v>
      </c>
    </row>
    <row r="177" spans="1:13" ht="14.4">
      <c r="A177" s="85" t="s">
        <v>124</v>
      </c>
      <c r="B177" s="241"/>
      <c r="C177" s="86" t="s">
        <v>335</v>
      </c>
      <c r="D177" s="86" t="s">
        <v>433</v>
      </c>
      <c r="E177" s="90">
        <v>4.5999999999999996</v>
      </c>
      <c r="F177" s="90">
        <v>4.4000000000000004</v>
      </c>
      <c r="G177" s="88">
        <v>4.8</v>
      </c>
      <c r="H177" s="89">
        <v>1906</v>
      </c>
      <c r="I177" s="89">
        <v>2640</v>
      </c>
      <c r="J177" s="49">
        <v>258</v>
      </c>
      <c r="K177" s="78">
        <v>72.2</v>
      </c>
      <c r="L177" s="78">
        <v>47.6</v>
      </c>
      <c r="M177" s="78">
        <v>8.1999999999999993</v>
      </c>
    </row>
    <row r="178" spans="1:13" ht="14.4">
      <c r="A178" s="85" t="s">
        <v>124</v>
      </c>
      <c r="B178" s="242"/>
      <c r="C178" s="86" t="s">
        <v>335</v>
      </c>
      <c r="D178" s="86" t="s">
        <v>434</v>
      </c>
      <c r="E178" s="90">
        <v>4.5999999999999996</v>
      </c>
      <c r="F178" s="90">
        <v>4.4000000000000004</v>
      </c>
      <c r="G178" s="88">
        <v>4.7</v>
      </c>
      <c r="H178" s="89">
        <v>1927</v>
      </c>
      <c r="I178" s="89">
        <v>2713</v>
      </c>
      <c r="J178" s="49">
        <v>258</v>
      </c>
      <c r="K178" s="78">
        <v>72.2</v>
      </c>
      <c r="L178" s="78">
        <v>47.6</v>
      </c>
      <c r="M178" s="78">
        <v>8.1999999999999993</v>
      </c>
    </row>
    <row r="179" spans="1:13">
      <c r="A179" s="37" t="s">
        <v>126</v>
      </c>
      <c r="B179" s="37" t="s">
        <v>218</v>
      </c>
      <c r="C179" s="37" t="s">
        <v>324</v>
      </c>
      <c r="D179" s="37" t="s">
        <v>307</v>
      </c>
      <c r="E179" s="50">
        <v>4.5999999999999996</v>
      </c>
      <c r="F179" s="50">
        <v>4.3977055449330802</v>
      </c>
      <c r="G179" s="67">
        <v>3.7469999999999999</v>
      </c>
      <c r="H179" s="67">
        <v>1843</v>
      </c>
      <c r="I179" s="67">
        <v>2033</v>
      </c>
      <c r="J179" s="49">
        <v>161</v>
      </c>
      <c r="K179" s="78">
        <v>91</v>
      </c>
      <c r="L179" s="78">
        <v>44</v>
      </c>
      <c r="M179" s="78">
        <v>15</v>
      </c>
    </row>
    <row r="180" spans="1:13">
      <c r="A180" s="37" t="s">
        <v>126</v>
      </c>
      <c r="B180" s="37" t="s">
        <v>218</v>
      </c>
      <c r="C180" s="37" t="s">
        <v>324</v>
      </c>
      <c r="D180" s="37" t="s">
        <v>308</v>
      </c>
      <c r="E180" s="50">
        <v>4.5999999999999996</v>
      </c>
      <c r="F180" s="50">
        <v>4.3977055449330802</v>
      </c>
      <c r="G180" s="67">
        <v>5.2649999999999997</v>
      </c>
      <c r="H180" s="67">
        <v>2031</v>
      </c>
      <c r="I180" s="67">
        <v>2592</v>
      </c>
      <c r="J180" s="49">
        <v>161</v>
      </c>
      <c r="K180" s="78">
        <v>91</v>
      </c>
      <c r="L180" s="78">
        <v>44</v>
      </c>
      <c r="M180" s="78">
        <v>15</v>
      </c>
    </row>
    <row r="181" spans="1:13">
      <c r="A181" s="37" t="s">
        <v>126</v>
      </c>
      <c r="B181" s="37" t="s">
        <v>218</v>
      </c>
      <c r="C181" s="37" t="s">
        <v>324</v>
      </c>
      <c r="D181" s="37" t="s">
        <v>309</v>
      </c>
      <c r="E181" s="50">
        <v>4.5999999999999996</v>
      </c>
      <c r="F181" s="50">
        <v>4.3977055449330802</v>
      </c>
      <c r="G181" s="67">
        <v>5.0940000000000003</v>
      </c>
      <c r="H181" s="67">
        <v>2260</v>
      </c>
      <c r="I181" s="67">
        <v>2253</v>
      </c>
      <c r="J181" s="49">
        <v>161</v>
      </c>
      <c r="K181" s="78">
        <v>91</v>
      </c>
      <c r="L181" s="78">
        <v>44</v>
      </c>
      <c r="M181" s="78">
        <v>15</v>
      </c>
    </row>
    <row r="182" spans="1:13">
      <c r="A182" s="37" t="s">
        <v>126</v>
      </c>
      <c r="B182" s="37" t="s">
        <v>218</v>
      </c>
      <c r="C182" s="37" t="s">
        <v>324</v>
      </c>
      <c r="D182" s="37" t="s">
        <v>310</v>
      </c>
      <c r="E182" s="50">
        <v>4.5999999999999996</v>
      </c>
      <c r="F182" s="50">
        <v>4.3977055449330802</v>
      </c>
      <c r="G182" s="67">
        <v>5.7709999999999999</v>
      </c>
      <c r="H182" s="67">
        <v>2253</v>
      </c>
      <c r="I182" s="67">
        <v>2561</v>
      </c>
      <c r="J182" s="49">
        <v>161</v>
      </c>
      <c r="K182" s="78">
        <v>91</v>
      </c>
      <c r="L182" s="78">
        <v>44</v>
      </c>
      <c r="M182" s="78">
        <v>15</v>
      </c>
    </row>
    <row r="183" spans="1:13">
      <c r="A183" s="37" t="s">
        <v>126</v>
      </c>
      <c r="B183" s="37" t="s">
        <v>218</v>
      </c>
      <c r="C183" s="37" t="s">
        <v>324</v>
      </c>
      <c r="D183" s="37" t="s">
        <v>311</v>
      </c>
      <c r="E183" s="50">
        <v>4.5999999999999996</v>
      </c>
      <c r="F183" s="50">
        <v>4.3977055449330802</v>
      </c>
      <c r="G183" s="67">
        <v>5.69</v>
      </c>
      <c r="H183" s="67">
        <v>2508</v>
      </c>
      <c r="I183" s="67">
        <v>2269</v>
      </c>
      <c r="J183" s="49">
        <v>161</v>
      </c>
      <c r="K183" s="78">
        <v>91</v>
      </c>
      <c r="L183" s="78">
        <v>44</v>
      </c>
      <c r="M183" s="78">
        <v>15</v>
      </c>
    </row>
    <row r="184" spans="1:13">
      <c r="A184" s="37" t="s">
        <v>129</v>
      </c>
      <c r="B184" s="37" t="s">
        <v>218</v>
      </c>
      <c r="C184" s="37" t="s">
        <v>306</v>
      </c>
      <c r="D184" s="37" t="s">
        <v>307</v>
      </c>
      <c r="E184" s="50">
        <v>4.5999999999999996</v>
      </c>
      <c r="F184" s="50">
        <v>4.3977055449330802</v>
      </c>
      <c r="G184" s="67">
        <v>5.16220682335</v>
      </c>
      <c r="H184" s="67">
        <v>2068</v>
      </c>
      <c r="I184" s="67">
        <v>2335</v>
      </c>
      <c r="J184" s="49">
        <v>161</v>
      </c>
      <c r="K184" s="78">
        <v>91</v>
      </c>
      <c r="L184" s="78">
        <v>44</v>
      </c>
      <c r="M184" s="78">
        <v>15</v>
      </c>
    </row>
    <row r="185" spans="1:13">
      <c r="A185" s="37" t="s">
        <v>129</v>
      </c>
      <c r="B185" s="37" t="s">
        <v>218</v>
      </c>
      <c r="C185" s="37" t="s">
        <v>312</v>
      </c>
      <c r="D185" s="37" t="s">
        <v>308</v>
      </c>
      <c r="E185" s="50">
        <v>4.8</v>
      </c>
      <c r="F185" s="50">
        <v>4.5801526717557302</v>
      </c>
      <c r="G185" s="67">
        <v>4.83</v>
      </c>
      <c r="H185" s="67">
        <v>2012</v>
      </c>
      <c r="I185" s="67">
        <v>2458</v>
      </c>
      <c r="J185" s="49">
        <v>161</v>
      </c>
      <c r="K185" s="78">
        <v>91</v>
      </c>
      <c r="L185" s="78">
        <v>44</v>
      </c>
      <c r="M185" s="78">
        <v>15</v>
      </c>
    </row>
    <row r="186" spans="1:13">
      <c r="A186" s="37" t="s">
        <v>134</v>
      </c>
      <c r="B186" s="37" t="s">
        <v>218</v>
      </c>
      <c r="C186" s="37" t="s">
        <v>305</v>
      </c>
      <c r="D186" s="37" t="s">
        <v>307</v>
      </c>
      <c r="E186" s="50">
        <v>4.8</v>
      </c>
      <c r="F186" s="50">
        <v>4.5801526717557302</v>
      </c>
      <c r="G186" s="67">
        <v>5.069</v>
      </c>
      <c r="H186" s="78">
        <v>1990</v>
      </c>
      <c r="I186" s="78">
        <v>2682.6149999999998</v>
      </c>
      <c r="J186" s="49">
        <v>111</v>
      </c>
      <c r="K186" s="78">
        <v>124</v>
      </c>
      <c r="L186" s="78">
        <v>41.5</v>
      </c>
      <c r="M186" s="78">
        <v>56</v>
      </c>
    </row>
    <row r="187" spans="1:13">
      <c r="A187" s="37" t="s">
        <v>134</v>
      </c>
      <c r="B187" s="37" t="s">
        <v>218</v>
      </c>
      <c r="C187" s="37" t="s">
        <v>305</v>
      </c>
      <c r="D187" s="37" t="s">
        <v>308</v>
      </c>
      <c r="E187" s="50">
        <v>4.8</v>
      </c>
      <c r="F187" s="50">
        <v>4.5801526717557302</v>
      </c>
      <c r="G187" s="67">
        <v>4.7839999999999998</v>
      </c>
      <c r="H187" s="78">
        <v>1982</v>
      </c>
      <c r="I187" s="78">
        <v>2413.317</v>
      </c>
      <c r="J187" s="49">
        <v>111</v>
      </c>
      <c r="K187" s="78">
        <v>124</v>
      </c>
      <c r="L187" s="78">
        <v>41.5</v>
      </c>
      <c r="M187" s="78">
        <v>56</v>
      </c>
    </row>
    <row r="188" spans="1:13">
      <c r="A188" s="37" t="s">
        <v>134</v>
      </c>
      <c r="B188" s="37" t="s">
        <v>218</v>
      </c>
      <c r="C188" s="37" t="s">
        <v>305</v>
      </c>
      <c r="D188" s="37" t="s">
        <v>309</v>
      </c>
      <c r="E188" s="50">
        <v>4.8</v>
      </c>
      <c r="F188" s="50">
        <v>4.5801526717557302</v>
      </c>
      <c r="G188" s="67">
        <v>3.633</v>
      </c>
      <c r="H188" s="78">
        <v>2105</v>
      </c>
      <c r="I188" s="78">
        <v>2277.5239999999999</v>
      </c>
      <c r="J188" s="49">
        <v>111</v>
      </c>
      <c r="K188" s="78">
        <v>124</v>
      </c>
      <c r="L188" s="78">
        <v>41.5</v>
      </c>
      <c r="M188" s="78">
        <v>56</v>
      </c>
    </row>
    <row r="189" spans="1:13">
      <c r="A189" s="37" t="s">
        <v>134</v>
      </c>
      <c r="B189" s="37" t="s">
        <v>218</v>
      </c>
      <c r="C189" s="37" t="s">
        <v>305</v>
      </c>
      <c r="D189" s="37" t="s">
        <v>310</v>
      </c>
      <c r="E189" s="50">
        <v>4.8</v>
      </c>
      <c r="F189" s="50">
        <v>4.5801526717557302</v>
      </c>
      <c r="G189" s="67">
        <v>3.7309999999999999</v>
      </c>
      <c r="H189" s="78">
        <v>1909.74</v>
      </c>
      <c r="I189" s="78">
        <v>1953.4659999999999</v>
      </c>
      <c r="J189" s="49">
        <v>111</v>
      </c>
      <c r="K189" s="78">
        <v>124</v>
      </c>
      <c r="L189" s="78">
        <v>41.5</v>
      </c>
      <c r="M189" s="78">
        <v>56</v>
      </c>
    </row>
    <row r="190" spans="1:13">
      <c r="A190" s="37" t="s">
        <v>134</v>
      </c>
      <c r="B190" s="37" t="s">
        <v>218</v>
      </c>
      <c r="C190" s="37" t="s">
        <v>305</v>
      </c>
      <c r="D190" s="37" t="s">
        <v>311</v>
      </c>
      <c r="E190" s="50">
        <v>4.8</v>
      </c>
      <c r="F190" s="50">
        <v>4.5801526717557302</v>
      </c>
      <c r="G190" s="67">
        <v>4.62</v>
      </c>
      <c r="H190" s="78">
        <v>2220</v>
      </c>
      <c r="I190" s="78">
        <v>2080</v>
      </c>
      <c r="J190" s="49">
        <v>111</v>
      </c>
      <c r="K190" s="78">
        <v>124</v>
      </c>
      <c r="L190" s="78">
        <v>41.5</v>
      </c>
      <c r="M190" s="78">
        <v>56</v>
      </c>
    </row>
    <row r="191" spans="1:13">
      <c r="A191" s="37" t="s">
        <v>134</v>
      </c>
      <c r="B191" s="37" t="s">
        <v>218</v>
      </c>
      <c r="C191" s="37" t="s">
        <v>305</v>
      </c>
      <c r="D191" s="37" t="s">
        <v>437</v>
      </c>
      <c r="E191" s="50">
        <v>4.8</v>
      </c>
      <c r="F191" s="50">
        <v>4.5801526717557302</v>
      </c>
      <c r="G191" s="67">
        <v>4.4409999999999998</v>
      </c>
      <c r="H191" s="78">
        <v>1956.095</v>
      </c>
      <c r="I191" s="78">
        <v>2270.2460000000001</v>
      </c>
      <c r="J191" s="49">
        <v>111</v>
      </c>
      <c r="K191" s="78">
        <v>124</v>
      </c>
      <c r="L191" s="78">
        <v>41.5</v>
      </c>
      <c r="M191" s="78">
        <v>56</v>
      </c>
    </row>
    <row r="192" spans="1:13" ht="14.4">
      <c r="A192" s="37" t="s">
        <v>135</v>
      </c>
      <c r="B192" s="37" t="s">
        <v>254</v>
      </c>
      <c r="C192" s="37" t="s">
        <v>581</v>
      </c>
      <c r="D192" s="37" t="s">
        <v>307</v>
      </c>
      <c r="E192" s="50">
        <v>4.8</v>
      </c>
      <c r="F192" s="50">
        <v>4.5801526717557302</v>
      </c>
      <c r="G192" s="67">
        <v>4.18</v>
      </c>
      <c r="H192" s="78">
        <v>2373.0079999999998</v>
      </c>
      <c r="I192" s="78">
        <v>1761.3050000000001</v>
      </c>
      <c r="J192" s="49">
        <v>161</v>
      </c>
      <c r="K192" s="78">
        <v>91</v>
      </c>
      <c r="L192" s="78">
        <v>44</v>
      </c>
      <c r="M192" s="78">
        <v>15</v>
      </c>
    </row>
    <row r="193" spans="1:13" ht="14.4">
      <c r="A193" s="37" t="s">
        <v>135</v>
      </c>
      <c r="B193" s="37" t="s">
        <v>254</v>
      </c>
      <c r="C193" s="37" t="s">
        <v>581</v>
      </c>
      <c r="D193" s="37" t="s">
        <v>308</v>
      </c>
      <c r="E193" s="50">
        <v>4.8</v>
      </c>
      <c r="F193" s="50">
        <v>4.5801526717557302</v>
      </c>
      <c r="G193" s="67">
        <v>6.7510000000000003</v>
      </c>
      <c r="H193" s="78">
        <v>1995</v>
      </c>
      <c r="I193" s="78">
        <v>3383.97</v>
      </c>
      <c r="J193" s="49">
        <v>161</v>
      </c>
      <c r="K193" s="78">
        <v>91</v>
      </c>
      <c r="L193" s="78">
        <v>44</v>
      </c>
      <c r="M193" s="78">
        <v>15</v>
      </c>
    </row>
    <row r="194" spans="1:13" ht="14.4">
      <c r="A194" s="37" t="s">
        <v>135</v>
      </c>
      <c r="B194" s="37" t="s">
        <v>254</v>
      </c>
      <c r="C194" s="37" t="s">
        <v>581</v>
      </c>
      <c r="D194" s="37" t="s">
        <v>309</v>
      </c>
      <c r="E194" s="50">
        <v>4.8</v>
      </c>
      <c r="F194" s="50">
        <v>4.5801526717557302</v>
      </c>
      <c r="G194" s="67">
        <v>5.0199999999999996</v>
      </c>
      <c r="H194" s="78">
        <v>1895.25</v>
      </c>
      <c r="I194" s="78">
        <v>2648.9430000000002</v>
      </c>
      <c r="J194" s="49">
        <v>161</v>
      </c>
      <c r="K194" s="78">
        <v>91</v>
      </c>
      <c r="L194" s="78">
        <v>44</v>
      </c>
      <c r="M194" s="78">
        <v>15</v>
      </c>
    </row>
    <row r="195" spans="1:13" ht="14.4">
      <c r="A195" s="37" t="s">
        <v>135</v>
      </c>
      <c r="B195" s="37" t="s">
        <v>254</v>
      </c>
      <c r="C195" s="37" t="s">
        <v>581</v>
      </c>
      <c r="D195" s="37" t="s">
        <v>310</v>
      </c>
      <c r="E195" s="50">
        <v>4.8</v>
      </c>
      <c r="F195" s="50">
        <v>4.5801526717557302</v>
      </c>
      <c r="G195" s="67">
        <v>6.3019999999999996</v>
      </c>
      <c r="H195" s="78">
        <v>1921.5</v>
      </c>
      <c r="I195" s="78">
        <v>3279.7510000000002</v>
      </c>
      <c r="J195" s="49">
        <v>161</v>
      </c>
      <c r="K195" s="78">
        <v>91</v>
      </c>
      <c r="L195" s="78">
        <v>44</v>
      </c>
      <c r="M195" s="78">
        <v>15</v>
      </c>
    </row>
    <row r="196" spans="1:13" ht="14.4">
      <c r="A196" s="37" t="s">
        <v>135</v>
      </c>
      <c r="B196" s="37" t="s">
        <v>254</v>
      </c>
      <c r="C196" s="37" t="s">
        <v>581</v>
      </c>
      <c r="D196" s="37" t="s">
        <v>311</v>
      </c>
      <c r="E196" s="50">
        <v>4.8</v>
      </c>
      <c r="F196" s="50">
        <v>4.5801526717557302</v>
      </c>
      <c r="G196" s="67">
        <v>7.35</v>
      </c>
      <c r="H196" s="78">
        <v>1968.75</v>
      </c>
      <c r="I196" s="78">
        <v>3827.1460000000002</v>
      </c>
      <c r="J196" s="49">
        <v>161</v>
      </c>
      <c r="K196" s="78">
        <v>91</v>
      </c>
      <c r="L196" s="78">
        <v>44</v>
      </c>
      <c r="M196" s="78">
        <v>15</v>
      </c>
    </row>
    <row r="197" spans="1:13" ht="14.4">
      <c r="A197" s="37" t="s">
        <v>135</v>
      </c>
      <c r="B197" s="37" t="s">
        <v>254</v>
      </c>
      <c r="C197" s="37" t="s">
        <v>581</v>
      </c>
      <c r="D197" s="37" t="s">
        <v>437</v>
      </c>
      <c r="E197" s="50">
        <v>4.8</v>
      </c>
      <c r="F197" s="50">
        <v>4.5801526717557302</v>
      </c>
      <c r="G197" s="67">
        <v>8.5350000000000001</v>
      </c>
      <c r="H197" s="78">
        <v>2612.6840000000002</v>
      </c>
      <c r="I197" s="78">
        <v>3199.7049999999999</v>
      </c>
      <c r="J197" s="49">
        <v>161</v>
      </c>
      <c r="K197" s="78">
        <v>91</v>
      </c>
      <c r="L197" s="78">
        <v>44</v>
      </c>
      <c r="M197" s="78">
        <v>15</v>
      </c>
    </row>
    <row r="198" spans="1:13" ht="14.4">
      <c r="A198" s="37" t="s">
        <v>135</v>
      </c>
      <c r="B198" s="37" t="s">
        <v>254</v>
      </c>
      <c r="C198" s="37" t="s">
        <v>581</v>
      </c>
      <c r="D198" s="37" t="s">
        <v>438</v>
      </c>
      <c r="E198" s="50">
        <v>4.8</v>
      </c>
      <c r="F198" s="50">
        <v>4.5801526717557302</v>
      </c>
      <c r="G198" s="67">
        <v>5.1100000000000003</v>
      </c>
      <c r="H198" s="78">
        <v>2084.25</v>
      </c>
      <c r="I198" s="78">
        <v>2451.819</v>
      </c>
      <c r="J198" s="49">
        <v>161</v>
      </c>
      <c r="K198" s="78">
        <v>91</v>
      </c>
      <c r="L198" s="78">
        <v>44</v>
      </c>
      <c r="M198" s="78">
        <v>15</v>
      </c>
    </row>
    <row r="199" spans="1:13" ht="14.4">
      <c r="A199" s="37" t="s">
        <v>135</v>
      </c>
      <c r="B199" s="37" t="s">
        <v>255</v>
      </c>
      <c r="C199" s="37" t="s">
        <v>582</v>
      </c>
      <c r="D199" s="37" t="s">
        <v>307</v>
      </c>
      <c r="E199" s="50">
        <v>4.8</v>
      </c>
      <c r="F199" s="50">
        <v>4.5801526717557302</v>
      </c>
      <c r="G199" s="67">
        <v>8.1219999999999999</v>
      </c>
      <c r="H199" s="78">
        <v>2680.14</v>
      </c>
      <c r="I199" s="78">
        <v>3062.9580000000001</v>
      </c>
      <c r="J199" s="49">
        <v>144</v>
      </c>
      <c r="K199" s="78">
        <v>107.8</v>
      </c>
      <c r="L199" s="78">
        <v>43.95</v>
      </c>
      <c r="M199" s="78">
        <v>60.3</v>
      </c>
    </row>
    <row r="200" spans="1:13" ht="14.4">
      <c r="A200" s="37" t="s">
        <v>135</v>
      </c>
      <c r="B200" s="37" t="s">
        <v>255</v>
      </c>
      <c r="C200" s="37" t="s">
        <v>582</v>
      </c>
      <c r="D200" s="37" t="s">
        <v>308</v>
      </c>
      <c r="E200" s="50">
        <v>4.8</v>
      </c>
      <c r="F200" s="50">
        <v>4.5801526717557302</v>
      </c>
      <c r="G200" s="67">
        <v>4.9390000000000001</v>
      </c>
      <c r="H200" s="78">
        <v>1959.067</v>
      </c>
      <c r="I200" s="78">
        <v>2131.1190000000001</v>
      </c>
      <c r="J200" s="49">
        <v>144</v>
      </c>
      <c r="K200" s="78">
        <v>107.8</v>
      </c>
      <c r="L200" s="78">
        <v>43.95</v>
      </c>
      <c r="M200" s="78">
        <v>60.3</v>
      </c>
    </row>
    <row r="201" spans="1:13" ht="14.4">
      <c r="A201" s="37" t="s">
        <v>135</v>
      </c>
      <c r="B201" s="37" t="s">
        <v>255</v>
      </c>
      <c r="C201" s="37" t="s">
        <v>582</v>
      </c>
      <c r="D201" s="37" t="s">
        <v>309</v>
      </c>
      <c r="E201" s="50">
        <v>4.8</v>
      </c>
      <c r="F201" s="50">
        <v>4.5801526717557302</v>
      </c>
      <c r="G201" s="67">
        <v>5.8040000000000003</v>
      </c>
      <c r="H201" s="78">
        <v>1995.3689999999999</v>
      </c>
      <c r="I201" s="78">
        <v>3314.3820000000001</v>
      </c>
      <c r="J201" s="49">
        <v>144</v>
      </c>
      <c r="K201" s="78">
        <v>107.8</v>
      </c>
      <c r="L201" s="78">
        <v>43.95</v>
      </c>
      <c r="M201" s="78">
        <v>60.3</v>
      </c>
    </row>
    <row r="202" spans="1:13" ht="14.4">
      <c r="A202" s="37" t="s">
        <v>135</v>
      </c>
      <c r="B202" s="37" t="s">
        <v>255</v>
      </c>
      <c r="C202" s="37" t="s">
        <v>582</v>
      </c>
      <c r="D202" s="37" t="s">
        <v>310</v>
      </c>
      <c r="E202" s="50">
        <v>4.8</v>
      </c>
      <c r="F202" s="50">
        <v>4.5801526717557302</v>
      </c>
      <c r="G202" s="67">
        <v>4.8079999999999998</v>
      </c>
      <c r="H202" s="78">
        <v>1543.5</v>
      </c>
      <c r="I202" s="78">
        <v>3115.1039999999998</v>
      </c>
      <c r="J202" s="49">
        <v>144</v>
      </c>
      <c r="K202" s="78">
        <v>107.8</v>
      </c>
      <c r="L202" s="78">
        <v>43.95</v>
      </c>
      <c r="M202" s="78">
        <v>60.3</v>
      </c>
    </row>
    <row r="203" spans="1:13" ht="14.4">
      <c r="A203" s="37" t="s">
        <v>135</v>
      </c>
      <c r="B203" s="37" t="s">
        <v>255</v>
      </c>
      <c r="C203" s="37" t="s">
        <v>582</v>
      </c>
      <c r="D203" s="37" t="s">
        <v>311</v>
      </c>
      <c r="E203" s="50">
        <v>4.8</v>
      </c>
      <c r="F203" s="50">
        <v>4.5801526717557302</v>
      </c>
      <c r="G203" s="67">
        <v>7.9359999999999999</v>
      </c>
      <c r="H203" s="78">
        <v>2366.3989999999999</v>
      </c>
      <c r="I203" s="78">
        <v>3108.4</v>
      </c>
      <c r="J203" s="49">
        <v>144</v>
      </c>
      <c r="K203" s="78">
        <v>107.8</v>
      </c>
      <c r="L203" s="78">
        <v>43.95</v>
      </c>
      <c r="M203" s="78">
        <v>60.3</v>
      </c>
    </row>
    <row r="204" spans="1:13" ht="14.4">
      <c r="A204" s="37" t="s">
        <v>135</v>
      </c>
      <c r="B204" s="37" t="s">
        <v>255</v>
      </c>
      <c r="C204" s="37" t="s">
        <v>582</v>
      </c>
      <c r="D204" s="37" t="s">
        <v>437</v>
      </c>
      <c r="E204" s="50">
        <v>4.8</v>
      </c>
      <c r="F204" s="50">
        <v>4.5801526717557302</v>
      </c>
      <c r="G204" s="67">
        <v>7.0289999999999999</v>
      </c>
      <c r="H204" s="78">
        <v>2088.2919999999999</v>
      </c>
      <c r="I204" s="78">
        <v>2954.3090000000002</v>
      </c>
      <c r="J204" s="49">
        <v>144</v>
      </c>
      <c r="K204" s="78">
        <v>107.8</v>
      </c>
      <c r="L204" s="78">
        <v>43.95</v>
      </c>
      <c r="M204" s="78">
        <v>60.3</v>
      </c>
    </row>
    <row r="205" spans="1:13" ht="14.4">
      <c r="A205" s="37" t="s">
        <v>135</v>
      </c>
      <c r="B205" s="37" t="s">
        <v>255</v>
      </c>
      <c r="C205" s="37" t="s">
        <v>582</v>
      </c>
      <c r="D205" s="37" t="s">
        <v>438</v>
      </c>
      <c r="E205" s="50">
        <v>4.8</v>
      </c>
      <c r="F205" s="50">
        <v>4.5801526717557302</v>
      </c>
      <c r="G205" s="67">
        <v>6.9219999999999997</v>
      </c>
      <c r="H205" s="78">
        <v>1713.8119999999999</v>
      </c>
      <c r="I205" s="78">
        <v>3022.2950000000001</v>
      </c>
      <c r="J205" s="49">
        <v>144</v>
      </c>
      <c r="K205" s="78">
        <v>107.8</v>
      </c>
      <c r="L205" s="78">
        <v>43.95</v>
      </c>
      <c r="M205" s="78">
        <v>60.3</v>
      </c>
    </row>
    <row r="206" spans="1:13">
      <c r="A206" s="37" t="s">
        <v>135</v>
      </c>
      <c r="B206" s="37" t="s">
        <v>257</v>
      </c>
      <c r="C206" s="37" t="s">
        <v>344</v>
      </c>
      <c r="D206" s="37" t="s">
        <v>307</v>
      </c>
      <c r="E206" s="50">
        <v>4.8</v>
      </c>
      <c r="F206" s="50">
        <v>4.5801526717557302</v>
      </c>
      <c r="G206" s="67">
        <v>8.0410000000000004</v>
      </c>
      <c r="H206" s="78">
        <v>2625.18</v>
      </c>
      <c r="I206" s="78">
        <v>3062.9580000000001</v>
      </c>
      <c r="J206" s="49">
        <v>111</v>
      </c>
      <c r="K206" s="78">
        <v>124</v>
      </c>
      <c r="L206" s="78">
        <v>41.5</v>
      </c>
      <c r="M206" s="78">
        <v>56</v>
      </c>
    </row>
    <row r="207" spans="1:13">
      <c r="A207" s="37" t="s">
        <v>135</v>
      </c>
      <c r="B207" s="37" t="s">
        <v>257</v>
      </c>
      <c r="C207" s="37" t="s">
        <v>344</v>
      </c>
      <c r="D207" s="37" t="s">
        <v>308</v>
      </c>
      <c r="E207" s="50">
        <v>4.8</v>
      </c>
      <c r="F207" s="50">
        <v>4.5801526717557302</v>
      </c>
      <c r="G207" s="67">
        <v>6.18</v>
      </c>
      <c r="H207" s="78">
        <v>1912.5239999999999</v>
      </c>
      <c r="I207" s="78">
        <v>2131.1190000000001</v>
      </c>
      <c r="J207" s="49">
        <v>111</v>
      </c>
      <c r="K207" s="78">
        <v>124</v>
      </c>
      <c r="L207" s="78">
        <v>41.5</v>
      </c>
      <c r="M207" s="78">
        <v>56</v>
      </c>
    </row>
    <row r="208" spans="1:13">
      <c r="A208" s="37" t="s">
        <v>135</v>
      </c>
      <c r="B208" s="37" t="s">
        <v>257</v>
      </c>
      <c r="C208" s="37" t="s">
        <v>344</v>
      </c>
      <c r="D208" s="37" t="s">
        <v>309</v>
      </c>
      <c r="E208" s="50">
        <v>4.8</v>
      </c>
      <c r="F208" s="50">
        <v>4.5801526717557302</v>
      </c>
      <c r="G208" s="67">
        <v>7.8689999999999998</v>
      </c>
      <c r="H208" s="78">
        <v>2374.3150000000001</v>
      </c>
      <c r="I208" s="78">
        <v>3314.3820000000001</v>
      </c>
      <c r="J208" s="49">
        <v>111</v>
      </c>
      <c r="K208" s="78">
        <v>124</v>
      </c>
      <c r="L208" s="78">
        <v>41.5</v>
      </c>
      <c r="M208" s="78">
        <v>56</v>
      </c>
    </row>
    <row r="209" spans="1:13">
      <c r="A209" s="37" t="s">
        <v>135</v>
      </c>
      <c r="B209" s="37" t="s">
        <v>257</v>
      </c>
      <c r="C209" s="37" t="s">
        <v>344</v>
      </c>
      <c r="D209" s="37" t="s">
        <v>310</v>
      </c>
      <c r="E209" s="50">
        <v>4.8</v>
      </c>
      <c r="F209" s="50">
        <v>4.5801526717557302</v>
      </c>
      <c r="G209" s="67">
        <v>6.4240000000000004</v>
      </c>
      <c r="H209" s="78">
        <v>2117.674</v>
      </c>
      <c r="I209" s="78">
        <v>3033.748</v>
      </c>
      <c r="J209" s="49">
        <v>111</v>
      </c>
      <c r="K209" s="78">
        <v>124</v>
      </c>
      <c r="L209" s="78">
        <v>41.5</v>
      </c>
      <c r="M209" s="78">
        <v>56</v>
      </c>
    </row>
    <row r="210" spans="1:13">
      <c r="A210" s="37" t="s">
        <v>135</v>
      </c>
      <c r="B210" s="37" t="s">
        <v>257</v>
      </c>
      <c r="C210" s="37" t="s">
        <v>344</v>
      </c>
      <c r="D210" s="37" t="s">
        <v>311</v>
      </c>
      <c r="E210" s="50">
        <v>4.8</v>
      </c>
      <c r="F210" s="50">
        <v>4.5801526717557302</v>
      </c>
      <c r="G210" s="67">
        <v>8.0820000000000007</v>
      </c>
      <c r="H210" s="78">
        <v>2273.25</v>
      </c>
      <c r="I210" s="78">
        <v>3555.1010000000001</v>
      </c>
      <c r="J210" s="49">
        <v>111</v>
      </c>
      <c r="K210" s="78">
        <v>124</v>
      </c>
      <c r="L210" s="78">
        <v>41.5</v>
      </c>
      <c r="M210" s="78">
        <v>56</v>
      </c>
    </row>
    <row r="211" spans="1:13">
      <c r="A211" s="37" t="s">
        <v>135</v>
      </c>
      <c r="B211" s="37" t="s">
        <v>257</v>
      </c>
      <c r="C211" s="37" t="s">
        <v>344</v>
      </c>
      <c r="D211" s="37" t="s">
        <v>437</v>
      </c>
      <c r="E211" s="50">
        <v>4.8</v>
      </c>
      <c r="F211" s="50">
        <v>4.5801526717557302</v>
      </c>
      <c r="G211" s="67">
        <v>6.1710000000000003</v>
      </c>
      <c r="H211" s="78">
        <v>2088.9580000000001</v>
      </c>
      <c r="I211" s="78">
        <v>2954.31</v>
      </c>
      <c r="J211" s="49">
        <v>111</v>
      </c>
      <c r="K211" s="78">
        <v>124</v>
      </c>
      <c r="L211" s="78">
        <v>41.5</v>
      </c>
      <c r="M211" s="78">
        <v>56</v>
      </c>
    </row>
    <row r="212" spans="1:13">
      <c r="A212" s="37" t="s">
        <v>135</v>
      </c>
      <c r="B212" s="37" t="s">
        <v>257</v>
      </c>
      <c r="C212" s="37" t="s">
        <v>344</v>
      </c>
      <c r="D212" s="37" t="s">
        <v>438</v>
      </c>
      <c r="E212" s="50">
        <v>4.8</v>
      </c>
      <c r="F212" s="50">
        <v>4.5801526717557302</v>
      </c>
      <c r="G212" s="67">
        <v>6.6120000000000001</v>
      </c>
      <c r="H212" s="78">
        <v>2187.8220000000001</v>
      </c>
      <c r="I212" s="78">
        <v>3022.2950000000001</v>
      </c>
      <c r="J212" s="49">
        <v>111</v>
      </c>
      <c r="K212" s="78">
        <v>124</v>
      </c>
      <c r="L212" s="78">
        <v>41.5</v>
      </c>
      <c r="M212" s="78">
        <v>56</v>
      </c>
    </row>
    <row r="213" spans="1:13">
      <c r="A213" s="37" t="s">
        <v>135</v>
      </c>
      <c r="B213" s="37" t="s">
        <v>266</v>
      </c>
      <c r="C213" s="37" t="s">
        <v>346</v>
      </c>
      <c r="D213" s="37" t="s">
        <v>307</v>
      </c>
      <c r="E213" s="50">
        <v>5.2</v>
      </c>
      <c r="F213" s="50">
        <v>4.9429657794676798</v>
      </c>
      <c r="G213" s="67">
        <v>6.694</v>
      </c>
      <c r="H213" s="78">
        <v>1696.8409999999999</v>
      </c>
      <c r="I213" s="78">
        <v>3944.9050000000002</v>
      </c>
      <c r="J213" s="49">
        <v>161</v>
      </c>
      <c r="K213" s="78">
        <v>91</v>
      </c>
      <c r="L213" s="78">
        <v>44</v>
      </c>
      <c r="M213" s="78">
        <v>15</v>
      </c>
    </row>
    <row r="214" spans="1:13">
      <c r="A214" s="37" t="s">
        <v>135</v>
      </c>
      <c r="B214" s="37" t="s">
        <v>266</v>
      </c>
      <c r="C214" s="37" t="s">
        <v>346</v>
      </c>
      <c r="D214" s="37" t="s">
        <v>308</v>
      </c>
      <c r="E214" s="50">
        <v>5.2</v>
      </c>
      <c r="F214" s="50">
        <v>4.9429657794676798</v>
      </c>
      <c r="G214" s="67">
        <v>7.4779999999999998</v>
      </c>
      <c r="H214" s="78">
        <v>2136.75</v>
      </c>
      <c r="I214" s="78">
        <v>3499.4969999999998</v>
      </c>
      <c r="J214" s="49">
        <v>161</v>
      </c>
      <c r="K214" s="78">
        <v>91</v>
      </c>
      <c r="L214" s="78">
        <v>44</v>
      </c>
      <c r="M214" s="78">
        <v>15</v>
      </c>
    </row>
    <row r="215" spans="1:13">
      <c r="A215" s="37" t="s">
        <v>135</v>
      </c>
      <c r="B215" s="37" t="s">
        <v>266</v>
      </c>
      <c r="C215" s="37" t="s">
        <v>346</v>
      </c>
      <c r="D215" s="37" t="s">
        <v>309</v>
      </c>
      <c r="E215" s="50">
        <v>5.2</v>
      </c>
      <c r="F215" s="50">
        <v>4.9429657794676798</v>
      </c>
      <c r="G215" s="67">
        <v>7.02</v>
      </c>
      <c r="H215" s="78">
        <v>1834.646</v>
      </c>
      <c r="I215" s="78">
        <v>3826.5740000000001</v>
      </c>
      <c r="J215" s="49">
        <v>161</v>
      </c>
      <c r="K215" s="78">
        <v>91</v>
      </c>
      <c r="L215" s="78">
        <v>44</v>
      </c>
      <c r="M215" s="78">
        <v>15</v>
      </c>
    </row>
    <row r="216" spans="1:13">
      <c r="A216" s="37" t="s">
        <v>135</v>
      </c>
      <c r="B216" s="37" t="s">
        <v>266</v>
      </c>
      <c r="C216" s="37" t="s">
        <v>346</v>
      </c>
      <c r="D216" s="37" t="s">
        <v>310</v>
      </c>
      <c r="E216" s="50">
        <v>5.2</v>
      </c>
      <c r="F216" s="50">
        <v>4.9429657794676798</v>
      </c>
      <c r="G216" s="67">
        <v>8.3019999999999996</v>
      </c>
      <c r="H216" s="78">
        <v>2262.944</v>
      </c>
      <c r="I216" s="78">
        <v>3668.69</v>
      </c>
      <c r="J216" s="49">
        <v>161</v>
      </c>
      <c r="K216" s="78">
        <v>91</v>
      </c>
      <c r="L216" s="78">
        <v>44</v>
      </c>
      <c r="M216" s="78">
        <v>15</v>
      </c>
    </row>
    <row r="217" spans="1:13">
      <c r="A217" s="37" t="s">
        <v>135</v>
      </c>
      <c r="B217" s="37" t="s">
        <v>266</v>
      </c>
      <c r="C217" s="37" t="s">
        <v>346</v>
      </c>
      <c r="D217" s="37" t="s">
        <v>311</v>
      </c>
      <c r="E217" s="50">
        <v>5.2</v>
      </c>
      <c r="F217" s="50">
        <v>4.9429657794676798</v>
      </c>
      <c r="G217" s="67">
        <v>6.6449999999999996</v>
      </c>
      <c r="H217" s="78">
        <v>2479</v>
      </c>
      <c r="I217" s="78">
        <v>2687.25</v>
      </c>
      <c r="J217" s="49">
        <v>161</v>
      </c>
      <c r="K217" s="78">
        <v>91</v>
      </c>
      <c r="L217" s="78">
        <v>44</v>
      </c>
      <c r="M217" s="78">
        <v>15</v>
      </c>
    </row>
    <row r="218" spans="1:13">
      <c r="A218" s="37" t="s">
        <v>135</v>
      </c>
      <c r="B218" s="37" t="s">
        <v>266</v>
      </c>
      <c r="C218" s="37" t="s">
        <v>346</v>
      </c>
      <c r="D218" s="37" t="s">
        <v>437</v>
      </c>
      <c r="E218" s="50">
        <v>5.2</v>
      </c>
      <c r="F218" s="50">
        <v>4.9429657794676798</v>
      </c>
      <c r="G218" s="67">
        <v>3.9209999999999998</v>
      </c>
      <c r="H218" s="78">
        <v>1707</v>
      </c>
      <c r="I218" s="78">
        <v>5585.4340000000002</v>
      </c>
      <c r="J218" s="49">
        <v>161</v>
      </c>
      <c r="K218" s="78">
        <v>91</v>
      </c>
      <c r="L218" s="78">
        <v>44</v>
      </c>
      <c r="M218" s="78">
        <v>15</v>
      </c>
    </row>
    <row r="219" spans="1:13">
      <c r="A219" s="37" t="s">
        <v>135</v>
      </c>
      <c r="B219" s="37" t="s">
        <v>266</v>
      </c>
      <c r="C219" s="37" t="s">
        <v>346</v>
      </c>
      <c r="D219" s="37" t="s">
        <v>438</v>
      </c>
      <c r="E219" s="50">
        <v>5.2</v>
      </c>
      <c r="F219" s="50">
        <v>4.9429657794676798</v>
      </c>
      <c r="G219" s="67">
        <v>7.1020000000000003</v>
      </c>
      <c r="H219" s="78">
        <v>1932.183</v>
      </c>
      <c r="I219" s="78">
        <v>3678.6570000000002</v>
      </c>
      <c r="J219" s="49">
        <v>161</v>
      </c>
      <c r="K219" s="78">
        <v>91</v>
      </c>
      <c r="L219" s="78">
        <v>44</v>
      </c>
      <c r="M219" s="78">
        <v>15</v>
      </c>
    </row>
    <row r="220" spans="1:13">
      <c r="A220" s="37" t="s">
        <v>135</v>
      </c>
      <c r="B220" s="37" t="s">
        <v>267</v>
      </c>
      <c r="C220" s="37" t="s">
        <v>347</v>
      </c>
      <c r="D220" s="37" t="s">
        <v>307</v>
      </c>
      <c r="E220" s="50">
        <v>5.2</v>
      </c>
      <c r="F220" s="50">
        <v>4.9429657794676798</v>
      </c>
      <c r="G220" s="67">
        <v>5.9020000000000001</v>
      </c>
      <c r="H220" s="78">
        <v>2254</v>
      </c>
      <c r="I220" s="78">
        <v>3733.6170000000002</v>
      </c>
      <c r="J220" s="49">
        <v>144</v>
      </c>
      <c r="K220" s="78">
        <v>107.8</v>
      </c>
      <c r="L220" s="78">
        <v>43.95</v>
      </c>
      <c r="M220" s="78">
        <v>60.3</v>
      </c>
    </row>
    <row r="221" spans="1:13">
      <c r="A221" s="37" t="s">
        <v>135</v>
      </c>
      <c r="B221" s="37" t="s">
        <v>267</v>
      </c>
      <c r="C221" s="37" t="s">
        <v>347</v>
      </c>
      <c r="D221" s="37" t="s">
        <v>308</v>
      </c>
      <c r="E221" s="50">
        <v>5.2</v>
      </c>
      <c r="F221" s="50">
        <v>4.9429657794676798</v>
      </c>
      <c r="G221" s="67">
        <v>8.343</v>
      </c>
      <c r="H221" s="78">
        <v>2179.2020000000002</v>
      </c>
      <c r="I221" s="78">
        <v>4215.2629999999999</v>
      </c>
      <c r="J221" s="49">
        <v>144</v>
      </c>
      <c r="K221" s="78">
        <v>107.8</v>
      </c>
      <c r="L221" s="78">
        <v>43.95</v>
      </c>
      <c r="M221" s="78">
        <v>60.3</v>
      </c>
    </row>
    <row r="222" spans="1:13">
      <c r="A222" s="37" t="s">
        <v>135</v>
      </c>
      <c r="B222" s="37" t="s">
        <v>267</v>
      </c>
      <c r="C222" s="37" t="s">
        <v>347</v>
      </c>
      <c r="D222" s="37" t="s">
        <v>309</v>
      </c>
      <c r="E222" s="50">
        <v>5.2</v>
      </c>
      <c r="F222" s="50">
        <v>4.9429657794676798</v>
      </c>
      <c r="G222" s="67">
        <v>6.1879999999999997</v>
      </c>
      <c r="H222" s="78">
        <v>1792</v>
      </c>
      <c r="I222" s="78">
        <v>4175.5069999999996</v>
      </c>
      <c r="J222" s="49">
        <v>144</v>
      </c>
      <c r="K222" s="78">
        <v>107.8</v>
      </c>
      <c r="L222" s="78">
        <v>43.95</v>
      </c>
      <c r="M222" s="78">
        <v>60.3</v>
      </c>
    </row>
    <row r="223" spans="1:13">
      <c r="A223" s="37" t="s">
        <v>135</v>
      </c>
      <c r="B223" s="37" t="s">
        <v>267</v>
      </c>
      <c r="C223" s="37" t="s">
        <v>347</v>
      </c>
      <c r="D223" s="37" t="s">
        <v>310</v>
      </c>
      <c r="E223" s="50">
        <v>5.2</v>
      </c>
      <c r="F223" s="50">
        <v>4.9429657794676798</v>
      </c>
      <c r="G223" s="67">
        <v>6.4329999999999998</v>
      </c>
      <c r="H223" s="78">
        <v>1856.2139999999999</v>
      </c>
      <c r="I223" s="78">
        <v>3883.9569999999999</v>
      </c>
      <c r="J223" s="49">
        <v>144</v>
      </c>
      <c r="K223" s="78">
        <v>107.8</v>
      </c>
      <c r="L223" s="78">
        <v>43.95</v>
      </c>
      <c r="M223" s="78">
        <v>60.3</v>
      </c>
    </row>
    <row r="224" spans="1:13">
      <c r="A224" s="37" t="s">
        <v>135</v>
      </c>
      <c r="B224" s="37" t="s">
        <v>267</v>
      </c>
      <c r="C224" s="37" t="s">
        <v>347</v>
      </c>
      <c r="D224" s="37" t="s">
        <v>311</v>
      </c>
      <c r="E224" s="50">
        <v>5.2</v>
      </c>
      <c r="F224" s="50">
        <v>4.9429657794676798</v>
      </c>
      <c r="G224" s="67">
        <v>8.718</v>
      </c>
      <c r="H224" s="78">
        <v>2156.261</v>
      </c>
      <c r="I224" s="78">
        <v>4456.6499999999996</v>
      </c>
      <c r="J224" s="49">
        <v>144</v>
      </c>
      <c r="K224" s="78">
        <v>107.8</v>
      </c>
      <c r="L224" s="78">
        <v>43.95</v>
      </c>
      <c r="M224" s="78">
        <v>60.3</v>
      </c>
    </row>
    <row r="225" spans="1:13">
      <c r="A225" s="37" t="s">
        <v>135</v>
      </c>
      <c r="B225" s="37" t="s">
        <v>267</v>
      </c>
      <c r="C225" s="37" t="s">
        <v>347</v>
      </c>
      <c r="D225" s="37" t="s">
        <v>437</v>
      </c>
      <c r="E225" s="50">
        <v>5.2</v>
      </c>
      <c r="F225" s="50">
        <v>4.9429657794676798</v>
      </c>
      <c r="G225" s="67">
        <v>7.8449999999999998</v>
      </c>
      <c r="H225" s="78">
        <v>2123.2429999999999</v>
      </c>
      <c r="I225" s="78">
        <v>4078.9940000000001</v>
      </c>
      <c r="J225" s="49">
        <v>144</v>
      </c>
      <c r="K225" s="78">
        <v>107.8</v>
      </c>
      <c r="L225" s="78">
        <v>43.95</v>
      </c>
      <c r="M225" s="78">
        <v>60.3</v>
      </c>
    </row>
    <row r="226" spans="1:13">
      <c r="A226" s="37" t="s">
        <v>135</v>
      </c>
      <c r="B226" s="37" t="s">
        <v>267</v>
      </c>
      <c r="C226" s="37" t="s">
        <v>347</v>
      </c>
      <c r="D226" s="37" t="s">
        <v>438</v>
      </c>
      <c r="E226" s="50">
        <v>5.2</v>
      </c>
      <c r="F226" s="50">
        <v>4.9429657794676798</v>
      </c>
      <c r="G226" s="67">
        <v>7.1349999999999998</v>
      </c>
      <c r="H226" s="78">
        <v>2006.57</v>
      </c>
      <c r="I226" s="78">
        <v>3949.3040000000001</v>
      </c>
      <c r="J226" s="49">
        <v>144</v>
      </c>
      <c r="K226" s="78">
        <v>107.8</v>
      </c>
      <c r="L226" s="78">
        <v>43.95</v>
      </c>
      <c r="M226" s="78">
        <v>60.3</v>
      </c>
    </row>
    <row r="227" spans="1:13">
      <c r="A227" s="37" t="s">
        <v>135</v>
      </c>
      <c r="B227" s="37" t="s">
        <v>268</v>
      </c>
      <c r="C227" s="37" t="s">
        <v>348</v>
      </c>
      <c r="D227" s="37" t="s">
        <v>307</v>
      </c>
      <c r="E227" s="50">
        <v>5.2</v>
      </c>
      <c r="F227" s="50">
        <v>4.9429657794676798</v>
      </c>
      <c r="G227" s="67">
        <v>8.2289999999999992</v>
      </c>
      <c r="H227" s="78">
        <v>2167.2139999999999</v>
      </c>
      <c r="I227" s="78">
        <v>3796.8429999999998</v>
      </c>
      <c r="J227" s="49">
        <v>111</v>
      </c>
      <c r="K227" s="78">
        <v>124</v>
      </c>
      <c r="L227" s="78">
        <v>41.5</v>
      </c>
      <c r="M227" s="78">
        <v>56</v>
      </c>
    </row>
    <row r="228" spans="1:13">
      <c r="A228" s="37" t="s">
        <v>135</v>
      </c>
      <c r="B228" s="37" t="s">
        <v>268</v>
      </c>
      <c r="C228" s="37" t="s">
        <v>348</v>
      </c>
      <c r="D228" s="37" t="s">
        <v>308</v>
      </c>
      <c r="E228" s="50">
        <v>5.2</v>
      </c>
      <c r="F228" s="50">
        <v>4.9429657794676798</v>
      </c>
      <c r="G228" s="67">
        <v>6.4409999999999998</v>
      </c>
      <c r="H228" s="78">
        <v>2132.8829999999998</v>
      </c>
      <c r="I228" s="78">
        <v>3019.7710000000002</v>
      </c>
      <c r="J228" s="49">
        <v>111</v>
      </c>
      <c r="K228" s="78">
        <v>124</v>
      </c>
      <c r="L228" s="78">
        <v>41.5</v>
      </c>
      <c r="M228" s="78">
        <v>56</v>
      </c>
    </row>
    <row r="229" spans="1:13">
      <c r="A229" s="37" t="s">
        <v>135</v>
      </c>
      <c r="B229" s="37" t="s">
        <v>268</v>
      </c>
      <c r="C229" s="37" t="s">
        <v>348</v>
      </c>
      <c r="D229" s="37" t="s">
        <v>309</v>
      </c>
      <c r="E229" s="50">
        <v>5.2</v>
      </c>
      <c r="F229" s="50">
        <v>4.9429657794676798</v>
      </c>
      <c r="G229" s="67">
        <v>8.2940000000000005</v>
      </c>
      <c r="H229" s="78">
        <v>1979.25</v>
      </c>
      <c r="I229" s="78">
        <v>4190.415</v>
      </c>
      <c r="J229" s="49">
        <v>111</v>
      </c>
      <c r="K229" s="78">
        <v>124</v>
      </c>
      <c r="L229" s="78">
        <v>41.5</v>
      </c>
      <c r="M229" s="78">
        <v>56</v>
      </c>
    </row>
    <row r="230" spans="1:13">
      <c r="A230" s="37" t="s">
        <v>135</v>
      </c>
      <c r="B230" s="37" t="s">
        <v>268</v>
      </c>
      <c r="C230" s="37" t="s">
        <v>348</v>
      </c>
      <c r="D230" s="37" t="s">
        <v>310</v>
      </c>
      <c r="E230" s="50">
        <v>5.2</v>
      </c>
      <c r="F230" s="50">
        <v>4.9429657794676798</v>
      </c>
      <c r="G230" s="67">
        <v>5.7469999999999999</v>
      </c>
      <c r="H230" s="78">
        <v>2345</v>
      </c>
      <c r="I230" s="78">
        <v>3709</v>
      </c>
      <c r="J230" s="49">
        <v>111</v>
      </c>
      <c r="K230" s="78">
        <v>124</v>
      </c>
      <c r="L230" s="78">
        <v>41.5</v>
      </c>
      <c r="M230" s="78">
        <v>56</v>
      </c>
    </row>
    <row r="231" spans="1:13">
      <c r="A231" s="37" t="s">
        <v>135</v>
      </c>
      <c r="B231" s="37" t="s">
        <v>268</v>
      </c>
      <c r="C231" s="37" t="s">
        <v>348</v>
      </c>
      <c r="D231" s="37" t="s">
        <v>311</v>
      </c>
      <c r="E231" s="50">
        <v>5.2</v>
      </c>
      <c r="F231" s="50">
        <v>4.9429657794676798</v>
      </c>
      <c r="G231" s="67">
        <v>6.8410000000000002</v>
      </c>
      <c r="H231" s="78">
        <v>1990</v>
      </c>
      <c r="I231" s="78">
        <v>4952</v>
      </c>
      <c r="J231" s="49">
        <v>111</v>
      </c>
      <c r="K231" s="78">
        <v>124</v>
      </c>
      <c r="L231" s="78">
        <v>41.5</v>
      </c>
      <c r="M231" s="78">
        <v>56</v>
      </c>
    </row>
    <row r="232" spans="1:13">
      <c r="A232" s="37" t="s">
        <v>135</v>
      </c>
      <c r="B232" s="37" t="s">
        <v>268</v>
      </c>
      <c r="C232" s="37" t="s">
        <v>348</v>
      </c>
      <c r="D232" s="37" t="s">
        <v>437</v>
      </c>
      <c r="E232" s="50">
        <v>5.2</v>
      </c>
      <c r="F232" s="50">
        <v>4.9429657794676798</v>
      </c>
      <c r="G232" s="67">
        <v>7.69</v>
      </c>
      <c r="H232" s="78">
        <v>2166.884</v>
      </c>
      <c r="I232" s="78">
        <v>3548.7809999999999</v>
      </c>
      <c r="J232" s="49">
        <v>111</v>
      </c>
      <c r="K232" s="78">
        <v>124</v>
      </c>
      <c r="L232" s="78">
        <v>41.5</v>
      </c>
      <c r="M232" s="78">
        <v>56</v>
      </c>
    </row>
    <row r="233" spans="1:13">
      <c r="A233" s="37" t="s">
        <v>135</v>
      </c>
      <c r="B233" s="37" t="s">
        <v>268</v>
      </c>
      <c r="C233" s="37" t="s">
        <v>348</v>
      </c>
      <c r="D233" s="37" t="s">
        <v>438</v>
      </c>
      <c r="E233" s="50">
        <v>5.2</v>
      </c>
      <c r="F233" s="50">
        <v>4.9429657794676798</v>
      </c>
      <c r="G233" s="67">
        <v>7.78</v>
      </c>
      <c r="H233" s="78">
        <v>2160.9380000000001</v>
      </c>
      <c r="I233" s="78">
        <v>3600.1</v>
      </c>
      <c r="J233" s="49">
        <v>111</v>
      </c>
      <c r="K233" s="78">
        <v>124</v>
      </c>
      <c r="L233" s="78">
        <v>41.5</v>
      </c>
      <c r="M233" s="78">
        <v>56</v>
      </c>
    </row>
    <row r="234" spans="1:13">
      <c r="A234" s="37" t="s">
        <v>137</v>
      </c>
      <c r="B234" s="37" t="s">
        <v>218</v>
      </c>
      <c r="C234" s="37" t="s">
        <v>349</v>
      </c>
      <c r="D234" s="37" t="s">
        <v>307</v>
      </c>
      <c r="E234" s="50">
        <v>4.8000000000000096</v>
      </c>
      <c r="F234" s="50">
        <v>4.5801526717557302</v>
      </c>
      <c r="G234" s="67">
        <v>7.8940000000000001</v>
      </c>
      <c r="H234" s="78">
        <v>1895</v>
      </c>
      <c r="I234" s="78">
        <v>4165</v>
      </c>
      <c r="J234" s="49">
        <v>161</v>
      </c>
      <c r="K234" s="78">
        <v>91</v>
      </c>
      <c r="L234" s="78">
        <v>44</v>
      </c>
      <c r="M234" s="78">
        <v>15</v>
      </c>
    </row>
    <row r="235" spans="1:13">
      <c r="A235" s="37" t="s">
        <v>137</v>
      </c>
      <c r="B235" s="37" t="s">
        <v>218</v>
      </c>
      <c r="C235" s="37" t="s">
        <v>349</v>
      </c>
      <c r="D235" s="37" t="s">
        <v>308</v>
      </c>
      <c r="E235" s="50">
        <v>4.8000000000000096</v>
      </c>
      <c r="F235" s="50">
        <v>4.5801526717557302</v>
      </c>
      <c r="G235" s="67">
        <v>7.9020000000000001</v>
      </c>
      <c r="H235" s="78">
        <v>1717</v>
      </c>
      <c r="I235" s="78">
        <v>4603</v>
      </c>
      <c r="J235" s="49">
        <v>161</v>
      </c>
      <c r="K235" s="78">
        <v>91</v>
      </c>
      <c r="L235" s="78">
        <v>44</v>
      </c>
      <c r="M235" s="78">
        <v>15</v>
      </c>
    </row>
    <row r="236" spans="1:13">
      <c r="A236" s="37" t="s">
        <v>137</v>
      </c>
      <c r="B236" s="37" t="s">
        <v>218</v>
      </c>
      <c r="C236" s="37" t="s">
        <v>349</v>
      </c>
      <c r="D236" s="37" t="s">
        <v>309</v>
      </c>
      <c r="E236" s="50">
        <v>4.8000000000000096</v>
      </c>
      <c r="F236" s="50">
        <v>4.5801526717557302</v>
      </c>
      <c r="G236" s="67">
        <v>7.7880000000000003</v>
      </c>
      <c r="H236" s="78">
        <v>2258</v>
      </c>
      <c r="I236" s="78">
        <v>3450</v>
      </c>
      <c r="J236" s="49">
        <v>161</v>
      </c>
      <c r="K236" s="78">
        <v>91</v>
      </c>
      <c r="L236" s="78">
        <v>44</v>
      </c>
      <c r="M236" s="78">
        <v>15</v>
      </c>
    </row>
    <row r="237" spans="1:13">
      <c r="A237" s="37" t="s">
        <v>137</v>
      </c>
      <c r="B237" s="37" t="s">
        <v>218</v>
      </c>
      <c r="C237" s="37" t="s">
        <v>349</v>
      </c>
      <c r="D237" s="37" t="s">
        <v>310</v>
      </c>
      <c r="E237" s="50">
        <v>4.8000000000000096</v>
      </c>
      <c r="F237" s="50">
        <v>4.5801526717557302</v>
      </c>
      <c r="G237" s="67">
        <v>7.6159999999999997</v>
      </c>
      <c r="H237" s="78">
        <v>2446</v>
      </c>
      <c r="I237" s="78">
        <v>3478</v>
      </c>
      <c r="J237" s="49">
        <v>161</v>
      </c>
      <c r="K237" s="78">
        <v>91</v>
      </c>
      <c r="L237" s="78">
        <v>44</v>
      </c>
      <c r="M237" s="78">
        <v>15</v>
      </c>
    </row>
    <row r="238" spans="1:13">
      <c r="A238" s="37" t="s">
        <v>137</v>
      </c>
      <c r="B238" s="37" t="s">
        <v>218</v>
      </c>
      <c r="C238" s="37" t="s">
        <v>349</v>
      </c>
      <c r="D238" s="37" t="s">
        <v>311</v>
      </c>
      <c r="E238" s="50">
        <v>4.8000000000000096</v>
      </c>
      <c r="F238" s="50">
        <v>4.5801526717557302</v>
      </c>
      <c r="G238" s="67">
        <v>6.0490000000000004</v>
      </c>
      <c r="H238" s="78">
        <v>2336</v>
      </c>
      <c r="I238" s="78">
        <v>2589</v>
      </c>
      <c r="J238" s="49">
        <v>161</v>
      </c>
      <c r="K238" s="78">
        <v>91</v>
      </c>
      <c r="L238" s="78">
        <v>44</v>
      </c>
      <c r="M238" s="78">
        <v>15</v>
      </c>
    </row>
    <row r="239" spans="1:13">
      <c r="A239" s="37" t="s">
        <v>137</v>
      </c>
      <c r="B239" s="37" t="s">
        <v>218</v>
      </c>
      <c r="C239" s="37" t="s">
        <v>349</v>
      </c>
      <c r="D239" s="37" t="s">
        <v>437</v>
      </c>
      <c r="E239" s="50">
        <v>4.8000000000000096</v>
      </c>
      <c r="F239" s="50">
        <v>4.5801526717557302</v>
      </c>
      <c r="G239" s="67">
        <v>7.1020000000000003</v>
      </c>
      <c r="H239" s="78">
        <v>1953</v>
      </c>
      <c r="I239" s="78">
        <v>3636</v>
      </c>
      <c r="J239" s="49">
        <v>161</v>
      </c>
      <c r="K239" s="78">
        <v>91</v>
      </c>
      <c r="L239" s="78">
        <v>44</v>
      </c>
      <c r="M239" s="78">
        <v>15</v>
      </c>
    </row>
    <row r="240" spans="1:13">
      <c r="A240" s="37" t="s">
        <v>137</v>
      </c>
      <c r="B240" s="37" t="s">
        <v>218</v>
      </c>
      <c r="C240" s="37" t="s">
        <v>349</v>
      </c>
      <c r="D240" s="37" t="s">
        <v>438</v>
      </c>
      <c r="E240" s="50">
        <v>4.8000000000000096</v>
      </c>
      <c r="F240" s="50">
        <v>4.5801526717557302</v>
      </c>
      <c r="G240" s="67">
        <v>7.7629999999999999</v>
      </c>
      <c r="H240" s="78">
        <v>2226</v>
      </c>
      <c r="I240" s="78">
        <v>3488</v>
      </c>
      <c r="J240" s="49">
        <v>161</v>
      </c>
      <c r="K240" s="78">
        <v>91</v>
      </c>
      <c r="L240" s="78">
        <v>44</v>
      </c>
      <c r="M240" s="78">
        <v>15</v>
      </c>
    </row>
    <row r="241" spans="1:13">
      <c r="A241" s="37" t="s">
        <v>138</v>
      </c>
      <c r="B241" s="37" t="s">
        <v>94</v>
      </c>
      <c r="C241" s="37" t="s">
        <v>427</v>
      </c>
      <c r="D241" s="37" t="s">
        <v>307</v>
      </c>
      <c r="E241" s="50">
        <v>5</v>
      </c>
      <c r="F241" s="50">
        <v>4.76</v>
      </c>
      <c r="G241" s="67">
        <v>6.4980000000000002</v>
      </c>
      <c r="H241" s="78">
        <v>2289</v>
      </c>
      <c r="I241" s="78">
        <v>2838.7759999999998</v>
      </c>
      <c r="J241" s="49">
        <v>111</v>
      </c>
      <c r="K241" s="78">
        <v>124</v>
      </c>
      <c r="L241" s="78">
        <v>41.5</v>
      </c>
      <c r="M241" s="78">
        <v>56</v>
      </c>
    </row>
    <row r="242" spans="1:13">
      <c r="A242" s="37" t="s">
        <v>138</v>
      </c>
      <c r="B242" s="37" t="s">
        <v>94</v>
      </c>
      <c r="C242" s="37" t="s">
        <v>427</v>
      </c>
      <c r="D242" s="37" t="s">
        <v>308</v>
      </c>
      <c r="E242" s="50">
        <v>5</v>
      </c>
      <c r="F242" s="50">
        <v>4.76</v>
      </c>
      <c r="G242" s="67">
        <v>6.9880000000000004</v>
      </c>
      <c r="H242" s="78">
        <v>2483.25</v>
      </c>
      <c r="I242" s="78">
        <v>2813.9560000000001</v>
      </c>
      <c r="J242" s="49">
        <v>111</v>
      </c>
      <c r="K242" s="78">
        <v>124</v>
      </c>
      <c r="L242" s="78">
        <v>41.5</v>
      </c>
      <c r="M242" s="78">
        <v>56</v>
      </c>
    </row>
    <row r="243" spans="1:13">
      <c r="A243" s="37" t="s">
        <v>138</v>
      </c>
      <c r="B243" s="37" t="s">
        <v>94</v>
      </c>
      <c r="C243" s="37" t="s">
        <v>427</v>
      </c>
      <c r="D243" s="37" t="s">
        <v>309</v>
      </c>
      <c r="E243" s="50">
        <v>5</v>
      </c>
      <c r="F243" s="50">
        <v>4.76</v>
      </c>
      <c r="G243" s="67">
        <v>5.6239999999999997</v>
      </c>
      <c r="H243" s="78">
        <v>1872.61</v>
      </c>
      <c r="I243" s="78">
        <v>3003.5569999999998</v>
      </c>
      <c r="J243" s="49">
        <v>111</v>
      </c>
      <c r="K243" s="78">
        <v>124</v>
      </c>
      <c r="L243" s="78">
        <v>41.5</v>
      </c>
      <c r="M243" s="78">
        <v>56</v>
      </c>
    </row>
    <row r="244" spans="1:13">
      <c r="A244" s="37" t="s">
        <v>138</v>
      </c>
      <c r="B244" s="37" t="s">
        <v>94</v>
      </c>
      <c r="C244" s="37" t="s">
        <v>427</v>
      </c>
      <c r="D244" s="37" t="s">
        <v>310</v>
      </c>
      <c r="E244" s="50">
        <v>5</v>
      </c>
      <c r="F244" s="50">
        <v>4.76</v>
      </c>
      <c r="G244" s="67">
        <v>5.7060000000000004</v>
      </c>
      <c r="H244" s="78">
        <v>1743</v>
      </c>
      <c r="I244" s="78">
        <v>3272.7370000000001</v>
      </c>
      <c r="J244" s="49">
        <v>111</v>
      </c>
      <c r="K244" s="78">
        <v>124</v>
      </c>
      <c r="L244" s="78">
        <v>41.5</v>
      </c>
      <c r="M244" s="78">
        <v>56</v>
      </c>
    </row>
    <row r="245" spans="1:13">
      <c r="A245" s="37" t="s">
        <v>138</v>
      </c>
      <c r="B245" s="37" t="s">
        <v>94</v>
      </c>
      <c r="C245" s="37" t="s">
        <v>427</v>
      </c>
      <c r="D245" s="37" t="s">
        <v>311</v>
      </c>
      <c r="E245" s="50">
        <v>5</v>
      </c>
      <c r="F245" s="50">
        <v>4.76</v>
      </c>
      <c r="G245" s="67">
        <v>5.4290000000000003</v>
      </c>
      <c r="H245" s="78">
        <v>1874.25</v>
      </c>
      <c r="I245" s="78">
        <v>2896.3969999999999</v>
      </c>
      <c r="J245" s="49">
        <v>111</v>
      </c>
      <c r="K245" s="78">
        <v>124</v>
      </c>
      <c r="L245" s="78">
        <v>41.5</v>
      </c>
      <c r="M245" s="78">
        <v>56</v>
      </c>
    </row>
    <row r="246" spans="1:13">
      <c r="A246" s="37" t="s">
        <v>139</v>
      </c>
      <c r="B246" s="37" t="s">
        <v>218</v>
      </c>
      <c r="C246" s="37" t="s">
        <v>349</v>
      </c>
      <c r="D246" s="37" t="s">
        <v>307</v>
      </c>
      <c r="E246" s="50">
        <v>4.8000000000000096</v>
      </c>
      <c r="F246" s="50">
        <v>4.5801526717557302</v>
      </c>
      <c r="G246" s="67">
        <v>5.2569999999999997</v>
      </c>
      <c r="H246" s="78">
        <v>2106</v>
      </c>
      <c r="I246" s="78">
        <v>2910.9319999999998</v>
      </c>
      <c r="J246" s="49">
        <v>161</v>
      </c>
      <c r="K246" s="78">
        <v>91</v>
      </c>
      <c r="L246" s="78">
        <v>44</v>
      </c>
      <c r="M246" s="78">
        <v>15</v>
      </c>
    </row>
    <row r="247" spans="1:13">
      <c r="A247" s="37" t="s">
        <v>139</v>
      </c>
      <c r="B247" s="37" t="s">
        <v>218</v>
      </c>
      <c r="C247" s="37" t="s">
        <v>349</v>
      </c>
      <c r="D247" s="37" t="s">
        <v>308</v>
      </c>
      <c r="E247" s="50">
        <v>4.8000000000000096</v>
      </c>
      <c r="F247" s="50">
        <v>4.5801526717557302</v>
      </c>
      <c r="G247" s="67">
        <v>4.7430000000000003</v>
      </c>
      <c r="H247" s="78">
        <v>1970.25</v>
      </c>
      <c r="I247" s="78">
        <v>2374.7310000000002</v>
      </c>
      <c r="J247" s="49">
        <v>161</v>
      </c>
      <c r="K247" s="78">
        <v>91</v>
      </c>
      <c r="L247" s="78">
        <v>44</v>
      </c>
      <c r="M247" s="78">
        <v>15</v>
      </c>
    </row>
    <row r="248" spans="1:13">
      <c r="A248" s="37" t="s">
        <v>139</v>
      </c>
      <c r="B248" s="37" t="s">
        <v>218</v>
      </c>
      <c r="C248" s="37" t="s">
        <v>349</v>
      </c>
      <c r="D248" s="37" t="s">
        <v>309</v>
      </c>
      <c r="E248" s="50">
        <v>4.8000000000000096</v>
      </c>
      <c r="F248" s="50">
        <v>4.5801526717557302</v>
      </c>
      <c r="G248" s="67">
        <v>4.0490000000000004</v>
      </c>
      <c r="H248" s="78">
        <v>1816.6489999999999</v>
      </c>
      <c r="I248" s="78">
        <v>2228.8180000000002</v>
      </c>
      <c r="J248" s="49">
        <v>161</v>
      </c>
      <c r="K248" s="78">
        <v>91</v>
      </c>
      <c r="L248" s="78">
        <v>44</v>
      </c>
      <c r="M248" s="78">
        <v>15</v>
      </c>
    </row>
    <row r="249" spans="1:13">
      <c r="A249" s="37" t="s">
        <v>139</v>
      </c>
      <c r="B249" s="37" t="s">
        <v>218</v>
      </c>
      <c r="C249" s="37" t="s">
        <v>349</v>
      </c>
      <c r="D249" s="37" t="s">
        <v>310</v>
      </c>
      <c r="E249" s="50">
        <v>4.8000000000000096</v>
      </c>
      <c r="F249" s="50">
        <v>4.5801526717557302</v>
      </c>
      <c r="G249" s="67">
        <v>6.367</v>
      </c>
      <c r="H249" s="78">
        <v>2106.25</v>
      </c>
      <c r="I249" s="78">
        <v>3731.78</v>
      </c>
      <c r="J249" s="49">
        <v>161</v>
      </c>
      <c r="K249" s="78">
        <v>91</v>
      </c>
      <c r="L249" s="78">
        <v>44</v>
      </c>
      <c r="M249" s="78">
        <v>15</v>
      </c>
    </row>
    <row r="250" spans="1:13">
      <c r="A250" s="37" t="s">
        <v>140</v>
      </c>
      <c r="B250" s="37" t="s">
        <v>218</v>
      </c>
      <c r="C250" s="37" t="s">
        <v>349</v>
      </c>
      <c r="D250" s="37" t="s">
        <v>307</v>
      </c>
      <c r="E250" s="50">
        <v>4.8000000000000096</v>
      </c>
      <c r="F250" s="50">
        <v>4.5801526717557302</v>
      </c>
      <c r="G250" s="67">
        <v>7.8860000000000001</v>
      </c>
      <c r="H250" s="78">
        <v>2372</v>
      </c>
      <c r="I250" s="78">
        <v>3323.1</v>
      </c>
      <c r="J250" s="49">
        <v>161</v>
      </c>
      <c r="K250" s="78">
        <v>91</v>
      </c>
      <c r="L250" s="78">
        <v>44</v>
      </c>
      <c r="M250" s="78">
        <v>15</v>
      </c>
    </row>
    <row r="251" spans="1:13">
      <c r="A251" s="37" t="s">
        <v>140</v>
      </c>
      <c r="B251" s="37" t="s">
        <v>218</v>
      </c>
      <c r="C251" s="37" t="s">
        <v>349</v>
      </c>
      <c r="D251" s="37" t="s">
        <v>308</v>
      </c>
      <c r="E251" s="50">
        <v>4.8000000000000096</v>
      </c>
      <c r="F251" s="50">
        <v>4.5801526717557302</v>
      </c>
      <c r="G251" s="67">
        <v>7.8529999999999998</v>
      </c>
      <c r="H251" s="78">
        <v>2029.7180000000001</v>
      </c>
      <c r="I251" s="78">
        <v>2869.0410000000002</v>
      </c>
      <c r="J251" s="49">
        <v>161</v>
      </c>
      <c r="K251" s="78">
        <v>91</v>
      </c>
      <c r="L251" s="78">
        <v>44</v>
      </c>
      <c r="M251" s="78">
        <v>15</v>
      </c>
    </row>
    <row r="252" spans="1:13">
      <c r="A252" s="37" t="s">
        <v>140</v>
      </c>
      <c r="B252" s="37" t="s">
        <v>218</v>
      </c>
      <c r="C252" s="37" t="s">
        <v>349</v>
      </c>
      <c r="D252" s="37" t="s">
        <v>309</v>
      </c>
      <c r="E252" s="50">
        <v>4.8000000000000096</v>
      </c>
      <c r="F252" s="50">
        <v>4.5801526717557302</v>
      </c>
      <c r="G252" s="67">
        <v>6.0979999999999999</v>
      </c>
      <c r="H252" s="78">
        <v>2010.75</v>
      </c>
      <c r="I252" s="78">
        <v>2668.6280000000002</v>
      </c>
      <c r="J252" s="49">
        <v>161</v>
      </c>
      <c r="K252" s="78">
        <v>91</v>
      </c>
      <c r="L252" s="78">
        <v>44</v>
      </c>
      <c r="M252" s="78">
        <v>15</v>
      </c>
    </row>
    <row r="253" spans="1:13">
      <c r="A253" s="37" t="s">
        <v>140</v>
      </c>
      <c r="B253" s="37" t="s">
        <v>218</v>
      </c>
      <c r="C253" s="37" t="s">
        <v>349</v>
      </c>
      <c r="D253" s="37" t="s">
        <v>310</v>
      </c>
      <c r="E253" s="50">
        <v>4.8000000000000096</v>
      </c>
      <c r="F253" s="50">
        <v>4.5801526717557302</v>
      </c>
      <c r="G253" s="67">
        <v>6.2859999999999996</v>
      </c>
      <c r="H253" s="78">
        <v>2418.58</v>
      </c>
      <c r="I253" s="78">
        <v>2598.9279999999999</v>
      </c>
      <c r="J253" s="49">
        <v>161</v>
      </c>
      <c r="K253" s="78">
        <v>91</v>
      </c>
      <c r="L253" s="78">
        <v>44</v>
      </c>
      <c r="M253" s="78">
        <v>15</v>
      </c>
    </row>
    <row r="254" spans="1:13">
      <c r="A254" s="37" t="s">
        <v>140</v>
      </c>
      <c r="B254" s="37" t="s">
        <v>218</v>
      </c>
      <c r="C254" s="37" t="s">
        <v>349</v>
      </c>
      <c r="D254" s="37" t="s">
        <v>311</v>
      </c>
      <c r="E254" s="50">
        <v>4.8000000000000096</v>
      </c>
      <c r="F254" s="50">
        <v>4.5801526717557302</v>
      </c>
      <c r="G254" s="67">
        <v>6.5220000000000002</v>
      </c>
      <c r="H254" s="78">
        <v>1968.75</v>
      </c>
      <c r="I254" s="78">
        <v>3312.99</v>
      </c>
      <c r="J254" s="49">
        <v>161</v>
      </c>
      <c r="K254" s="78">
        <v>91</v>
      </c>
      <c r="L254" s="78">
        <v>44</v>
      </c>
      <c r="M254" s="78">
        <v>15</v>
      </c>
    </row>
    <row r="255" spans="1:13">
      <c r="A255" s="37" t="s">
        <v>140</v>
      </c>
      <c r="B255" s="37" t="s">
        <v>218</v>
      </c>
      <c r="C255" s="37" t="s">
        <v>349</v>
      </c>
      <c r="D255" s="37" t="s">
        <v>437</v>
      </c>
      <c r="E255" s="50">
        <v>4.8000000000000096</v>
      </c>
      <c r="F255" s="50">
        <v>4.5801526717557302</v>
      </c>
      <c r="G255" s="67">
        <v>7.8289999999999997</v>
      </c>
      <c r="H255" s="78">
        <v>1942.5</v>
      </c>
      <c r="I255" s="78">
        <v>4030.152</v>
      </c>
      <c r="J255" s="49">
        <v>161</v>
      </c>
      <c r="K255" s="78">
        <v>91</v>
      </c>
      <c r="L255" s="78">
        <v>44</v>
      </c>
      <c r="M255" s="78">
        <v>15</v>
      </c>
    </row>
    <row r="256" spans="1:13">
      <c r="A256" s="37" t="s">
        <v>141</v>
      </c>
      <c r="B256" s="37" t="s">
        <v>254</v>
      </c>
      <c r="C256" s="37" t="s">
        <v>338</v>
      </c>
      <c r="D256" s="37" t="s">
        <v>307</v>
      </c>
      <c r="E256" s="50">
        <v>4.8000000000000096</v>
      </c>
      <c r="F256" s="50">
        <v>4.5801526717557302</v>
      </c>
      <c r="G256" s="67">
        <v>6.5377142857142898</v>
      </c>
      <c r="H256" s="78">
        <v>2083.5693333333302</v>
      </c>
      <c r="I256" s="78">
        <v>3328.4877142857099</v>
      </c>
      <c r="J256" s="49">
        <v>161</v>
      </c>
      <c r="K256" s="78">
        <v>91</v>
      </c>
      <c r="L256" s="78">
        <v>44</v>
      </c>
      <c r="M256" s="78">
        <v>15</v>
      </c>
    </row>
    <row r="257" spans="1:13">
      <c r="A257" s="37" t="s">
        <v>141</v>
      </c>
      <c r="B257" s="37" t="s">
        <v>254</v>
      </c>
      <c r="C257" s="37" t="s">
        <v>338</v>
      </c>
      <c r="D257" s="37" t="s">
        <v>308</v>
      </c>
      <c r="E257" s="50">
        <v>4.8000000000000096</v>
      </c>
      <c r="F257" s="50">
        <v>4.5801526717557302</v>
      </c>
      <c r="G257" s="67">
        <v>6.9139999999999997</v>
      </c>
      <c r="H257" s="78">
        <v>2022.135</v>
      </c>
      <c r="I257" s="78">
        <v>3419.3</v>
      </c>
      <c r="J257" s="49">
        <v>161</v>
      </c>
      <c r="K257" s="78">
        <v>91</v>
      </c>
      <c r="L257" s="78">
        <v>44</v>
      </c>
      <c r="M257" s="78">
        <v>15</v>
      </c>
    </row>
    <row r="258" spans="1:13">
      <c r="A258" s="37" t="s">
        <v>141</v>
      </c>
      <c r="B258" s="37" t="s">
        <v>254</v>
      </c>
      <c r="C258" s="37" t="s">
        <v>338</v>
      </c>
      <c r="D258" s="37" t="s">
        <v>309</v>
      </c>
      <c r="E258" s="50">
        <v>4.8000000000000096</v>
      </c>
      <c r="F258" s="50">
        <v>4.5801526717557302</v>
      </c>
      <c r="G258" s="67">
        <v>7.5270000000000001</v>
      </c>
      <c r="H258" s="78">
        <v>2117.84</v>
      </c>
      <c r="I258" s="78">
        <v>3553.8719999999998</v>
      </c>
      <c r="J258" s="49">
        <v>161</v>
      </c>
      <c r="K258" s="78">
        <v>91</v>
      </c>
      <c r="L258" s="78">
        <v>44</v>
      </c>
      <c r="M258" s="78">
        <v>15</v>
      </c>
    </row>
    <row r="259" spans="1:13">
      <c r="A259" s="37" t="s">
        <v>141</v>
      </c>
      <c r="B259" s="37" t="s">
        <v>254</v>
      </c>
      <c r="C259" s="37" t="s">
        <v>338</v>
      </c>
      <c r="D259" s="37" t="s">
        <v>310</v>
      </c>
      <c r="E259" s="50">
        <v>4.8000000000000096</v>
      </c>
      <c r="F259" s="50">
        <v>4.5801526717557302</v>
      </c>
      <c r="G259" s="67">
        <v>7.2569999999999997</v>
      </c>
      <c r="H259" s="78">
        <v>2110.7330000000002</v>
      </c>
      <c r="I259" s="78">
        <v>3438.21</v>
      </c>
      <c r="J259" s="49">
        <v>161</v>
      </c>
      <c r="K259" s="78">
        <v>91</v>
      </c>
      <c r="L259" s="78">
        <v>44</v>
      </c>
      <c r="M259" s="78">
        <v>15</v>
      </c>
    </row>
    <row r="260" spans="1:13">
      <c r="A260" s="37" t="s">
        <v>141</v>
      </c>
      <c r="B260" s="37" t="s">
        <v>254</v>
      </c>
      <c r="C260" s="37" t="s">
        <v>428</v>
      </c>
      <c r="D260" s="37" t="s">
        <v>307</v>
      </c>
      <c r="E260" s="50">
        <v>4.8000000000000096</v>
      </c>
      <c r="F260" s="50">
        <v>4.5801526717557302</v>
      </c>
      <c r="G260" s="67">
        <v>6.7350000000000003</v>
      </c>
      <c r="H260" s="78">
        <v>1901.634</v>
      </c>
      <c r="I260" s="78">
        <v>3541.53</v>
      </c>
      <c r="J260" s="49">
        <v>258</v>
      </c>
      <c r="K260" s="78">
        <v>72.2</v>
      </c>
      <c r="L260" s="78">
        <v>47.6</v>
      </c>
      <c r="M260" s="78">
        <v>8.1999999999999993</v>
      </c>
    </row>
    <row r="261" spans="1:13">
      <c r="A261" s="37" t="s">
        <v>141</v>
      </c>
      <c r="B261" s="37" t="s">
        <v>254</v>
      </c>
      <c r="C261" s="37" t="s">
        <v>428</v>
      </c>
      <c r="D261" s="37" t="s">
        <v>308</v>
      </c>
      <c r="E261" s="50">
        <v>4.8000000000000096</v>
      </c>
      <c r="F261" s="50">
        <v>4.5801526717557302</v>
      </c>
      <c r="G261" s="67">
        <v>6.5549999999999997</v>
      </c>
      <c r="H261" s="78">
        <v>2116.8409999999999</v>
      </c>
      <c r="I261" s="78">
        <v>3096.6439999999998</v>
      </c>
      <c r="J261" s="49">
        <v>258</v>
      </c>
      <c r="K261" s="78">
        <v>72.2</v>
      </c>
      <c r="L261" s="78">
        <v>47.6</v>
      </c>
      <c r="M261" s="78">
        <v>8.1999999999999993</v>
      </c>
    </row>
    <row r="262" spans="1:13">
      <c r="A262" s="37" t="s">
        <v>141</v>
      </c>
      <c r="B262" s="37" t="s">
        <v>254</v>
      </c>
      <c r="C262" s="37" t="s">
        <v>428</v>
      </c>
      <c r="D262" s="37" t="s">
        <v>309</v>
      </c>
      <c r="E262" s="50">
        <v>4.8000000000000096</v>
      </c>
      <c r="F262" s="50">
        <v>4.5801526717557302</v>
      </c>
      <c r="G262" s="67">
        <v>6.8330000000000002</v>
      </c>
      <c r="H262" s="78">
        <v>2249.6999999999998</v>
      </c>
      <c r="I262" s="78">
        <v>3037.1350000000002</v>
      </c>
      <c r="J262" s="49">
        <v>258</v>
      </c>
      <c r="K262" s="78">
        <v>72.2</v>
      </c>
      <c r="L262" s="78">
        <v>47.6</v>
      </c>
      <c r="M262" s="78">
        <v>8.1999999999999993</v>
      </c>
    </row>
    <row r="263" spans="1:13">
      <c r="A263" s="37" t="s">
        <v>141</v>
      </c>
      <c r="B263" s="37" t="s">
        <v>254</v>
      </c>
      <c r="C263" s="37" t="s">
        <v>428</v>
      </c>
      <c r="D263" s="37" t="s">
        <v>310</v>
      </c>
      <c r="E263" s="50">
        <v>4.8000000000000096</v>
      </c>
      <c r="F263" s="50">
        <v>4.5801526717557302</v>
      </c>
      <c r="G263" s="67">
        <v>6.8410000000000002</v>
      </c>
      <c r="H263" s="78">
        <v>1804.2619999999999</v>
      </c>
      <c r="I263" s="78">
        <v>3791.4760000000001</v>
      </c>
      <c r="J263" s="49">
        <v>258</v>
      </c>
      <c r="K263" s="78">
        <v>72.2</v>
      </c>
      <c r="L263" s="78">
        <v>47.6</v>
      </c>
      <c r="M263" s="78">
        <v>8.1999999999999993</v>
      </c>
    </row>
    <row r="264" spans="1:13">
      <c r="A264" s="37" t="s">
        <v>142</v>
      </c>
      <c r="B264" s="37" t="s">
        <v>218</v>
      </c>
      <c r="C264" s="37" t="s">
        <v>349</v>
      </c>
      <c r="D264" s="37" t="s">
        <v>307</v>
      </c>
      <c r="E264" s="50">
        <v>4.8000000000000096</v>
      </c>
      <c r="F264" s="50">
        <v>4.5801526717557302</v>
      </c>
      <c r="G264" s="67">
        <v>4.9139999999999997</v>
      </c>
      <c r="H264" s="78">
        <v>1863.75</v>
      </c>
      <c r="I264" s="78">
        <v>2636.7730000000001</v>
      </c>
      <c r="J264" s="49">
        <v>161</v>
      </c>
      <c r="K264" s="78">
        <v>91</v>
      </c>
      <c r="L264" s="78">
        <v>44</v>
      </c>
      <c r="M264" s="78">
        <v>15</v>
      </c>
    </row>
    <row r="265" spans="1:13">
      <c r="A265" s="37" t="s">
        <v>142</v>
      </c>
      <c r="B265" s="37" t="s">
        <v>218</v>
      </c>
      <c r="C265" s="37" t="s">
        <v>349</v>
      </c>
      <c r="D265" s="37" t="s">
        <v>308</v>
      </c>
      <c r="E265" s="50">
        <v>4.8000000000000096</v>
      </c>
      <c r="F265" s="50">
        <v>4.5801526717557302</v>
      </c>
      <c r="G265" s="67">
        <v>5.14</v>
      </c>
      <c r="H265" s="78">
        <v>2178.933</v>
      </c>
      <c r="I265" s="78">
        <v>2438.94</v>
      </c>
      <c r="J265" s="49">
        <v>161</v>
      </c>
      <c r="K265" s="78">
        <v>91</v>
      </c>
      <c r="L265" s="78">
        <v>44</v>
      </c>
      <c r="M265" s="78">
        <v>15</v>
      </c>
    </row>
    <row r="266" spans="1:13">
      <c r="A266" s="37" t="s">
        <v>142</v>
      </c>
      <c r="B266" s="37" t="s">
        <v>218</v>
      </c>
      <c r="C266" s="37" t="s">
        <v>349</v>
      </c>
      <c r="D266" s="37" t="s">
        <v>309</v>
      </c>
      <c r="E266" s="50">
        <v>4.8000000000000096</v>
      </c>
      <c r="F266" s="50">
        <v>4.5801526717557302</v>
      </c>
      <c r="G266" s="67">
        <v>5.82</v>
      </c>
      <c r="H266" s="78">
        <v>1606.55</v>
      </c>
      <c r="I266" s="78">
        <v>3623.3069999999998</v>
      </c>
      <c r="J266" s="49">
        <v>161</v>
      </c>
      <c r="K266" s="78">
        <v>91</v>
      </c>
      <c r="L266" s="78">
        <v>44</v>
      </c>
      <c r="M266" s="78">
        <v>15</v>
      </c>
    </row>
    <row r="267" spans="1:13">
      <c r="A267" s="37" t="s">
        <v>142</v>
      </c>
      <c r="B267" s="37" t="s">
        <v>218</v>
      </c>
      <c r="C267" s="37" t="s">
        <v>349</v>
      </c>
      <c r="D267" s="37" t="s">
        <v>310</v>
      </c>
      <c r="E267" s="50">
        <v>4.8000000000000096</v>
      </c>
      <c r="F267" s="50">
        <v>4.5801526717557302</v>
      </c>
      <c r="G267" s="67">
        <v>6</v>
      </c>
      <c r="H267" s="78">
        <v>1669.5</v>
      </c>
      <c r="I267" s="78">
        <v>3593.89</v>
      </c>
      <c r="J267" s="49">
        <v>161</v>
      </c>
      <c r="K267" s="78">
        <v>91</v>
      </c>
      <c r="L267" s="78">
        <v>44</v>
      </c>
      <c r="M267" s="78">
        <v>15</v>
      </c>
    </row>
    <row r="268" spans="1:13">
      <c r="A268" s="37" t="s">
        <v>142</v>
      </c>
      <c r="B268" s="37" t="s">
        <v>218</v>
      </c>
      <c r="C268" s="37" t="s">
        <v>349</v>
      </c>
      <c r="D268" s="37" t="s">
        <v>311</v>
      </c>
      <c r="E268" s="50">
        <v>4.8000000000000096</v>
      </c>
      <c r="F268" s="50">
        <v>4.5801526717557302</v>
      </c>
      <c r="G268" s="67">
        <v>6.1879999999999997</v>
      </c>
      <c r="H268" s="78">
        <v>1869</v>
      </c>
      <c r="I268" s="78">
        <v>3310.7310000000002</v>
      </c>
      <c r="J268" s="49">
        <v>161</v>
      </c>
      <c r="K268" s="78">
        <v>91</v>
      </c>
      <c r="L268" s="78">
        <v>44</v>
      </c>
      <c r="M268" s="78">
        <v>15</v>
      </c>
    </row>
    <row r="269" spans="1:13">
      <c r="A269" s="37" t="s">
        <v>142</v>
      </c>
      <c r="B269" s="37" t="s">
        <v>218</v>
      </c>
      <c r="C269" s="37" t="s">
        <v>349</v>
      </c>
      <c r="D269" s="37" t="s">
        <v>437</v>
      </c>
      <c r="E269" s="50">
        <v>4.8000000000000096</v>
      </c>
      <c r="F269" s="50">
        <v>4.5801526717557302</v>
      </c>
      <c r="G269" s="67">
        <v>5.9349999999999996</v>
      </c>
      <c r="H269" s="78">
        <v>1622.25</v>
      </c>
      <c r="I269" s="78">
        <v>3658.31</v>
      </c>
      <c r="J269" s="49">
        <v>161</v>
      </c>
      <c r="K269" s="78">
        <v>91</v>
      </c>
      <c r="L269" s="78">
        <v>44</v>
      </c>
      <c r="M269" s="78">
        <v>15</v>
      </c>
    </row>
    <row r="270" spans="1:13">
      <c r="A270" s="37" t="s">
        <v>144</v>
      </c>
      <c r="B270" s="37" t="s">
        <v>197</v>
      </c>
      <c r="C270" s="37" t="s">
        <v>430</v>
      </c>
      <c r="D270" s="37" t="s">
        <v>307</v>
      </c>
      <c r="E270" s="50">
        <v>4.2</v>
      </c>
      <c r="F270" s="50">
        <v>4.0307101727447199</v>
      </c>
      <c r="G270" s="67">
        <v>6.359</v>
      </c>
      <c r="H270" s="78">
        <v>1925.865</v>
      </c>
      <c r="I270" s="78">
        <v>3684.6350000000002</v>
      </c>
      <c r="J270" s="49">
        <v>161</v>
      </c>
      <c r="K270" s="78">
        <v>91</v>
      </c>
      <c r="L270" s="78">
        <v>44</v>
      </c>
      <c r="M270" s="78">
        <v>15</v>
      </c>
    </row>
    <row r="271" spans="1:13">
      <c r="A271" s="37" t="s">
        <v>144</v>
      </c>
      <c r="B271" s="37" t="s">
        <v>197</v>
      </c>
      <c r="C271" s="37" t="s">
        <v>430</v>
      </c>
      <c r="D271" s="37" t="s">
        <v>308</v>
      </c>
      <c r="E271" s="50">
        <v>4.2</v>
      </c>
      <c r="F271" s="50">
        <v>4.0307101727447199</v>
      </c>
      <c r="G271" s="67">
        <v>6.6120000000000001</v>
      </c>
      <c r="H271" s="78">
        <v>1911</v>
      </c>
      <c r="I271" s="78">
        <v>3460.0970000000002</v>
      </c>
      <c r="J271" s="49">
        <v>161</v>
      </c>
      <c r="K271" s="78">
        <v>91</v>
      </c>
      <c r="L271" s="78">
        <v>44</v>
      </c>
      <c r="M271" s="78">
        <v>15</v>
      </c>
    </row>
    <row r="272" spans="1:13">
      <c r="A272" s="37" t="s">
        <v>144</v>
      </c>
      <c r="B272" s="37" t="s">
        <v>197</v>
      </c>
      <c r="C272" s="37" t="s">
        <v>430</v>
      </c>
      <c r="D272" s="37" t="s">
        <v>309</v>
      </c>
      <c r="E272" s="50">
        <v>4.2</v>
      </c>
      <c r="F272" s="50">
        <v>4.0307101727447199</v>
      </c>
      <c r="G272" s="67">
        <v>7.5510000000000002</v>
      </c>
      <c r="H272" s="78">
        <v>1887.7529999999999</v>
      </c>
      <c r="I272" s="78">
        <v>4000.05</v>
      </c>
      <c r="J272" s="49">
        <v>161</v>
      </c>
      <c r="K272" s="78">
        <v>91</v>
      </c>
      <c r="L272" s="78">
        <v>44</v>
      </c>
      <c r="M272" s="78">
        <v>15</v>
      </c>
    </row>
    <row r="273" spans="1:13">
      <c r="A273" s="37" t="s">
        <v>144</v>
      </c>
      <c r="B273" s="37" t="s">
        <v>197</v>
      </c>
      <c r="C273" s="37" t="s">
        <v>430</v>
      </c>
      <c r="D273" s="37" t="s">
        <v>310</v>
      </c>
      <c r="E273" s="50">
        <v>4.2</v>
      </c>
      <c r="F273" s="50">
        <v>4.0307101727447199</v>
      </c>
      <c r="G273" s="67">
        <v>6.89</v>
      </c>
      <c r="H273" s="78">
        <v>1843.7</v>
      </c>
      <c r="I273" s="78">
        <v>3736.9389999999999</v>
      </c>
      <c r="J273" s="49">
        <v>161</v>
      </c>
      <c r="K273" s="78">
        <v>91</v>
      </c>
      <c r="L273" s="78">
        <v>44</v>
      </c>
      <c r="M273" s="78">
        <v>15</v>
      </c>
    </row>
    <row r="274" spans="1:13">
      <c r="A274" s="37" t="s">
        <v>144</v>
      </c>
      <c r="B274" s="37" t="s">
        <v>197</v>
      </c>
      <c r="C274" s="37" t="s">
        <v>430</v>
      </c>
      <c r="D274" s="37" t="s">
        <v>311</v>
      </c>
      <c r="E274" s="50">
        <v>4.2</v>
      </c>
      <c r="F274" s="50">
        <v>4.0307101727447199</v>
      </c>
      <c r="G274" s="67">
        <v>5.7140000000000004</v>
      </c>
      <c r="H274" s="78">
        <v>1622.8610000000001</v>
      </c>
      <c r="I274" s="78">
        <v>3521.1190000000001</v>
      </c>
      <c r="J274" s="49">
        <v>161</v>
      </c>
      <c r="K274" s="78">
        <v>91</v>
      </c>
      <c r="L274" s="78">
        <v>44</v>
      </c>
      <c r="M274" s="78">
        <v>15</v>
      </c>
    </row>
    <row r="275" spans="1:13">
      <c r="A275" s="37" t="s">
        <v>144</v>
      </c>
      <c r="B275" s="37" t="s">
        <v>197</v>
      </c>
      <c r="C275" s="37" t="s">
        <v>430</v>
      </c>
      <c r="D275" s="37" t="s">
        <v>437</v>
      </c>
      <c r="E275" s="50">
        <v>4.2</v>
      </c>
      <c r="F275" s="50">
        <v>4.0307101727447199</v>
      </c>
      <c r="G275" s="67">
        <v>5.4779999999999998</v>
      </c>
      <c r="H275" s="78">
        <v>1670.5730000000001</v>
      </c>
      <c r="I275" s="78">
        <v>3278.846</v>
      </c>
      <c r="J275" s="49">
        <v>161</v>
      </c>
      <c r="K275" s="78">
        <v>91</v>
      </c>
      <c r="L275" s="78">
        <v>44</v>
      </c>
      <c r="M275" s="78">
        <v>15</v>
      </c>
    </row>
    <row r="276" spans="1:13">
      <c r="A276" s="37" t="s">
        <v>145</v>
      </c>
      <c r="B276" s="37" t="s">
        <v>94</v>
      </c>
      <c r="C276" s="37" t="s">
        <v>357</v>
      </c>
      <c r="D276" s="37" t="s">
        <v>307</v>
      </c>
      <c r="E276" s="50">
        <v>5</v>
      </c>
      <c r="F276" s="50">
        <v>4.76</v>
      </c>
      <c r="G276" s="67">
        <v>7.2080000000000002</v>
      </c>
      <c r="H276" s="78">
        <v>1953</v>
      </c>
      <c r="I276" s="78">
        <v>3690.8159999999998</v>
      </c>
      <c r="J276" s="49">
        <v>161</v>
      </c>
      <c r="K276" s="78">
        <v>91</v>
      </c>
      <c r="L276" s="78">
        <v>44</v>
      </c>
      <c r="M276" s="78">
        <v>15</v>
      </c>
    </row>
    <row r="277" spans="1:13">
      <c r="A277" s="37" t="s">
        <v>145</v>
      </c>
      <c r="B277" s="37" t="s">
        <v>94</v>
      </c>
      <c r="C277" s="37" t="s">
        <v>357</v>
      </c>
      <c r="D277" s="37" t="s">
        <v>308</v>
      </c>
      <c r="E277" s="50">
        <v>5</v>
      </c>
      <c r="F277" s="50">
        <v>4.76</v>
      </c>
      <c r="G277" s="67">
        <v>7.5179999999999998</v>
      </c>
      <c r="H277" s="78">
        <v>1984.5</v>
      </c>
      <c r="I277" s="78">
        <v>3788.5450000000001</v>
      </c>
      <c r="J277" s="49">
        <v>161</v>
      </c>
      <c r="K277" s="78">
        <v>91</v>
      </c>
      <c r="L277" s="78">
        <v>44</v>
      </c>
      <c r="M277" s="78">
        <v>15</v>
      </c>
    </row>
    <row r="278" spans="1:13">
      <c r="A278" s="37" t="s">
        <v>145</v>
      </c>
      <c r="B278" s="37" t="s">
        <v>94</v>
      </c>
      <c r="C278" s="37" t="s">
        <v>357</v>
      </c>
      <c r="D278" s="37" t="s">
        <v>309</v>
      </c>
      <c r="E278" s="50">
        <v>5</v>
      </c>
      <c r="F278" s="50">
        <v>4.76</v>
      </c>
      <c r="G278" s="67">
        <v>7.2649999999999997</v>
      </c>
      <c r="H278" s="78">
        <v>1816.5</v>
      </c>
      <c r="I278" s="78">
        <v>3999.6179999999999</v>
      </c>
      <c r="J278" s="49">
        <v>161</v>
      </c>
      <c r="K278" s="78">
        <v>91</v>
      </c>
      <c r="L278" s="78">
        <v>44</v>
      </c>
      <c r="M278" s="78">
        <v>15</v>
      </c>
    </row>
    <row r="279" spans="1:13">
      <c r="A279" s="37" t="s">
        <v>145</v>
      </c>
      <c r="B279" s="37" t="s">
        <v>94</v>
      </c>
      <c r="C279" s="37" t="s">
        <v>357</v>
      </c>
      <c r="D279" s="37" t="s">
        <v>310</v>
      </c>
      <c r="E279" s="50">
        <v>5</v>
      </c>
      <c r="F279" s="50">
        <v>4.76</v>
      </c>
      <c r="G279" s="67">
        <v>7.6980000000000004</v>
      </c>
      <c r="H279" s="78">
        <v>1863.75</v>
      </c>
      <c r="I279" s="78">
        <v>4130.3599999999997</v>
      </c>
      <c r="J279" s="49">
        <v>161</v>
      </c>
      <c r="K279" s="78">
        <v>91</v>
      </c>
      <c r="L279" s="78">
        <v>44</v>
      </c>
      <c r="M279" s="78">
        <v>15</v>
      </c>
    </row>
    <row r="280" spans="1:13">
      <c r="A280" s="37" t="s">
        <v>145</v>
      </c>
      <c r="B280" s="37" t="s">
        <v>94</v>
      </c>
      <c r="C280" s="37" t="s">
        <v>357</v>
      </c>
      <c r="D280" s="37" t="s">
        <v>311</v>
      </c>
      <c r="E280" s="50">
        <v>5</v>
      </c>
      <c r="F280" s="50">
        <v>4.76</v>
      </c>
      <c r="G280" s="67">
        <v>6.2939999999999996</v>
      </c>
      <c r="H280" s="78">
        <v>2299</v>
      </c>
      <c r="I280" s="78">
        <v>2737.0639999999999</v>
      </c>
      <c r="J280" s="49">
        <v>161</v>
      </c>
      <c r="K280" s="78">
        <v>91</v>
      </c>
      <c r="L280" s="78">
        <v>44</v>
      </c>
      <c r="M280" s="78">
        <v>15</v>
      </c>
    </row>
    <row r="281" spans="1:13">
      <c r="A281" s="37" t="s">
        <v>145</v>
      </c>
      <c r="B281" s="37" t="s">
        <v>94</v>
      </c>
      <c r="C281" s="37" t="s">
        <v>357</v>
      </c>
      <c r="D281" s="37" t="s">
        <v>437</v>
      </c>
      <c r="E281" s="50">
        <v>5</v>
      </c>
      <c r="F281" s="50">
        <v>4.76</v>
      </c>
      <c r="G281" s="67">
        <v>7.1966000000000001</v>
      </c>
      <c r="H281" s="78">
        <v>1983.35</v>
      </c>
      <c r="I281" s="78">
        <v>3669.2806</v>
      </c>
      <c r="J281" s="49">
        <v>161</v>
      </c>
      <c r="K281" s="78">
        <v>91</v>
      </c>
      <c r="L281" s="78">
        <v>44</v>
      </c>
      <c r="M281" s="78">
        <v>15</v>
      </c>
    </row>
    <row r="282" spans="1:13">
      <c r="A282" s="37" t="s">
        <v>146</v>
      </c>
      <c r="B282" s="37" t="s">
        <v>254</v>
      </c>
      <c r="C282" s="37" t="s">
        <v>338</v>
      </c>
      <c r="D282" s="37" t="s">
        <v>307</v>
      </c>
      <c r="E282" s="50">
        <v>4.8000000000000096</v>
      </c>
      <c r="F282" s="50">
        <v>4.5801526717557302</v>
      </c>
      <c r="G282" s="67">
        <v>5.2569999999999997</v>
      </c>
      <c r="H282" s="78">
        <v>1638</v>
      </c>
      <c r="I282" s="78">
        <v>3209</v>
      </c>
      <c r="J282" s="49">
        <v>161</v>
      </c>
      <c r="K282" s="78">
        <v>91</v>
      </c>
      <c r="L282" s="78">
        <v>44</v>
      </c>
      <c r="M282" s="78">
        <v>15</v>
      </c>
    </row>
    <row r="283" spans="1:13">
      <c r="A283" s="37" t="s">
        <v>146</v>
      </c>
      <c r="B283" s="37" t="s">
        <v>254</v>
      </c>
      <c r="C283" s="37" t="s">
        <v>338</v>
      </c>
      <c r="D283" s="37" t="s">
        <v>308</v>
      </c>
      <c r="E283" s="50">
        <v>4.8000000000000096</v>
      </c>
      <c r="F283" s="50">
        <v>4.5801526717557302</v>
      </c>
      <c r="G283" s="67">
        <v>4.8239999999999998</v>
      </c>
      <c r="H283" s="78">
        <v>2021</v>
      </c>
      <c r="I283" s="78">
        <v>2387</v>
      </c>
      <c r="J283" s="49">
        <v>161</v>
      </c>
      <c r="K283" s="78">
        <v>91</v>
      </c>
      <c r="L283" s="78">
        <v>44</v>
      </c>
      <c r="M283" s="78">
        <v>15</v>
      </c>
    </row>
    <row r="284" spans="1:13">
      <c r="A284" s="37" t="s">
        <v>146</v>
      </c>
      <c r="B284" s="37" t="s">
        <v>254</v>
      </c>
      <c r="C284" s="37" t="s">
        <v>338</v>
      </c>
      <c r="D284" s="37" t="s">
        <v>309</v>
      </c>
      <c r="E284" s="50">
        <v>4.8000000000000096</v>
      </c>
      <c r="F284" s="50">
        <v>4.5801526717557302</v>
      </c>
      <c r="G284" s="67">
        <v>4.7350000000000003</v>
      </c>
      <c r="H284" s="78">
        <v>1785</v>
      </c>
      <c r="I284" s="78">
        <v>2651</v>
      </c>
      <c r="J284" s="49">
        <v>161</v>
      </c>
      <c r="K284" s="78">
        <v>91</v>
      </c>
      <c r="L284" s="78">
        <v>44</v>
      </c>
      <c r="M284" s="78">
        <v>15</v>
      </c>
    </row>
    <row r="285" spans="1:13">
      <c r="A285" s="37" t="s">
        <v>146</v>
      </c>
      <c r="B285" s="37" t="s">
        <v>254</v>
      </c>
      <c r="C285" s="37" t="s">
        <v>338</v>
      </c>
      <c r="D285" s="37" t="s">
        <v>310</v>
      </c>
      <c r="E285" s="50">
        <v>4.8000000000000096</v>
      </c>
      <c r="F285" s="50">
        <v>4.5801526717557302</v>
      </c>
      <c r="G285" s="67">
        <v>5.306</v>
      </c>
      <c r="H285" s="78">
        <v>1675</v>
      </c>
      <c r="I285" s="78">
        <v>3618</v>
      </c>
      <c r="J285" s="49">
        <v>161</v>
      </c>
      <c r="K285" s="78">
        <v>91</v>
      </c>
      <c r="L285" s="78">
        <v>44</v>
      </c>
      <c r="M285" s="78">
        <v>15</v>
      </c>
    </row>
    <row r="286" spans="1:13">
      <c r="A286" s="37" t="s">
        <v>146</v>
      </c>
      <c r="B286" s="37" t="s">
        <v>254</v>
      </c>
      <c r="C286" s="37" t="s">
        <v>338</v>
      </c>
      <c r="D286" s="37" t="s">
        <v>311</v>
      </c>
      <c r="E286" s="50">
        <v>4.8000000000000096</v>
      </c>
      <c r="F286" s="50">
        <v>4.5801526717557302</v>
      </c>
      <c r="G286" s="67">
        <v>4.694</v>
      </c>
      <c r="H286" s="78">
        <v>1691</v>
      </c>
      <c r="I286" s="78">
        <v>2777</v>
      </c>
      <c r="J286" s="49">
        <v>161</v>
      </c>
      <c r="K286" s="78">
        <v>91</v>
      </c>
      <c r="L286" s="78">
        <v>44</v>
      </c>
      <c r="M286" s="78">
        <v>15</v>
      </c>
    </row>
    <row r="287" spans="1:13" ht="14.4">
      <c r="A287" s="37" t="s">
        <v>146</v>
      </c>
      <c r="B287" s="37" t="s">
        <v>254</v>
      </c>
      <c r="C287" s="37" t="s">
        <v>585</v>
      </c>
      <c r="D287" s="37" t="s">
        <v>437</v>
      </c>
      <c r="E287" s="50">
        <v>4.8000000000000096</v>
      </c>
      <c r="F287" s="50">
        <v>4.5801526717557302</v>
      </c>
      <c r="G287" s="67">
        <v>4.335</v>
      </c>
      <c r="H287" s="78">
        <v>1769</v>
      </c>
      <c r="I287" s="78">
        <v>2450</v>
      </c>
      <c r="J287" s="49">
        <v>161</v>
      </c>
      <c r="K287" s="78">
        <v>91</v>
      </c>
      <c r="L287" s="78">
        <v>44</v>
      </c>
      <c r="M287" s="78">
        <v>15</v>
      </c>
    </row>
    <row r="288" spans="1:13">
      <c r="A288" s="37" t="s">
        <v>146</v>
      </c>
      <c r="B288" s="37" t="s">
        <v>255</v>
      </c>
      <c r="C288" s="37" t="s">
        <v>343</v>
      </c>
      <c r="D288" s="37" t="s">
        <v>307</v>
      </c>
      <c r="E288" s="50">
        <v>4.8000000000000096</v>
      </c>
      <c r="F288" s="50">
        <v>4.5801526717557302</v>
      </c>
      <c r="G288" s="67">
        <v>6.367</v>
      </c>
      <c r="H288" s="78">
        <v>1888</v>
      </c>
      <c r="I288" s="78">
        <v>3378</v>
      </c>
      <c r="J288" s="49">
        <v>144</v>
      </c>
      <c r="K288" s="78">
        <v>107.8</v>
      </c>
      <c r="L288" s="78">
        <v>43.95</v>
      </c>
      <c r="M288" s="78">
        <v>60.3</v>
      </c>
    </row>
    <row r="289" spans="1:13">
      <c r="A289" s="37" t="s">
        <v>146</v>
      </c>
      <c r="B289" s="37" t="s">
        <v>255</v>
      </c>
      <c r="C289" s="37" t="s">
        <v>343</v>
      </c>
      <c r="D289" s="37" t="s">
        <v>308</v>
      </c>
      <c r="E289" s="50">
        <v>4.8000000000000096</v>
      </c>
      <c r="F289" s="50">
        <v>4.5801526717557302</v>
      </c>
      <c r="G289" s="67">
        <v>7.641</v>
      </c>
      <c r="H289" s="78">
        <v>2587</v>
      </c>
      <c r="I289" s="78">
        <v>2954</v>
      </c>
      <c r="J289" s="49">
        <v>144</v>
      </c>
      <c r="K289" s="78">
        <v>107.8</v>
      </c>
      <c r="L289" s="78">
        <v>43.95</v>
      </c>
      <c r="M289" s="78">
        <v>60.3</v>
      </c>
    </row>
    <row r="290" spans="1:13">
      <c r="A290" s="37" t="s">
        <v>146</v>
      </c>
      <c r="B290" s="37" t="s">
        <v>255</v>
      </c>
      <c r="C290" s="37" t="s">
        <v>343</v>
      </c>
      <c r="D290" s="37" t="s">
        <v>309</v>
      </c>
      <c r="E290" s="50">
        <v>4.8000000000000096</v>
      </c>
      <c r="F290" s="50">
        <v>4.5801526717557302</v>
      </c>
      <c r="G290" s="67">
        <v>6.7270000000000003</v>
      </c>
      <c r="H290" s="78">
        <v>2478</v>
      </c>
      <c r="I290" s="78">
        <v>2715</v>
      </c>
      <c r="J290" s="49">
        <v>144</v>
      </c>
      <c r="K290" s="78">
        <v>107.8</v>
      </c>
      <c r="L290" s="78">
        <v>43.95</v>
      </c>
      <c r="M290" s="78">
        <v>60.3</v>
      </c>
    </row>
    <row r="291" spans="1:13">
      <c r="A291" s="37" t="s">
        <v>146</v>
      </c>
      <c r="B291" s="37" t="s">
        <v>255</v>
      </c>
      <c r="C291" s="37" t="s">
        <v>343</v>
      </c>
      <c r="D291" s="37" t="s">
        <v>310</v>
      </c>
      <c r="E291" s="50">
        <v>4.8000000000000096</v>
      </c>
      <c r="F291" s="50">
        <v>4.5801526717557302</v>
      </c>
      <c r="G291" s="67">
        <v>5.8529999999999998</v>
      </c>
      <c r="H291" s="78">
        <v>2089</v>
      </c>
      <c r="I291" s="78">
        <v>2801</v>
      </c>
      <c r="J291" s="49">
        <v>144</v>
      </c>
      <c r="K291" s="78">
        <v>107.8</v>
      </c>
      <c r="L291" s="78">
        <v>43.95</v>
      </c>
      <c r="M291" s="78">
        <v>60.3</v>
      </c>
    </row>
    <row r="292" spans="1:13">
      <c r="A292" s="37" t="s">
        <v>146</v>
      </c>
      <c r="B292" s="37" t="s">
        <v>255</v>
      </c>
      <c r="C292" s="37" t="s">
        <v>343</v>
      </c>
      <c r="D292" s="37" t="s">
        <v>311</v>
      </c>
      <c r="E292" s="50">
        <v>4.8000000000000096</v>
      </c>
      <c r="F292" s="50">
        <v>4.5801526717557302</v>
      </c>
      <c r="G292" s="67">
        <v>6.0570000000000004</v>
      </c>
      <c r="H292" s="78">
        <v>2470</v>
      </c>
      <c r="I292" s="78">
        <v>2452</v>
      </c>
      <c r="J292" s="49">
        <v>144</v>
      </c>
      <c r="K292" s="78">
        <v>107.8</v>
      </c>
      <c r="L292" s="78">
        <v>43.95</v>
      </c>
      <c r="M292" s="78">
        <v>60.3</v>
      </c>
    </row>
    <row r="293" spans="1:13">
      <c r="A293" s="37" t="s">
        <v>146</v>
      </c>
      <c r="B293" s="37" t="s">
        <v>255</v>
      </c>
      <c r="C293" s="37" t="s">
        <v>343</v>
      </c>
      <c r="D293" s="37" t="s">
        <v>437</v>
      </c>
      <c r="E293" s="50">
        <v>4.7999999999999901</v>
      </c>
      <c r="F293" s="50">
        <v>4.5801526717557302</v>
      </c>
      <c r="G293" s="67">
        <v>6.3840000000000003</v>
      </c>
      <c r="H293" s="78">
        <v>2791</v>
      </c>
      <c r="I293" s="78">
        <v>2287</v>
      </c>
      <c r="J293" s="49">
        <v>144</v>
      </c>
      <c r="K293" s="78">
        <v>107.8</v>
      </c>
      <c r="L293" s="78">
        <v>43.95</v>
      </c>
      <c r="M293" s="78">
        <v>60.3</v>
      </c>
    </row>
    <row r="294" spans="1:13">
      <c r="A294" s="37" t="s">
        <v>147</v>
      </c>
      <c r="B294" s="37" t="s">
        <v>218</v>
      </c>
      <c r="C294" s="37" t="s">
        <v>349</v>
      </c>
      <c r="D294" s="37" t="s">
        <v>307</v>
      </c>
      <c r="E294" s="50">
        <v>4.8000000000000096</v>
      </c>
      <c r="F294" s="50">
        <v>4.5801526717557302</v>
      </c>
      <c r="G294" s="67">
        <v>5.1429999999999998</v>
      </c>
      <c r="H294" s="78">
        <v>2160.9380000000001</v>
      </c>
      <c r="I294" s="78">
        <v>2379.9189999999999</v>
      </c>
      <c r="J294" s="49">
        <v>161</v>
      </c>
      <c r="K294" s="78">
        <v>91</v>
      </c>
      <c r="L294" s="78">
        <v>44</v>
      </c>
      <c r="M294" s="78">
        <v>15</v>
      </c>
    </row>
    <row r="295" spans="1:13">
      <c r="A295" s="37" t="s">
        <v>147</v>
      </c>
      <c r="B295" s="37" t="s">
        <v>218</v>
      </c>
      <c r="C295" s="37" t="s">
        <v>349</v>
      </c>
      <c r="D295" s="37" t="s">
        <v>308</v>
      </c>
      <c r="E295" s="50">
        <v>4.8000000000000096</v>
      </c>
      <c r="F295" s="50">
        <v>4.5801526717557302</v>
      </c>
      <c r="G295" s="67">
        <v>5.78</v>
      </c>
      <c r="H295" s="78">
        <v>2352.0650000000001</v>
      </c>
      <c r="I295" s="78">
        <v>2457.2420000000002</v>
      </c>
      <c r="J295" s="49">
        <v>161</v>
      </c>
      <c r="K295" s="78">
        <v>91</v>
      </c>
      <c r="L295" s="78">
        <v>44</v>
      </c>
      <c r="M295" s="78">
        <v>15</v>
      </c>
    </row>
    <row r="296" spans="1:13">
      <c r="A296" s="37" t="s">
        <v>147</v>
      </c>
      <c r="B296" s="37" t="s">
        <v>218</v>
      </c>
      <c r="C296" s="37" t="s">
        <v>349</v>
      </c>
      <c r="D296" s="37" t="s">
        <v>309</v>
      </c>
      <c r="E296" s="50">
        <v>4.8000000000000096</v>
      </c>
      <c r="F296" s="50">
        <v>4.5801526717557302</v>
      </c>
      <c r="G296" s="67">
        <v>6.1879999999999997</v>
      </c>
      <c r="H296" s="78">
        <v>2126.614</v>
      </c>
      <c r="I296" s="78">
        <v>2909.6750000000002</v>
      </c>
      <c r="J296" s="49">
        <v>161</v>
      </c>
      <c r="K296" s="78">
        <v>91</v>
      </c>
      <c r="L296" s="78">
        <v>44</v>
      </c>
      <c r="M296" s="78">
        <v>15</v>
      </c>
    </row>
    <row r="297" spans="1:13">
      <c r="A297" s="37" t="s">
        <v>147</v>
      </c>
      <c r="B297" s="37" t="s">
        <v>218</v>
      </c>
      <c r="C297" s="37" t="s">
        <v>349</v>
      </c>
      <c r="D297" s="37" t="s">
        <v>310</v>
      </c>
      <c r="E297" s="50">
        <v>4.8000000000000096</v>
      </c>
      <c r="F297" s="50">
        <v>4.5801526717557302</v>
      </c>
      <c r="G297" s="67">
        <v>6.016</v>
      </c>
      <c r="H297" s="78">
        <v>2246.1109999999999</v>
      </c>
      <c r="I297" s="78">
        <v>2678.5520000000001</v>
      </c>
      <c r="J297" s="49">
        <v>161</v>
      </c>
      <c r="K297" s="78">
        <v>91</v>
      </c>
      <c r="L297" s="78">
        <v>44</v>
      </c>
      <c r="M297" s="78">
        <v>15</v>
      </c>
    </row>
    <row r="298" spans="1:13">
      <c r="A298" s="37" t="s">
        <v>148</v>
      </c>
      <c r="B298" s="37" t="s">
        <v>218</v>
      </c>
      <c r="C298" s="37" t="s">
        <v>349</v>
      </c>
      <c r="D298" s="37" t="s">
        <v>307</v>
      </c>
      <c r="E298" s="50">
        <v>4.8000000000000096</v>
      </c>
      <c r="F298" s="50">
        <v>4.5801526717557302</v>
      </c>
      <c r="G298" s="67">
        <v>5.51</v>
      </c>
      <c r="H298" s="78">
        <v>2100.6990000000001</v>
      </c>
      <c r="I298" s="78">
        <v>2623.0340000000001</v>
      </c>
      <c r="J298" s="49">
        <v>161</v>
      </c>
      <c r="K298" s="78">
        <v>91</v>
      </c>
      <c r="L298" s="78">
        <v>44</v>
      </c>
      <c r="M298" s="78">
        <v>15</v>
      </c>
    </row>
    <row r="299" spans="1:13">
      <c r="A299" s="37" t="s">
        <v>148</v>
      </c>
      <c r="B299" s="37" t="s">
        <v>218</v>
      </c>
      <c r="C299" s="37" t="s">
        <v>349</v>
      </c>
      <c r="D299" s="37" t="s">
        <v>308</v>
      </c>
      <c r="E299" s="50">
        <v>4.8000000000000096</v>
      </c>
      <c r="F299" s="50">
        <v>4.5801526717557302</v>
      </c>
      <c r="G299" s="67">
        <v>5.3959999999999999</v>
      </c>
      <c r="H299" s="78">
        <v>2045.0740000000001</v>
      </c>
      <c r="I299" s="78">
        <v>2638.4960000000001</v>
      </c>
      <c r="J299" s="49">
        <v>161</v>
      </c>
      <c r="K299" s="78">
        <v>91</v>
      </c>
      <c r="L299" s="78">
        <v>44</v>
      </c>
      <c r="M299" s="78">
        <v>15</v>
      </c>
    </row>
    <row r="300" spans="1:13">
      <c r="A300" s="37" t="s">
        <v>148</v>
      </c>
      <c r="B300" s="37" t="s">
        <v>218</v>
      </c>
      <c r="C300" s="37" t="s">
        <v>349</v>
      </c>
      <c r="D300" s="37" t="s">
        <v>309</v>
      </c>
      <c r="E300" s="50">
        <v>4.8000000000000096</v>
      </c>
      <c r="F300" s="50">
        <v>4.5801526717557302</v>
      </c>
      <c r="G300" s="67">
        <v>5.8369999999999997</v>
      </c>
      <c r="H300" s="78">
        <v>2132.3870000000002</v>
      </c>
      <c r="I300" s="78">
        <v>2737.1840000000002</v>
      </c>
      <c r="J300" s="49">
        <v>161</v>
      </c>
      <c r="K300" s="78">
        <v>91</v>
      </c>
      <c r="L300" s="78">
        <v>44</v>
      </c>
      <c r="M300" s="78">
        <v>15</v>
      </c>
    </row>
    <row r="301" spans="1:13">
      <c r="A301" s="37" t="s">
        <v>148</v>
      </c>
      <c r="B301" s="37" t="s">
        <v>218</v>
      </c>
      <c r="C301" s="37" t="s">
        <v>349</v>
      </c>
      <c r="D301" s="37" t="s">
        <v>310</v>
      </c>
      <c r="E301" s="50">
        <v>4.8000000000000096</v>
      </c>
      <c r="F301" s="50">
        <v>4.5801526717557302</v>
      </c>
      <c r="G301" s="67">
        <v>5.7220000000000004</v>
      </c>
      <c r="H301" s="78">
        <v>2265.415</v>
      </c>
      <c r="I301" s="78">
        <v>1643.164</v>
      </c>
      <c r="J301" s="49">
        <v>161</v>
      </c>
      <c r="K301" s="78">
        <v>91</v>
      </c>
      <c r="L301" s="78">
        <v>44</v>
      </c>
      <c r="M301" s="78">
        <v>15</v>
      </c>
    </row>
    <row r="302" spans="1:13">
      <c r="A302" s="37" t="s">
        <v>148</v>
      </c>
      <c r="B302" s="37" t="s">
        <v>218</v>
      </c>
      <c r="C302" s="37" t="s">
        <v>349</v>
      </c>
      <c r="D302" s="37" t="s">
        <v>311</v>
      </c>
      <c r="E302" s="50">
        <v>4.8000000000000096</v>
      </c>
      <c r="F302" s="50">
        <v>4.5801526717557302</v>
      </c>
      <c r="G302" s="67">
        <v>6.5309999999999997</v>
      </c>
      <c r="H302" s="78">
        <v>2255.837</v>
      </c>
      <c r="I302" s="78">
        <v>2894.9839999999999</v>
      </c>
      <c r="J302" s="49">
        <v>161</v>
      </c>
      <c r="K302" s="78">
        <v>91</v>
      </c>
      <c r="L302" s="78">
        <v>44</v>
      </c>
      <c r="M302" s="78">
        <v>15</v>
      </c>
    </row>
    <row r="303" spans="1:13">
      <c r="A303" s="37" t="s">
        <v>148</v>
      </c>
      <c r="B303" s="37" t="s">
        <v>218</v>
      </c>
      <c r="C303" s="37" t="s">
        <v>349</v>
      </c>
      <c r="D303" s="37" t="s">
        <v>437</v>
      </c>
      <c r="E303" s="50">
        <v>4.8000000000000096</v>
      </c>
      <c r="F303" s="50">
        <v>4.5801526717557302</v>
      </c>
      <c r="G303" s="67">
        <v>5.5919999999999996</v>
      </c>
      <c r="H303" s="78">
        <v>2133.3609999999999</v>
      </c>
      <c r="I303" s="78">
        <v>2621.14</v>
      </c>
      <c r="J303" s="49">
        <v>161</v>
      </c>
      <c r="K303" s="78">
        <v>91</v>
      </c>
      <c r="L303" s="78">
        <v>44</v>
      </c>
      <c r="M303" s="78">
        <v>15</v>
      </c>
    </row>
    <row r="304" spans="1:13">
      <c r="A304" s="37" t="s">
        <v>148</v>
      </c>
      <c r="B304" s="37" t="s">
        <v>218</v>
      </c>
      <c r="C304" s="37" t="s">
        <v>435</v>
      </c>
      <c r="D304" s="37" t="s">
        <v>307</v>
      </c>
      <c r="E304" s="50">
        <v>4.8000000000000096</v>
      </c>
      <c r="F304" s="50">
        <v>4.5801526717557302</v>
      </c>
      <c r="G304" s="67">
        <v>7.8369999999999997</v>
      </c>
      <c r="H304" s="78">
        <v>1968.75</v>
      </c>
      <c r="I304" s="78">
        <v>3980.5639999999999</v>
      </c>
      <c r="J304" s="49">
        <v>258</v>
      </c>
      <c r="K304" s="78">
        <v>72.2</v>
      </c>
      <c r="L304" s="78">
        <v>47.6</v>
      </c>
      <c r="M304" s="78">
        <v>8.1999999999999993</v>
      </c>
    </row>
    <row r="305" spans="1:13">
      <c r="A305" s="37" t="s">
        <v>148</v>
      </c>
      <c r="B305" s="37" t="s">
        <v>218</v>
      </c>
      <c r="C305" s="37" t="s">
        <v>435</v>
      </c>
      <c r="D305" s="37" t="s">
        <v>308</v>
      </c>
      <c r="E305" s="50">
        <v>4.8000000000000096</v>
      </c>
      <c r="F305" s="50">
        <v>4.5801526717557302</v>
      </c>
      <c r="G305" s="67">
        <v>8.718</v>
      </c>
      <c r="H305" s="78">
        <v>2005.5</v>
      </c>
      <c r="I305" s="78">
        <v>3260.4</v>
      </c>
      <c r="J305" s="49">
        <v>258</v>
      </c>
      <c r="K305" s="78">
        <v>72.2</v>
      </c>
      <c r="L305" s="78">
        <v>47.6</v>
      </c>
      <c r="M305" s="78">
        <v>8.1999999999999993</v>
      </c>
    </row>
    <row r="306" spans="1:13">
      <c r="A306" s="37" t="s">
        <v>148</v>
      </c>
      <c r="B306" s="37" t="s">
        <v>218</v>
      </c>
      <c r="C306" s="37" t="s">
        <v>435</v>
      </c>
      <c r="D306" s="37" t="s">
        <v>309</v>
      </c>
      <c r="E306" s="50">
        <v>4.8000000000000096</v>
      </c>
      <c r="F306" s="50">
        <v>4.5801526717557302</v>
      </c>
      <c r="G306" s="67">
        <v>6.4729999999999999</v>
      </c>
      <c r="H306" s="78">
        <v>2255.0030000000002</v>
      </c>
      <c r="I306" s="78">
        <v>2870.7139999999999</v>
      </c>
      <c r="J306" s="49">
        <v>258</v>
      </c>
      <c r="K306" s="78">
        <v>72.2</v>
      </c>
      <c r="L306" s="78">
        <v>47.6</v>
      </c>
      <c r="M306" s="78">
        <v>8.1999999999999993</v>
      </c>
    </row>
    <row r="307" spans="1:13">
      <c r="A307" s="37" t="s">
        <v>148</v>
      </c>
      <c r="B307" s="37" t="s">
        <v>218</v>
      </c>
      <c r="C307" s="37" t="s">
        <v>435</v>
      </c>
      <c r="D307" s="37" t="s">
        <v>310</v>
      </c>
      <c r="E307" s="50">
        <v>4.8000000000000096</v>
      </c>
      <c r="F307" s="50">
        <v>4.5801526717557302</v>
      </c>
      <c r="G307" s="67">
        <v>4.694</v>
      </c>
      <c r="H307" s="78">
        <v>1991.4</v>
      </c>
      <c r="I307" s="78">
        <v>4061</v>
      </c>
      <c r="J307" s="49">
        <v>258</v>
      </c>
      <c r="K307" s="78">
        <v>72.2</v>
      </c>
      <c r="L307" s="78">
        <v>47.6</v>
      </c>
      <c r="M307" s="78">
        <v>8.1999999999999993</v>
      </c>
    </row>
    <row r="308" spans="1:13">
      <c r="A308" s="37" t="s">
        <v>148</v>
      </c>
      <c r="B308" s="37" t="s">
        <v>218</v>
      </c>
      <c r="C308" s="37" t="s">
        <v>435</v>
      </c>
      <c r="D308" s="37" t="s">
        <v>311</v>
      </c>
      <c r="E308" s="50">
        <v>4.8000000000000096</v>
      </c>
      <c r="F308" s="50">
        <v>4.5801526717557302</v>
      </c>
      <c r="G308" s="67">
        <v>7.3879999999999999</v>
      </c>
      <c r="H308" s="78">
        <v>2266.7240000000002</v>
      </c>
      <c r="I308" s="78">
        <v>3259.221</v>
      </c>
      <c r="J308" s="49">
        <v>258</v>
      </c>
      <c r="K308" s="78">
        <v>72.2</v>
      </c>
      <c r="L308" s="78">
        <v>47.6</v>
      </c>
      <c r="M308" s="78">
        <v>8.1999999999999993</v>
      </c>
    </row>
    <row r="309" spans="1:13">
      <c r="A309" s="37" t="s">
        <v>148</v>
      </c>
      <c r="B309" s="37" t="s">
        <v>218</v>
      </c>
      <c r="C309" s="37" t="s">
        <v>435</v>
      </c>
      <c r="D309" s="37" t="s">
        <v>437</v>
      </c>
      <c r="E309" s="50">
        <v>4.8000000000000096</v>
      </c>
      <c r="F309" s="50">
        <v>4.5801526717557302</v>
      </c>
      <c r="G309" s="67">
        <v>7.4690000000000003</v>
      </c>
      <c r="H309" s="78">
        <v>2402.5</v>
      </c>
      <c r="I309" s="78">
        <v>3106.42</v>
      </c>
      <c r="J309" s="49">
        <v>258</v>
      </c>
      <c r="K309" s="78">
        <v>72.2</v>
      </c>
      <c r="L309" s="78">
        <v>47.6</v>
      </c>
      <c r="M309" s="78">
        <v>8.1999999999999993</v>
      </c>
    </row>
    <row r="310" spans="1:13">
      <c r="A310" s="37" t="s">
        <v>149</v>
      </c>
      <c r="B310" s="37" t="s">
        <v>218</v>
      </c>
      <c r="C310" s="37" t="s">
        <v>349</v>
      </c>
      <c r="D310" s="37" t="s">
        <v>307</v>
      </c>
      <c r="E310" s="50">
        <v>4.8000000000000096</v>
      </c>
      <c r="F310" s="50">
        <v>4.5801526717557302</v>
      </c>
      <c r="G310" s="67">
        <v>6.3019999999999996</v>
      </c>
      <c r="H310" s="78">
        <v>1769.25</v>
      </c>
      <c r="I310" s="78">
        <v>3561.9850000000001</v>
      </c>
      <c r="J310" s="49">
        <v>161</v>
      </c>
      <c r="K310" s="78">
        <v>91</v>
      </c>
      <c r="L310" s="78">
        <v>44</v>
      </c>
      <c r="M310" s="78">
        <v>15</v>
      </c>
    </row>
    <row r="311" spans="1:13">
      <c r="A311" s="37" t="s">
        <v>149</v>
      </c>
      <c r="B311" s="37" t="s">
        <v>218</v>
      </c>
      <c r="C311" s="37" t="s">
        <v>349</v>
      </c>
      <c r="D311" s="37" t="s">
        <v>308</v>
      </c>
      <c r="E311" s="50">
        <v>4.8000000000000096</v>
      </c>
      <c r="F311" s="50">
        <v>4.5801526717557302</v>
      </c>
      <c r="G311" s="67">
        <v>6.3760000000000003</v>
      </c>
      <c r="H311" s="78">
        <v>1795.5</v>
      </c>
      <c r="I311" s="78">
        <v>3550.8270000000002</v>
      </c>
      <c r="J311" s="49">
        <v>161</v>
      </c>
      <c r="K311" s="78">
        <v>91</v>
      </c>
      <c r="L311" s="78">
        <v>44</v>
      </c>
      <c r="M311" s="78">
        <v>15</v>
      </c>
    </row>
    <row r="312" spans="1:13">
      <c r="A312" s="37" t="s">
        <v>149</v>
      </c>
      <c r="B312" s="37" t="s">
        <v>218</v>
      </c>
      <c r="C312" s="37" t="s">
        <v>349</v>
      </c>
      <c r="D312" s="37" t="s">
        <v>309</v>
      </c>
      <c r="E312" s="50">
        <v>4.8000000000000096</v>
      </c>
      <c r="F312" s="50">
        <v>4.5801526717557302</v>
      </c>
      <c r="G312" s="67">
        <v>6.6609999999999996</v>
      </c>
      <c r="H312" s="78">
        <v>1979.25</v>
      </c>
      <c r="I312" s="78">
        <v>3365.529</v>
      </c>
      <c r="J312" s="49">
        <v>161</v>
      </c>
      <c r="K312" s="78">
        <v>91</v>
      </c>
      <c r="L312" s="78">
        <v>44</v>
      </c>
      <c r="M312" s="78">
        <v>15</v>
      </c>
    </row>
    <row r="313" spans="1:13">
      <c r="A313" s="37" t="s">
        <v>149</v>
      </c>
      <c r="B313" s="37" t="s">
        <v>218</v>
      </c>
      <c r="C313" s="37" t="s">
        <v>349</v>
      </c>
      <c r="D313" s="37" t="s">
        <v>310</v>
      </c>
      <c r="E313" s="50">
        <v>4.8000000000000096</v>
      </c>
      <c r="F313" s="50">
        <v>4.5801526717557302</v>
      </c>
      <c r="G313" s="67">
        <v>6.2530000000000001</v>
      </c>
      <c r="H313" s="78">
        <v>1884.75</v>
      </c>
      <c r="I313" s="78">
        <v>2217.7139999999999</v>
      </c>
      <c r="J313" s="49">
        <v>161</v>
      </c>
      <c r="K313" s="78">
        <v>91</v>
      </c>
      <c r="L313" s="78">
        <v>44</v>
      </c>
      <c r="M313" s="78">
        <v>15</v>
      </c>
    </row>
    <row r="314" spans="1:13">
      <c r="A314" s="37" t="s">
        <v>149</v>
      </c>
      <c r="B314" s="37" t="s">
        <v>218</v>
      </c>
      <c r="C314" s="37" t="s">
        <v>349</v>
      </c>
      <c r="D314" s="37" t="s">
        <v>311</v>
      </c>
      <c r="E314" s="50">
        <v>4.8000000000000096</v>
      </c>
      <c r="F314" s="50">
        <v>4.5801526717557302</v>
      </c>
      <c r="G314" s="67">
        <v>6.4409999999999998</v>
      </c>
      <c r="H314" s="78">
        <v>1816.5</v>
      </c>
      <c r="I314" s="78">
        <v>3545.7289999999998</v>
      </c>
      <c r="J314" s="49">
        <v>161</v>
      </c>
      <c r="K314" s="78">
        <v>91</v>
      </c>
      <c r="L314" s="78">
        <v>44</v>
      </c>
      <c r="M314" s="78">
        <v>15</v>
      </c>
    </row>
    <row r="315" spans="1:13">
      <c r="A315" s="37" t="s">
        <v>149</v>
      </c>
      <c r="B315" s="37" t="s">
        <v>218</v>
      </c>
      <c r="C315" s="37" t="s">
        <v>349</v>
      </c>
      <c r="D315" s="37" t="s">
        <v>437</v>
      </c>
      <c r="E315" s="50">
        <v>4.8000000000000096</v>
      </c>
      <c r="F315" s="50">
        <v>4.5801526717557302</v>
      </c>
      <c r="G315" s="67">
        <v>6.2119999999999997</v>
      </c>
      <c r="H315" s="78">
        <v>2079</v>
      </c>
      <c r="I315" s="78">
        <v>3950.0940000000001</v>
      </c>
      <c r="J315" s="49">
        <v>161</v>
      </c>
      <c r="K315" s="78">
        <v>91</v>
      </c>
      <c r="L315" s="78">
        <v>44</v>
      </c>
      <c r="M315" s="78">
        <v>15</v>
      </c>
    </row>
  </sheetData>
  <sheetProtection formatCells="0" insertHyperlinks="0" autoFilter="0"/>
  <mergeCells count="33">
    <mergeCell ref="A1:A2"/>
    <mergeCell ref="B1:B2"/>
    <mergeCell ref="C1:C2"/>
    <mergeCell ref="B26:B43"/>
    <mergeCell ref="L1:L2"/>
    <mergeCell ref="M1:M2"/>
    <mergeCell ref="B3:B4"/>
    <mergeCell ref="B6:B25"/>
    <mergeCell ref="D1:D2"/>
    <mergeCell ref="E1:E2"/>
    <mergeCell ref="F1:F2"/>
    <mergeCell ref="G1:I1"/>
    <mergeCell ref="J1:J2"/>
    <mergeCell ref="K1:K2"/>
    <mergeCell ref="B67:B69"/>
    <mergeCell ref="B70:B72"/>
    <mergeCell ref="B44:B48"/>
    <mergeCell ref="B49:B54"/>
    <mergeCell ref="B60:B63"/>
    <mergeCell ref="B90:B95"/>
    <mergeCell ref="B96:B102"/>
    <mergeCell ref="B103:B109"/>
    <mergeCell ref="B110:B115"/>
    <mergeCell ref="B73:B75"/>
    <mergeCell ref="B76:B78"/>
    <mergeCell ref="B79:B84"/>
    <mergeCell ref="B85:B89"/>
    <mergeCell ref="B149:B154"/>
    <mergeCell ref="B155:B166"/>
    <mergeCell ref="B167:B178"/>
    <mergeCell ref="B116:B127"/>
    <mergeCell ref="B128:B142"/>
    <mergeCell ref="B143:B148"/>
  </mergeCells>
  <phoneticPr fontId="34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19"/>
  <sheetViews>
    <sheetView workbookViewId="0">
      <selection activeCell="D4" sqref="D4"/>
    </sheetView>
  </sheetViews>
  <sheetFormatPr defaultColWidth="9" defaultRowHeight="13.8"/>
  <cols>
    <col min="1" max="1" width="20.88671875" customWidth="1"/>
    <col min="4" max="4" width="16.33203125" customWidth="1"/>
    <col min="7" max="7" width="23.21875" customWidth="1"/>
    <col min="8" max="8" width="21.109375" customWidth="1"/>
    <col min="10" max="10" width="27.88671875" style="1" customWidth="1"/>
    <col min="11" max="11" width="15.44140625" style="1" customWidth="1"/>
  </cols>
  <sheetData>
    <row r="1" spans="1:11">
      <c r="A1" s="2" t="s">
        <v>324</v>
      </c>
      <c r="B1" s="2"/>
      <c r="C1" s="2"/>
      <c r="D1" s="2" t="s">
        <v>304</v>
      </c>
      <c r="E1" s="2"/>
      <c r="F1" s="2"/>
      <c r="G1" s="2" t="s">
        <v>305</v>
      </c>
      <c r="H1" s="2"/>
      <c r="J1" s="3" t="s">
        <v>314</v>
      </c>
    </row>
    <row r="2" spans="1:11" ht="14.4">
      <c r="A2" s="4" t="s">
        <v>464</v>
      </c>
      <c r="B2" s="5" t="s">
        <v>465</v>
      </c>
      <c r="C2" s="2"/>
      <c r="D2" s="6" t="s">
        <v>464</v>
      </c>
      <c r="E2" s="7" t="s">
        <v>465</v>
      </c>
      <c r="F2" s="2"/>
      <c r="G2" s="4" t="s">
        <v>464</v>
      </c>
      <c r="H2" s="5" t="s">
        <v>465</v>
      </c>
      <c r="J2" s="8" t="s">
        <v>466</v>
      </c>
      <c r="K2" s="9" t="s">
        <v>467</v>
      </c>
    </row>
    <row r="3" spans="1:11" ht="14.4">
      <c r="A3" s="10" t="s">
        <v>468</v>
      </c>
      <c r="B3" s="11">
        <v>91</v>
      </c>
      <c r="C3" s="2"/>
      <c r="D3" s="12" t="s">
        <v>469</v>
      </c>
      <c r="E3" s="13">
        <v>107.8</v>
      </c>
      <c r="F3" s="2"/>
      <c r="G3" s="10" t="s">
        <v>468</v>
      </c>
      <c r="H3" s="11">
        <v>124</v>
      </c>
      <c r="J3" s="14" t="s">
        <v>470</v>
      </c>
      <c r="K3" s="15">
        <v>72.2</v>
      </c>
    </row>
    <row r="4" spans="1:11" ht="14.4">
      <c r="A4" s="10" t="s">
        <v>471</v>
      </c>
      <c r="B4" s="11">
        <v>-1.5</v>
      </c>
      <c r="C4" s="2"/>
      <c r="D4" s="12" t="s">
        <v>472</v>
      </c>
      <c r="E4" s="13">
        <v>43.95</v>
      </c>
      <c r="F4" s="2"/>
      <c r="G4" s="10" t="s">
        <v>471</v>
      </c>
      <c r="H4" s="11">
        <v>-1.2</v>
      </c>
      <c r="J4" s="14" t="s">
        <v>473</v>
      </c>
      <c r="K4" s="15">
        <v>72</v>
      </c>
    </row>
    <row r="5" spans="1:11" ht="14.4">
      <c r="A5" s="10" t="s">
        <v>474</v>
      </c>
      <c r="B5" s="11">
        <v>44</v>
      </c>
      <c r="C5" s="2"/>
      <c r="D5" s="12" t="s">
        <v>475</v>
      </c>
      <c r="E5" s="13" t="s">
        <v>476</v>
      </c>
      <c r="F5" s="2"/>
      <c r="G5" s="10" t="s">
        <v>474</v>
      </c>
      <c r="H5" s="11">
        <v>41.5</v>
      </c>
      <c r="J5" s="14" t="s">
        <v>477</v>
      </c>
      <c r="K5" s="15">
        <v>-1.44</v>
      </c>
    </row>
    <row r="6" spans="1:11" ht="14.4">
      <c r="A6" s="10" t="s">
        <v>478</v>
      </c>
      <c r="B6" s="11">
        <v>161</v>
      </c>
      <c r="C6" s="2"/>
      <c r="D6" s="10" t="s">
        <v>478</v>
      </c>
      <c r="E6" s="13">
        <v>144</v>
      </c>
      <c r="F6" s="2"/>
      <c r="G6" s="10" t="s">
        <v>478</v>
      </c>
      <c r="H6" s="11">
        <v>111</v>
      </c>
      <c r="J6" s="14" t="s">
        <v>479</v>
      </c>
      <c r="K6" s="15">
        <v>-1.4</v>
      </c>
    </row>
    <row r="7" spans="1:11" ht="14.4">
      <c r="A7" s="10" t="s">
        <v>480</v>
      </c>
      <c r="B7" s="11">
        <v>82</v>
      </c>
      <c r="C7" s="2"/>
      <c r="D7" s="12" t="s">
        <v>481</v>
      </c>
      <c r="E7" s="13">
        <v>-0.24590000000000001</v>
      </c>
      <c r="F7" s="2"/>
      <c r="G7" s="10" t="s">
        <v>480</v>
      </c>
      <c r="H7" s="11" t="s">
        <v>476</v>
      </c>
      <c r="J7" s="14" t="s">
        <v>482</v>
      </c>
      <c r="K7" s="15">
        <v>47.6</v>
      </c>
    </row>
    <row r="8" spans="1:11" ht="14.4">
      <c r="A8" s="10" t="s">
        <v>483</v>
      </c>
      <c r="B8" s="11" t="s">
        <v>484</v>
      </c>
      <c r="C8" s="2"/>
      <c r="D8" s="12" t="s">
        <v>485</v>
      </c>
      <c r="E8" s="13">
        <v>61.9</v>
      </c>
      <c r="F8" s="2"/>
      <c r="G8" s="10" t="s">
        <v>483</v>
      </c>
      <c r="H8" s="11" t="s">
        <v>484</v>
      </c>
      <c r="J8" s="14" t="s">
        <v>486</v>
      </c>
      <c r="K8" s="15">
        <v>47.5</v>
      </c>
    </row>
    <row r="9" spans="1:11" ht="14.4">
      <c r="A9" s="10" t="s">
        <v>487</v>
      </c>
      <c r="B9" s="11">
        <v>0.9</v>
      </c>
      <c r="C9" s="2"/>
      <c r="D9" s="12" t="s">
        <v>488</v>
      </c>
      <c r="E9" s="13">
        <v>60.3</v>
      </c>
      <c r="F9" s="2"/>
      <c r="G9" s="10" t="s">
        <v>487</v>
      </c>
      <c r="H9" s="11">
        <v>1.2</v>
      </c>
      <c r="J9" s="14" t="s">
        <v>489</v>
      </c>
      <c r="K9" s="15">
        <v>258</v>
      </c>
    </row>
    <row r="10" spans="1:11" ht="14.4">
      <c r="A10" s="10" t="s">
        <v>490</v>
      </c>
      <c r="B10" s="11">
        <v>272</v>
      </c>
      <c r="C10" s="2"/>
      <c r="D10" s="12" t="s">
        <v>491</v>
      </c>
      <c r="E10" s="13">
        <v>4.8499999999999996</v>
      </c>
      <c r="F10" s="2"/>
      <c r="G10" s="10" t="s">
        <v>490</v>
      </c>
      <c r="H10" s="11">
        <v>288</v>
      </c>
      <c r="J10" s="14" t="s">
        <v>492</v>
      </c>
      <c r="K10" s="15" t="s">
        <v>476</v>
      </c>
    </row>
    <row r="11" spans="1:11" ht="14.4">
      <c r="A11" s="10" t="s">
        <v>493</v>
      </c>
      <c r="B11" s="11">
        <v>99.82</v>
      </c>
      <c r="C11" s="2"/>
      <c r="D11" s="16" t="s">
        <v>494</v>
      </c>
      <c r="E11" s="17">
        <v>2.29</v>
      </c>
      <c r="F11" s="2"/>
      <c r="G11" s="10" t="s">
        <v>493</v>
      </c>
      <c r="H11" s="11">
        <v>99.7</v>
      </c>
      <c r="J11" s="14" t="s">
        <v>495</v>
      </c>
      <c r="K11" s="15" t="s">
        <v>484</v>
      </c>
    </row>
    <row r="12" spans="1:11" ht="14.4">
      <c r="A12" s="10" t="s">
        <v>496</v>
      </c>
      <c r="B12" s="11">
        <v>1.0309999999999999</v>
      </c>
      <c r="C12" s="2"/>
      <c r="D12" s="2"/>
      <c r="E12" s="2"/>
      <c r="F12" s="2"/>
      <c r="G12" s="10" t="s">
        <v>496</v>
      </c>
      <c r="H12" s="11">
        <v>1.0249999999999999</v>
      </c>
      <c r="J12" s="14" t="s">
        <v>497</v>
      </c>
      <c r="K12" s="15">
        <v>1.3</v>
      </c>
    </row>
    <row r="13" spans="1:11" ht="14.4">
      <c r="A13" s="10" t="s">
        <v>498</v>
      </c>
      <c r="B13" s="11">
        <v>-0.17</v>
      </c>
      <c r="C13" s="2"/>
      <c r="D13" s="2"/>
      <c r="E13" s="2"/>
      <c r="F13" s="2"/>
      <c r="G13" s="10" t="s">
        <v>498</v>
      </c>
      <c r="H13" s="11">
        <v>-0.254</v>
      </c>
      <c r="J13" s="14" t="s">
        <v>499</v>
      </c>
      <c r="K13" s="15">
        <v>272</v>
      </c>
    </row>
    <row r="14" spans="1:11" ht="14.4">
      <c r="A14" s="10" t="s">
        <v>500</v>
      </c>
      <c r="B14" s="11">
        <v>66.900000000000006</v>
      </c>
      <c r="C14" s="2"/>
      <c r="D14" s="2"/>
      <c r="E14" s="2"/>
      <c r="F14" s="2"/>
      <c r="G14" s="10" t="s">
        <v>500</v>
      </c>
      <c r="H14" s="11">
        <v>63.2</v>
      </c>
      <c r="J14" s="14" t="s">
        <v>501</v>
      </c>
      <c r="K14" s="15">
        <v>99.91</v>
      </c>
    </row>
    <row r="15" spans="1:11" ht="14.4">
      <c r="A15" s="10" t="s">
        <v>502</v>
      </c>
      <c r="B15" s="11">
        <v>15</v>
      </c>
      <c r="C15" s="2"/>
      <c r="D15" s="2"/>
      <c r="E15" s="2"/>
      <c r="F15" s="2"/>
      <c r="G15" s="18" t="s">
        <v>502</v>
      </c>
      <c r="H15" s="19">
        <v>56</v>
      </c>
      <c r="J15" s="14" t="s">
        <v>503</v>
      </c>
      <c r="K15" s="15">
        <v>1.0409999999999999</v>
      </c>
    </row>
    <row r="16" spans="1:11" ht="14.4">
      <c r="A16" s="10" t="s">
        <v>504</v>
      </c>
      <c r="B16" s="11">
        <v>4.8</v>
      </c>
      <c r="C16" s="2"/>
      <c r="D16" s="2"/>
      <c r="E16" s="2"/>
      <c r="F16" s="2"/>
      <c r="G16" s="2"/>
      <c r="H16" s="2"/>
      <c r="I16" s="20"/>
      <c r="J16" s="14" t="s">
        <v>505</v>
      </c>
      <c r="K16" s="15">
        <v>-0.19400000000000001</v>
      </c>
    </row>
    <row r="17" spans="1:11" ht="14.4">
      <c r="A17" s="21" t="s">
        <v>506</v>
      </c>
      <c r="B17" s="22">
        <v>2</v>
      </c>
      <c r="C17" s="2"/>
      <c r="D17" s="2"/>
      <c r="E17" s="2"/>
      <c r="F17" s="2"/>
      <c r="G17" s="2"/>
      <c r="H17" s="2"/>
      <c r="I17" s="20"/>
      <c r="J17" s="14" t="s">
        <v>507</v>
      </c>
      <c r="K17" s="15">
        <v>65.3</v>
      </c>
    </row>
    <row r="18" spans="1:11" ht="14.4">
      <c r="A18" s="20"/>
      <c r="B18" s="20"/>
      <c r="C18" s="20"/>
      <c r="D18" s="20"/>
      <c r="E18" s="20"/>
      <c r="F18" s="20"/>
      <c r="G18" s="20"/>
      <c r="H18" s="20"/>
      <c r="I18" s="20"/>
      <c r="J18" s="14" t="s">
        <v>508</v>
      </c>
      <c r="K18" s="15">
        <v>8.1999999999999993</v>
      </c>
    </row>
    <row r="19" spans="1:11" ht="14.4">
      <c r="J19" s="23" t="s">
        <v>509</v>
      </c>
      <c r="K19" s="24">
        <v>8</v>
      </c>
    </row>
  </sheetData>
  <sheetProtection formatCells="0" insertHyperlinks="0" autoFilter="0"/>
  <phoneticPr fontId="34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pixelators xmlns="https://web.wps.cn/et/2018/main" xmlns:s="http://schemas.openxmlformats.org/spreadsheetml/2006/main">
  <pixelatorList sheetStid="1"/>
  <pixelatorList sheetStid="2"/>
  <pixelatorList sheetStid="3"/>
  <pixelatorList sheetStid="4"/>
  <pixelatorList sheetStid="8"/>
  <pixelatorList sheetStid="9"/>
  <pixelatorList sheetStid="10"/>
</pixelators>
</file>

<file path=customXml/item2.xml><?xml version="1.0" encoding="utf-8"?>
<woProps xmlns="https://web.wps.cn/et/2018/main" xmlns:s="http://schemas.openxmlformats.org/spreadsheetml/2006/main">
  <woSheetsProps>
    <woSheetProps sheetStid="1" interlineOnOff="0" interlineColor="0" isDbSheet="0" isDashBoardSheet="0" isDbDashBoardSheet="0" isFlexPaperSheet="0">
      <cellprotection/>
      <appEtDbRelations/>
    </woSheetProps>
    <woSheetProps sheetStid="2" interlineOnOff="0" interlineColor="0" isDbSheet="0" isDashBoardSheet="0" isDbDashBoardSheet="0" isFlexPaperSheet="0">
      <cellprotection/>
      <appEtDbRelations/>
    </woSheetProps>
    <woSheetProps sheetStid="3" interlineOnOff="0" interlineColor="0" isDbSheet="0" isDashBoardSheet="0" isDbDashBoardSheet="0" isFlexPaperSheet="0">
      <cellprotection/>
      <appEtDbRelations/>
    </woSheetProps>
    <woSheetProps sheetStid="4" interlineOnOff="0" interlineColor="0" isDbSheet="0" isDashBoardSheet="0" isDbDashBoardSheet="0" isFlexPaperSheet="0">
      <cellprotection/>
      <appEtDbRelations/>
    </woSheetProps>
    <woSheetProps sheetStid="8" interlineOnOff="0" interlineColor="0" isDbSheet="0" isDashBoardSheet="0" isDbDashBoardSheet="0" isFlexPaperSheet="0">
      <cellprotection/>
      <appEtDbRelations/>
    </woSheetProps>
    <woSheetProps sheetStid="9" interlineOnOff="0" interlineColor="0" isDbSheet="0" isDashBoardSheet="0" isDbDashBoardSheet="0" isFlexPaperSheet="0">
      <cellprotection/>
      <appEtDbRelations/>
    </woSheetProps>
  </woSheetsProps>
  <woBookProps>
    <bookSettings isFilterShared="1" coreConquerUserId="" isAutoUpdatePaused="0" filterType="conn" isMergeTasksAutoUpdate="0" isInserPicAsAttachment="0"/>
  </woBookProps>
</woProps>
</file>

<file path=customXml/itemProps1.xml><?xml version="1.0" encoding="utf-8"?>
<ds:datastoreItem xmlns:ds="http://schemas.openxmlformats.org/officeDocument/2006/customXml" ds:itemID="{224D003E-15C9-4FFE-AB16-9E66474EAE4E}">
  <ds:schemaRefs/>
</ds:datastoreItem>
</file>

<file path=customXml/itemProps2.xml><?xml version="1.0" encoding="utf-8"?>
<ds:datastoreItem xmlns:ds="http://schemas.openxmlformats.org/officeDocument/2006/customXml" ds:itemID="{06C82605-B75B-4693-9329-32AAD527C692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设计流程</vt:lpstr>
      <vt:lpstr>集料筛分及密度</vt:lpstr>
      <vt:lpstr>级配</vt:lpstr>
      <vt:lpstr>体积指标</vt:lpstr>
      <vt:lpstr>浸水马歇尔</vt:lpstr>
      <vt:lpstr>冻融劈裂</vt:lpstr>
      <vt:lpstr>高温车辙</vt:lpstr>
      <vt:lpstr>低温弯曲</vt:lpstr>
      <vt:lpstr>沥青指标（70，90，110，130）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11374</dc:creator>
  <cp:lastModifiedBy>office2016mac05007</cp:lastModifiedBy>
  <dcterms:created xsi:type="dcterms:W3CDTF">2015-06-06T10:17:00Z</dcterms:created>
  <dcterms:modified xsi:type="dcterms:W3CDTF">2026-09-07T06:52:23Z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2052-12.1.0.28043</vt:lpwstr>
  </property>
  <property fmtid="{D5CDD505-2E9C-101B-9397-08002B2CF9AE}" pid="3" name="ICV">
    <vt:lpwstr>1FD5F120094D4874B48F47EA95140BB4_13</vt:lpwstr>
  </property>
  <property fmtid="{D5CDD505-2E9C-101B-9397-08002B2CF9AE}" pid="4" name="CalculationRule">
    <vt:i4>0</vt:i4>
  </property>
</Properties>
</file>